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6900" activeTab="1"/>
  </bookViews>
  <sheets>
    <sheet name="30天交易复盘明细" sheetId="1" r:id="rId1"/>
    <sheet name="资金变动记录" sheetId="4" r:id="rId2"/>
    <sheet name="复盘说明与字段定义" sheetId="5" r:id="rId3"/>
  </sheets>
  <definedNames>
    <definedName name="_xlnm._FilterDatabase" localSheetId="0" hidden="1">'30天交易复盘明细'!$E:$E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<sst xmlns="http://schemas.openxmlformats.org/spreadsheetml/2006/main" count="2002" uniqueCount="767">
  <si>
    <t>交易编号</t>
  </si>
  <si>
    <t>开仓日期时间</t>
  </si>
  <si>
    <t>平仓日期时间</t>
  </si>
  <si>
    <t>持仓时长</t>
  </si>
  <si>
    <t>品种</t>
  </si>
  <si>
    <t>方向</t>
  </si>
  <si>
    <t>开仓原因</t>
  </si>
  <si>
    <t>是否有交易计划</t>
  </si>
  <si>
    <t>是否追单</t>
  </si>
  <si>
    <t>是否重仓</t>
  </si>
  <si>
    <t>是否浮亏加仓</t>
  </si>
  <si>
    <t>是否报复性交易</t>
  </si>
  <si>
    <t>是否受KOL/新闻/社群影响</t>
  </si>
  <si>
    <t>是否影响睡眠/饮食</t>
  </si>
  <si>
    <t>盈亏金额（USDT）</t>
  </si>
  <si>
    <t>用户事后判断的主要问题</t>
  </si>
  <si>
    <t>盈利来源/出场方式</t>
  </si>
  <si>
    <t>止损类型</t>
  </si>
  <si>
    <t>交易类型</t>
  </si>
  <si>
    <t>扛单类型</t>
  </si>
  <si>
    <t>T001</t>
  </si>
  <si>
    <t>BTC</t>
  </si>
  <si>
    <t>多</t>
  </si>
  <si>
    <t>这是我再次入金后并于入金当天开的第一单，这也是上一次爆仓后时隔一个多月后再次入金，上一次爆仓后也想着好好学习好好复盘做出改变后再入，但是中间一直都没有学习过复盘过，唯一靠的就是心里一直告诫自己一定要小仓位并且做好止盈止损后再开，同时也想着之前都是几千一万u的入金，本金太少自己没有安全感，这次入金14500u，安全感足一点。加之想着后续的开单一定要在浮盈后马上设算上开平仓手续费后的保本损，于是在入金之后观察到行情从82000上方跌到最低74000后又反弹跌下来，这个时候我没画任何的趋势线压力位阻力位，完全是在下跌中去猜底做的单子，猜底在76188左侧挂单进场做多的，止损72800，止盈81000，。上涨到76600浮盈后我设了76276保本损，最后被打了</t>
  </si>
  <si>
    <t>否</t>
  </si>
  <si>
    <t>不确定</t>
  </si>
  <si>
    <t>是</t>
  </si>
  <si>
    <t xml:space="preserve">再次入金后，在没有熟悉行情复盘行情的情况下，于下跌中左侧猜底做多</t>
  </si>
  <si>
    <t>T002</t>
  </si>
  <si>
    <t>MU</t>
  </si>
  <si>
    <t>空</t>
  </si>
  <si>
    <t>在看kol比特肥的直播，直播里他提及美股会下跌，随后直播中他现价开了mu的空单，随后我点进mu查看，看到正在从新高987的高点反弹到968后下跌，这个时候是跌到了910附近了，我想着等反弹到950左右再空，但是后面看到反弹很弱，随即在930挂了空单成交，止损放在了新高上面1000整数关口，止盈880，浮盈后把止损改到了928计算手续费后的保本加小盈利损，随后在924.77触发了止损，我也是从这单开始了交易btc以外的品种，直到这个时候我也还不知道mu美光是做什么的，也是后面才知道另外一支火热的股票闪迪同样是储存概念的。</t>
  </si>
  <si>
    <t>听到kol的直播后马上跟进开单，这单同样也是浮盈后设置保护损，所以才有盈利没有自己独立分析，且同样是设置了爆仓价附近止损，如果浮亏可能会加仓也可能等着爆仓价附近大亏止损</t>
  </si>
  <si>
    <t>T003</t>
  </si>
  <si>
    <t>XAU</t>
  </si>
  <si>
    <t>同样是看了kol比特肥的直播开的，上一单mu触发止损后没多久开的，因为比特肥经常做黄金，且因为做黄金赚了很多钱，所以还是比较相信他对于黄金走势的观点的，但是鉴于自己不太熟悉黄金，我用低倍开了小仓位15xau，在开空之前已经跌到了4420开头，因为是在下跌途中，担心低位追空，所以挂了4448开空，赌它涨不到4450半数就会下跌，但是最终反弹到了4457最高，同时4448的挂单也挂成功了，同时也挂了4336止盈，4556止损，挂4556止损也是赌它突破不了4555这个吉利数字，不过最终还是浮亏了，浮亏后又浮盈，浮盈后就把止损改到了4475，止盈3922，在继续浮盈下跌跌破4440后我又依此把止损修改了三次：4520.4450.4460，最终在准备跌破4430又在小级别看到多根阳线反弹后，在涨到到4441就挂了限价单平空</t>
  </si>
  <si>
    <t>问题还是因为听了kol的直播开单，没有亏损同样也是因为浮盈后设了盈利保护损</t>
  </si>
  <si>
    <t>T004</t>
  </si>
  <si>
    <t>Xau平仓后，上一单930做空了78个mu空单被止损后，行情持续下跌，甚至差点跌到上一单设置的止盈位880上方888，但是看到也不敢马上追空，在跌到888反弹到920又下跌902左右时挂了898做多，但是准备触发时又马上撤掉了，撤掉后又马上涨到910上方，看着自己又错失了利润，于是又在916挂空单，随后触及912之后又跌下去902附近了，这时候再次取消挂单，不断下跌又反弹中，自己又不断计算假如没止损后或者前面勇敢点不撤单能得到的收益，在第二次反弹到910上方时，我又猜测可能反弹不到第一次反弹的920上方高点，于是又在916提前挂空单，因为上一单78个mu的空单止损，加上多次来回挂单觉得仓位重了，于是这一次在916挂了55.1个mu，空进去之后我才在960设了止损，在907设止盈，等浮盈后我就挂了915保本损，最终触发了保本损平仓了</t>
  </si>
  <si>
    <t>间接影响</t>
  </si>
  <si>
    <t>因为看了直播，所以一直执着于反弹空</t>
  </si>
  <si>
    <t>T005</t>
  </si>
  <si>
    <t>上一单打了915的保本损后，价格开始在915-919附近震荡，这个时候预判可能会突破920上方，但到不了925，于是在924挂单55个mu空单，没设止盈止损，随后行情突破920涨到最高921后又下跌到最低915附近，又从915附近开始上涨，最终触发了我的924空单挂单，挂单成功后才设的916平仓止盈，等到浮盈才设保本损，设了保本损后不到一分钟就触发了我的止损。</t>
  </si>
  <si>
    <t>T006</t>
  </si>
  <si>
    <t>上一单止打了保本损后，看到价格又涨到924，于是又预判可能会越过925半数，但不会到930整数，于是在928提前挂单空，在触发空单挂单后，我才设止盈止损，止损960，止盈918.6，价格最高涨到932后下跌，在下跌的过程中把止损改到了970，最终最低下跌到919后又反弹，在反弹的过程中把止损改到了926保本损，最后触发了保本损，这一单差一点就能触发止盈了。</t>
  </si>
  <si>
    <t>如果没有浮盈，没机会设置保本损，也许会加仓也许会扛单，这单还是延续了看直播之后的思维去开的</t>
  </si>
  <si>
    <t>T007</t>
  </si>
  <si>
    <t>上一单打了保本损后，价格从919附近又反弹，小级别预测价格已经从最高932下跌了。这次反弹可能过不了930，于是又在928.7挂单限价单70个空单，挂单进去后，止盈止损设922跟960，这个时候只成交了46个mu又跌下去了，看到没成交完就下跌，于是又马上在931.4挂单60个空单，但是反弹不上去了没能成交，在浮盈后我把46个mu空单的止损改到了926保本损，最终触发了保本损。</t>
  </si>
  <si>
    <t>T008</t>
  </si>
  <si>
    <t>上一单触发保本损后，前面在931.4挂单的60个mu空单挂单成功了，因为前面挂单的时候没设止盈止损，于是在浮盈后马上就在930设了保本损，最终还是触发了保本损。</t>
  </si>
  <si>
    <t>依然是受前面的直播影响，认为依然是下跌趋势，所以不断地反弹空，不断地打保本，然后觉得错过了利润，又不断的开</t>
  </si>
  <si>
    <t>T009</t>
  </si>
  <si>
    <t>受到直播影响还在扩大，且因为不断的浮盈设保本损，被打了之后行情又下去，因为自己回头计算假如不设保本，而是设宽止损，自己都不知道盈利了多少次了，所以不断地空不断地损，又不敢设宽止损，害怕损失。在上一单结束后的一分钟我在935挂空单，在持续上涨中，又因为害怕撤掉挂单，随后价格最高涨到935.94后又跌下去930，于是我又在936.4继续挂空单，最终价格持续在931附近震荡后又跌到922最低，于是我马上把636.4的挂单撤掉，重新在925.8附近挂空单，止损955、止盈918，挂单成功浮盈后后把止损改到了925.2保本损，最终触发了。</t>
  </si>
  <si>
    <t>除了受直播影响，还因为自己不断的去计算去幻想假如没有设保本损自己会得多少利润，导致不断地重复频繁的开空单</t>
  </si>
  <si>
    <t>T010</t>
  </si>
  <si>
    <t>依然是顺着直播听到的美股要跌，空就空最硬的，在因为自己多次的浮盈推保本被打掉，多次行情下跌却没能拿到利润，所以不断地开，在上一单被打点后，看到行情依旧涨不动，于是又在923.3追空，浮盈后在922设了保本损被打了，这单被打后又是熬了一个通宵，已经身心俱疲了，最后选择了睡觉。</t>
  </si>
  <si>
    <t>依然是老问题老毛病，前一单退保护被打掉后，行情继续下跌，又幻想与计算，假如拿住又能得多少利润。</t>
  </si>
  <si>
    <t>T011</t>
  </si>
  <si>
    <t>睡醒起来看到价格在900附近上下震荡，且在我睡醒前跌到了最低880.2，这个是我的第一单mu的止盈目标位，此时看到后是无尽的焦虑，无尽的懊悔，不止是想着前面做了那么多空单没拿到利润，还想到要是没睡觉还能在880附近做多，现在也能拿到多少多少利润了，随后行情不断地震荡反弹，在反弹过了920后，我又预计不会到930，转念又想到假如我重仓空的话，不用拿到更低的价格就能赚多少多少了，于是在926挂单了99个mu重仓做空，挂单成功后把止盈止损设了960跟911，随后价格涨到了最高930后下跌，在下跌过程中设了924.88保本损，最终涨到925开头打了我的保本损又跌下去了</t>
  </si>
  <si>
    <t>这次问题更严重，仓位加大了一倍，因为美光是从最高点1000u以下的位置下跌的猜想不可能那么突破1000u，加上多次频繁开单觉得前面错失了那么多次机会了，这次加倍开仓，不用下跌多少就能拿多少多少利润了，而且就算重仓，爆仓价也在1000u以上</t>
  </si>
  <si>
    <t>T012</t>
  </si>
  <si>
    <t>上一单在打了我的保本损后又马上下跌到最低916附近，看到就差一点又能赚到钱后，情绪又变差了，于是在反弹时又预判可能会涨到920上方一点就会下跌，于是提前在921挂单101个mu重仓空，挂单进去后，在906跟940设了止盈止损，在浮盈后把止盈止损又改到了907跟920，过了算了一下收益，又把止盈止损改到了896跟940，在下跌跌破915后，又把止损改到了914。这次行情依然是打了我的止损后继续下跌，下跌到了最低898。</t>
  </si>
  <si>
    <t>这次重仓浮盈后，依然设置了保本损，但是不敢长拿，下跌几块钱就平仓了</t>
  </si>
  <si>
    <t>T013</t>
  </si>
  <si>
    <t>SNDK</t>
  </si>
  <si>
    <t>做了几单mu美光后，才知道美光是一家储存公司，且大涨的原因之一就是特朗普喊单，同时也才知道此前相关新闻经常推送闪迪跟美光的涨跌信息原来是因为跟Ai产业有关，而且是美股最近非常火热的两支股票，两支同样都是储存产业概念，因为前面听到kol比特肥直播说美股要回调，且又说空就空最硬的，所以空美光的时候我也把闪迪加进了自选列表，因为同样是储存概念的，在空美光的时候也经常点到闪迪里看价格，在看到龙头闪迪相对比较弱，而且我经常习惯性的拿收益计算机算，如果我开闪迪拿到的收益还多，而且还赚得快，所以这个时候开始了第一次空闪迪，在空美光的时候也关注到闪迪从最高点1677下跌后反弹到1650之后就开始跟着美光一样下跌震荡，中间下跌到最低1511之后开始在1550-1600之间震荡，在跌到1511反弹后，我也后悔为什么不多关注一下闪迪，要是关注的话肯定会在1500这个大的价格关口附近做多，在美股开盘前，因为又多次预测猜顶mu美光都猜测成功，却因为自己在猜顶的939跟945挂了单后又撤单，而且自己预测的下跌位置也到了，想到自己又错过了一波赚钱机会，于是多重因素影响下，在切换到闪迪的时候，看到闪迪前面上涨到1600后又下跌到1511最低，又从在1511最低反弹到1550-1590震荡，随后在美股开盘反弹到1626后又下跌到最低1550，我以为又会像前一天美股开盘后开跌，于是在从1550反弹到1600后又急着在1602追空35.5个sndk，开进去后行情持续不断的拉升，之后在1630.2、1649.7分别浮亏加仓了20跟50个sndk，总仓位105.5个sndk，均价1630.1，在扛单扛到sndk突破新高到1695后的回调中，在1631平仓了。这个单子第一次开仓时把止损设在了1690，止盈1520，最后在扛单的过程里在即将突破新高前把止损改到了1750（此前sndk最高价为1677），在整个扛单的过程中，把止盈或者是平仓价改了8次，最终的平仓价是1631。</t>
  </si>
  <si>
    <t>浮亏加仓，随意开单</t>
  </si>
  <si>
    <t>T014</t>
  </si>
  <si>
    <t>上一单扛单结束平仓后的凌晨里我也多次挂单mu美光，不过最终都取消了，最后一单是早上取消然后才睡觉。sndk在我平仓后最低跌到了1627，随后开始反弹，并在1645-1660之间震荡，直到下午美股盘前开盘后，开始突破震荡区间，最高触及1686，看到闪迪涨起来，心想着龙头涨起来应该可以短吃一下，所以就在短线小级别回调中于1677的位置开多了40个sndk，在浮盈后马上设了保本损，最后被打了</t>
  </si>
  <si>
    <t>依然是随性开单</t>
  </si>
  <si>
    <t>T015</t>
  </si>
  <si>
    <t>因为上一单被打损后，心想着闪迪不熟悉，美光起码做过几单了，加上美光价格反弹上涨接近到了我第一次做美光的时候心里预期的做空位置950上方，于是我又把目光放到了mu这里，这次的做空依然是看着价格做空，但是相反的是自己在乎的半数关口都已经站上去了，自己反而还空，按照这个逻辑，上了半数关口应该是多的，但是我这次又犯了老毛病完美点位，又不想被保本损，又不想宽止损，于是又多次猜顶挂空单，在每次价格快触发挂单前又秒撤单，最后在一次次折磨心态中，第5次挂单撤掉后，价格从963下跌到953后在953重仓空了101个mu，开了之后才设的止盈止损在942跟964，在浮亏后又改了两次止损到980、1000，浮盈后改了4次保本损价格，最后一次改止损是在上涨到950后改到964，之后就下跌到我的止盈位942附近了，到了942止盈位附近后，看到下跌趋势延续，又把止盈改为939附近，最终在939.8触发止盈平仓。这个单子虽然最终盈利了，但是在持仓浮盈的时候依然是非常紧张，在跟朋友吃饭的时候也不断地拿手机出来看价格。</t>
  </si>
  <si>
    <t>我能想到的问题：1.看着价格做空，2.做了几单就觉得自己熟悉的品种，3.浮盈后设了保本损，幸运的拿到了平仓，但是也为后续的亏损做了开头，4.持仓的过程中浮盈了，但是吃饭的时候还是心里不安的经常看手机，5.平仓后行情继续下跌，又后悔没拿久一点</t>
  </si>
  <si>
    <t>T016</t>
  </si>
  <si>
    <t>上一单平仓后，看到价格在美股开盘前3分钟突然拉升回到我上一单开仓价格953的上方，于是我又再次开空，在957重仓空了100mu，止盈止损是946跟990，在浮盈之后马上在956就设了保本损，把止盈改到了933，但是依然被打了保本损。</t>
  </si>
  <si>
    <t>因为价格上涨到上一单的位置就再次做空，全然没考虑过为什么还会回来，而且价格更高了，既然回来了那肯定就是下跌趋势变了</t>
  </si>
  <si>
    <t>T017</t>
  </si>
  <si>
    <t>上一单被打了保本损了之后，美股一开盘就上下插针，随后价格持续上涨，短线上涨到976之后，随即又认为不会突破980，于是在978重仓空了100mu，止盈止损分别是940跟1010，挂单成功后，价格还是突破了980，但是随即又下跌到968，随后我挂了975.8的保本损，这个时候行情依旧是上下震荡插针，最后打了我的保本损之后，小级别走了三角震荡收敛后就下跌，最终在美股收盘前下跌到最低940.09就开始反弹了，这单被打损后，看到行情不断地走三角震荡下跌，依然是不断的因为没拿到该拿的利润而陷入无尽的焦虑与懊恼里，最终导致了下一单mu空单的扛单亏损</t>
  </si>
  <si>
    <t>价格接近了新高附近还去空，而且还幻想着可能来一个次新高后下跌，在这开空自己还能有个优势成本，这次依然浮盈保本损了</t>
  </si>
  <si>
    <t>T018</t>
  </si>
  <si>
    <t>这次的开单逻辑有几个：1.上一单黄金空单是看了kol比特肥的直播开的，因为在直播里了解到黄金处于下跌趋势中，所以有了做空黄金的惯性思维。2.这次开单时价格回到了我上一单空单开仓价上方100点，且也是我上一单空单预想的止损位，这么一想觉得这个位置更有优势了，3.觉得庄家会在4550这个位置打空头止损再下去。综合上述原因，又觉得不会到自己所想的极限吉利数字4555，于是在4551.64挂单空了20个xau，行情开始确实是到了最高4553就跌下去了，跌到4539后我才设了止损4660、止盈4467，随后行情继续下跌，在下跌到最低4527后开始不断地反弹，反弹的过程中又在4576浮亏加仓了20个xau，总仓位来到了40个xua，开仓均价4563，最后反弹到最高4594后下跌，下跌的过程中两次想在4577浮亏加仓都取消了，也有3次修改止盈到4546跟4548以及4559，最终还是在4556平仓了。</t>
  </si>
  <si>
    <t>浮盈后设了保本损，但是最终到达了我设置的止盈位，因为不是熟悉的品种，黄金突然从4400暴拉到4550后下去，又突然拉到4590，我于4576的位置加仓后心里不安稳，因为1.爆仓价拉低了，2.不是我熟悉的品种，突然爆拉让我心慌，实际到了我止盈位后就下跌了。</t>
  </si>
  <si>
    <t>T019</t>
  </si>
  <si>
    <t>这一单是5.28开的，
5.30平仓，开单跟止损是有逻辑的，因为比特币从82000下跌到74000附近又拉到了78000再下来的，因为也看过另外一个kol胡总的直播（这个kol胡总的直播是我从2026年2月在比特币第一次跌到60000时关注的，因为他也是跟比特肥同一个团队的，且是属于裸k技术派，所以也经常看他的直播，但是都是走马观花式的看，包括之前用chatgpt给到的教程来获取他的直播信息来学习，中间学了一会也摆烂停止学习了，都是入金交易后才会相对认真一点看。）我也跟着画了趋势线，这次跌破趋势线，且二次跌破74400以下，所以我心想着这次可以反弹空，于是就在反弹后的74577空了0.7个btc，止损就放趋势线上方76300，浮盈后又不断修改在72512-75600之间修改止损，最后跌倒63000附近后修改到74290，这次是小仓位0.7个比特币，爆仓价也高，止损也小，止损了也能接受，这一单拿着也舒服，中间跌到最低72400附近都没止盈，最终平仓是因为我后面新开了一单mu的空，生怕比特币反弹，导致正在扛单的mu大仓位保证金减少，会导致爆仓价越来越低，所以最终反弹到73500我就平仓了，加上听到另外一个kol比特肥看多，所以索性就平仓了，当然如果不是有mu的单子在扛单我也不会平掉这个比特币空单。</t>
  </si>
  <si>
    <t>因为做了不熟悉的品种，扛单加听了kol的，导致自己不能坚持拿到计划内的止盈，而且下跌后，我设了保本损，直到2026.7.1，价格从未涨到我的保本位，因为当时有信心，是直到下跌后，74200已经是大压力位了，我开的74500开的位置相对安全。</t>
  </si>
  <si>
    <t>T020</t>
  </si>
  <si>
    <t xml:space="preserve">这一次的开仓更加的不应该，本来上一单mu空单已经被打了保本损了，谁知道被打了保本损之后行情就开始下跌，而且看到我在978的位置开仓后价格最高涨到981不到就下跌了，我被打损后就一直反复震荡，走了个三角收敛下跌，在下跌的过程里虽然我在做着其他品种，但是依然经常看mu，越是下跌越是难受越是焦虑越是后悔，这个时候又是不断地去计算收益，假如忍一忍不那么快设保本损，就能赚多少多少了，在临近美股收盘前半个小时mu急剧下跌，看到下跌到了上一单mu的止盈位940附近后，焦虑后悔懊悔等情绪更加猛烈，于是在价格触及940.09收针后的下一根短线k反弹时就追空75.63个mu了，不到一分钟就想着加倍浮亏加仓空，但是因为自己操作失误没加仓成功，之后分别在950.5、958、964.7、965、963.4这几个位置浮亏加仓，总共浮亏加仓5次，总仓位352.63个mu，开仓均价960.14，这个时候早就已经设了爆仓价损，因为同时持有0.7个btc的浮盈空单，所以不断地修改爆仓价止损，也因为开了重仓空想着浮亏这么多，止盈一定要小赚或者起码不能亏手续费，加之自己确实也一直有扛单了要么等浮亏保本，要么就不能亏钱平仓的思维，最后一直扛单，中间价格最低多次跌到960.3到961之间，到了早上美股期货开盘后，快速上涨后再次跌到最低960.3又快速拉回去了，直到第二天下午，价格开始往新高走，我才平仓。这一单浮亏过程中我明知道多次触及960整数位却没跌破，已经算是上涨中的回踩，但是还是侥幸心理作祟，不舍得损失一点点，导致最后大亏出场，不说反手多，哪怕是临近整数位平仓都好，而且我还不愿意手动平仓，因为手动平仓的手续费贵。</t>
  </si>
  <si>
    <t>1.看着价格快速下跌追单，2.想着上一单的走势成本空单没拿住，幻想的利润没拿到，3.美股周五尾盘还追进去，4.浮亏加仓，且是离成本根近的时候不断地加仓，5.侥幸心理，不舍得小亏，不舍得手续费，6.因为开不熟悉的品种，把熟悉品种比特币的持仓提前平掉。</t>
  </si>
  <si>
    <t>T021</t>
  </si>
  <si>
    <t>BNB</t>
  </si>
  <si>
    <t>从来没有想过做bnb这个品种，因为受到币安要上线美股现货的消息影响，bnb两天内涨幅很高，成为了周末的热门品种，而其他品种都没怎么涨，加上在我的固有印象里，受利好消息影响的品种大多都会不断地拉，除了利好之外，还因为在拉升的过程中有很多会追空，会因为要爆空头而不断地上涨，但是我没想过追多的也会很多，更没想过以往的历史走势，bnb拉盘之后，整个市场随后会进入大跌，另外个重要的原因就是刚刚经历了做空mu的大亏，心想前面辛辛苦苦通过保本损以及部分煎熬的扛单盈利了几千u，一下子又没了，于是也想趁着bnb在拉盘时，在上面短吃一口把在mu亏损的快速赚回来，所以综合因素下在上一单mu空单平仓后，马上就点开bnb，这个时候bnb从714高点短线回调到701后又反弹到了716，在反弹到716的过程里因为害怕反复下单、取消了三次挂单，在看到从716又回调到710附近反弹时忍不住在713追多重仓了300个bnb，这个时候没设止损，因为是陌生的品种，所以一开始开单前我就想好了浮盈就设保本，最后开进去浮盈后我马上设了保本损，最后被打掉了。这单被打掉后，后续的所有bnb单子基本都是这种模式。</t>
  </si>
  <si>
    <t>问题很多：1.做不熟悉的品种，2.无脑追热门，3.做多不等回踩就冲动的进场，4.又是想短吃一波，为后续比特币有行情了增加保证金</t>
  </si>
  <si>
    <t>T022</t>
  </si>
  <si>
    <t>上一单被打损后，看到又要下跌，根据自己的判断，可能会下次刺破710后又会上涨就想着挂709上方一点多，但是转念一想也许会碰一碰708.88这个吉利数字，于是又挂708.88多，但是行情下跌到709.6后又反弹到715，到了715又下跌，于是我又把挂单改到707.8，这次又是下跌到709就又快速反弹并突破720整数关口，这个时候情绪又开始变得极度的焦虑难受，又在算数，假如我把点位不算得那么完美，开了又能赚多少，最终在总共挂单又取消了6次之后，第7次在716重仓多了265个bnb，挂单进去没设止损，开始以为不会跌破715的，开进去跌破715到714.6后，既害怕又后悔干嘛不多等一会或者是挂刺破715后的714.8附近多，因为害怕所以浮盈后就在717.8附近止盈了。</t>
  </si>
  <si>
    <t>依然是受了上一单的影响，平仓后又上涨，所以又冲进去，浮盈后设了保本损被打了</t>
  </si>
  <si>
    <t>T023</t>
  </si>
  <si>
    <t>上一单平仓后，价格又再次上涨到720上方，并创了723新高，因为前面做多没赚到，价格又新高了也不敢多，于是在上涨回调中挂单724.8的价格做空，预测不会突破725，但是价格没有继续上涨而且继续下跌，接着放价格再次跌到713-715后我再次挂单689做多，在689挂单做多是因为上涨次高点是689附近，但是价格下跌到713附近最低后又上涨，于是我最终在716.4又做空250个bnb，挂单成功后马上把止损设到723，在浮盈后又马上改了止损到715附近止损，最后被打了保本损。</t>
  </si>
  <si>
    <t>在热门的上涨品种里博取短空，简直就是火中取栗，而且是想重仓短吃</t>
  </si>
  <si>
    <t>T024</t>
  </si>
  <si>
    <t>上一单空单打了我的保本损后，持续上涨，在上涨中我再次追空，在720.4再次做空250个bnb，追进去之后依然没设止盈止损，还是想着浮盈后设了保本损再想着怎么止盈，但是挂单成功后价格持续上涨到最高726，最后扛了一会单，不敢再考虑小赚或者是平仓手续费，但是依然是心存侥幸的在开仓价下方一点限价平仓了。</t>
  </si>
  <si>
    <t>因为知道自己在热门上涨品种里博取短空吃一口，开进去浮亏之后就恐惧了，所以不敢拿了，索性就不计算手续费，就设置了大概率能到的亏手续费位置平空了，依然是明知不可为而为之</t>
  </si>
  <si>
    <t>T025</t>
  </si>
  <si>
    <t>上一单空单平仓后就睡觉了，睡醒后看到bnb在我上一单空单平仓后震荡了一段就上涨到了729.9，随后又从729.9下跌到最低706，在下跌到706后又一路慢拉到新高746后在733-740震荡。这个时候心情是非常复杂的，既庆幸上一单空单在凌晨的时候没被套住跑了，又极度的后悔想着要是昨晚做bnb的时候挂过的707跟708的挂单能坚持挂单，这个时候就能有多少利润了。这个时候做为周末唯一拉盘大涨的品种，社群都是非常火热的，社群发收益、kol发收益，在多重因素下，在看到bnb从新高746跌到733-740震荡后价格再次快速下跌，于是我忍不住又在途中的725做多了150个bnb，追进去之后价格又继续下跌，最低跌到了717，在下跌途中多次想要浮亏加仓，最后在上涨到720上方时决定加仓150个bnb，总仓位来到了300个bnb，后面扛单到了计算开平仓手续费后保本平仓了，这一单扛单后设的几乎也算是接近爆仓损了。</t>
  </si>
  <si>
    <t>睡醒后一直后悔凌晨的时候做多没拿住，又计算假如拿住后有多少利润，决定回调多，但是看着又下跌破位，又想着空，空进去又浮亏，最终保本出场</t>
  </si>
  <si>
    <t>T026</t>
  </si>
  <si>
    <t>因为前面在5.28开仓0.7个btc空单提前平仓。有一部分原因是看了kol比特肥的直播，直播里提到看多btc，加之比特币在5.31凌晨的k线形态像是弧形底上涨，在价格上涨到741又回调到73933的时候就索性开了2个btc多，赌它能突破74200并能站稳74200上方，止损设在了69000，之后又改到71770，但是随后行情又下跌，整个过程我一直都不担心也不害怕的，因为价格一直在73700-73900之间震荡，但直到价格再次突破74200又下跌后，我才在73700附近加仓1个btc，加仓后又继续下跌到73300最低，之后反弹到73700之后我就受不了平仓了。</t>
  </si>
  <si>
    <t>听信比特肥kol的观点，最重要的是自己主观的结合k线认为是对的，在没有突破并且站稳自己画好的趋势线以及突破压力位74200就提前赌它能上涨了，最重要是还浮亏加仓。</t>
  </si>
  <si>
    <t>T027</t>
  </si>
  <si>
    <t>上一单bnb多单解套平仓后，震荡了一段时间又再度从震荡的725附近拉升到730上方，第一时间拉升时我因为恐惧而没有猜顶追空，拉升到最高734之后开始下跌730下方震荡，震荡时我再次猜想可能反弹到730上去一点就会下跌，本来想着挂730上方，但是在上涨到731再下跌之前我就在729.4做空了200个bnb，依然没设止损，浮盈后因为害怕浮盈又会被打没，所以没设保本损，而且在725.3设了限价单平仓，最后触发了止盈。</t>
  </si>
  <si>
    <t>因为不熟悉这个品种，且是重仓，所以重仓了后，也只是跌了几块钱我就平仓了</t>
  </si>
  <si>
    <t>T028</t>
  </si>
  <si>
    <t>上一单bnb空单平仓后，我依然集中注意力关注着bnb，同时在开了这一单btc空单前，在bnb不同的价格不断地挂单空单又取消，总共挂了9次单都取消了。最终再次把目光放到了btc，再次看到btc，从我上一单多单平仓后又再次下跌到73300，这个时候从短线形态上看空头趋势比前面下跌到73300的k线还要强，想着是不是要跌破73000了，于是在下跌到73300没跌破又反弹时，我又认为不会反弹到73500的半数关口，于是马上在73484就重仓空了5个btc，空进去后把止损设到了74300，因为压力位是74200，开进去后价格持续拉升，中间有一次跌到小赚我也没平仓，持续扛单的过程里也修改了十几次止盈止损，同时也多次想浮亏加仓，最终在73888选择了再度加仓5个btc，总仓位10个btc，开仓均价73686，最后因为仓位太重，加之扛单太久，不敢再算手续费了，就以73661的价格小亏平仓了。</t>
  </si>
  <si>
    <t>这次是亏了手续费出场，又一次看到价格下跌就冲进去，又一次的加深了自己浮亏加仓能逃命的侥幸心理了</t>
  </si>
  <si>
    <t>T029</t>
  </si>
  <si>
    <t>这次的开空是有了前两2单btc空单跟1单btc多单得到的经验，可以说有计划也可以说是凭当时近期的经验以及走势来赌的，有止损止盈目标，开仓原因有几个：1、价格持续在74200下方受到压制，2、在73000-74200的位置震荡了很久都没有上涨突破74200的压力位，更加没有触及下跌趋势线附近，3、74200附近做空的价格跟成本有优势，止损也小。但是也目光短浅了，因为没有大局观，也因为自己原本设定的是到了位置后左侧重仓空，给小止损，谁知因为上一单的追空导致一直熬夜到早上，左侧74111空进去之后设了止盈止损后就睡觉了，但是睡醒看到下跌，再看看收益才几百u，才发现原本预计开5个比特币空单，最后因为熬夜精神不佳，只开了1个btc空单，接着又想着会不会又是下跌到73500附近又上去74200附近然后又下来，最后索性平仓了，最后走势果然是平仓后又上去74200附近后又下来，最终开启了本轮的大跌15000点，但是我已经没有空单了，而是在后续开始了各种傻逼操作，中途做多，浮亏加仓做多，只为了反弹后能在前面自己没能拿住的位置去开空，想抓住每一波行情，又想能重新再更高的位置或者原本自己已经开了空单的位置再次做空。</t>
  </si>
  <si>
    <t>这次的问题很多，也是导致后续爆仓的导火索之一，也是暴露了我很多问题的单子之一，假如这次没错，但是也为后续埋下了伏笔，问题：1.有交易计划，但是没有写纸上，2.下单前没仔细查看开仓的情况，下单后也没检查，3.睡醒发现开的仓位不是预计的仓位数量，贪婪的情绪又出来了，4.发现开仓数量不对后，又幻想行情会不会像之前一样来回震荡，完全忘掉了之前设定的止盈止损，害怕浮盈损失，又不甘心只开了这么少的仓位，5.发现平仓后行情果然又拉回去，就又暗自窃喜，当行情再次来到上一单的开仓位后，却又不敢重仓了，轻仓又嫌小，最终直接不开仓了。</t>
  </si>
  <si>
    <t>T030</t>
  </si>
  <si>
    <t>上一单btc空单平仓后行情确实是如期涨上去了，但是我并没有按照自己想的那样，平仓后等拉上去再继续重仓空，弥补自己原本没有重仓空的遗憾，而且在看到上涨后又想着再更好的位置空（这个时候最高也没涨过74100），完全忘记了压力位就应该空，如果继续上涨到更高的位置已经不能空了，这个时候看着btc上涨反而很安心很舒服，因为想着可以在更好更高的位置空，于是我有了这些想法后，在等待比特币所谓上涨到更高位置的时候，我又把目光放到了bnb上面。这个时候bnb的走势越来越弱，甚至是跌破了700，跌到了最低693后在反弹到700上方的位置，我又不断地挂空单取消挂空单取消反复犹豫，最终在涨到710前在705空了231个bnb，这个时候也没设止损，因为本身预判不会涨到710上方的的，在涨到710上方后，又因为害怕马上又在708附近挂限价平仓了。</t>
  </si>
  <si>
    <t>1.觉得错过了比特币的下跌，想在其他品种赚保证金，等比特币反弹后有更多的保证金空，2.天真的赌它不会跌破整数关口</t>
  </si>
  <si>
    <t>T031</t>
  </si>
  <si>
    <t>INTC</t>
  </si>
  <si>
    <t>这一单典型的是因为社群里的群友发了英特尔利多的新闻截图，他在消息发布后就马上开多了，而我看到他发的时候已经涨到大级别下跌的下方一点，我本来想开多的，看到这个k线图。然后又想到新闻k涨起来，也容易跌回去，所以我就马上开空了，因为自己不熟悉这个品种，开进去浮盈后就设了保本损，最终也被打了保本</t>
  </si>
  <si>
    <t>问题：1.看到群消息有群友做这个品种赚钱，所以自己也想博取一点利润2.还是不管三七二十一，不加思索的直接冲进去做</t>
  </si>
  <si>
    <t>T032</t>
  </si>
  <si>
    <t>在看到mu从1025附近不断地下跌到1000整数附近又反弹后，我又提前预判会触及1010附近下跌后，又在1014的位置做空了mu，因为操作失误才开了16个mu，最后发现开小了之后又1012平仓了。</t>
  </si>
  <si>
    <t>又是想舔一口就走，没有意识到市场热门强势股票站上整数关口意味着已经突破了，自己却想着短吃一口小回调，幸运的自己又一次开进去浮盈后就设了保本损，也因为又一次幸运逃过一劫，又给后续的错误路径又增添了一次错误的思想</t>
  </si>
  <si>
    <t>T033</t>
  </si>
  <si>
    <t>因为当天上午就把持有的74111开的1个btc的空单平仓了，当睡午觉醒了之后发现跌破了73000，之后想做空，但想到自己前面74111的空单都平仓了，现在做空又觉得很亏很恶心，于是没空进去。到了晚上8点前4小时线准备收线时跌破了72500，最低跌到了72100附近，这个价格已经跌破了前低72400，算是破位了，于是马上在72500附近挂了5.7个btc的空单，但是在下跌到72100附近快反弹触发挂单前我又马上撤掉了72500的挂单，我撤掉挂单后价格反弹到了72580附近又马上下跌破新低，看到这种情况又不断地自责与懊悔自己撤掉空单，于是反手又在72223挂了4个btc多单，因为自己也知道是下跌趋势，在浮盈后又马上设了保本损，最后保本损被打掉了。这一单完全是因为自己的空单没拿住，反而忘掉了前面已经清楚明白的72400关键位已经破了，接着又不愿意在更低的位置做空，在决定做空后又把空单挂单撤掉，看到持续下跌，又幻想着短线做多，等反弹再空。</t>
  </si>
  <si>
    <t>随意浮盈就设了保本损，但是这次的问题依然是优势成本位的空单没拿住，反而想着去做多</t>
  </si>
  <si>
    <t>T034</t>
  </si>
  <si>
    <t>上一单做多被打损后，价格首次跌破72000来到了最低71800附近，这时候的我情绪已经乱了，更多的是焦虑，想做空又不敢做空，想做空又想到前面更高位置的空单没拿住，在更高的的位置没继续进场，跌破72400的前低已经是破位了，跌破72000就是二次破位确认了，我不但忽视了破位，还想着做多，这次再做多有两个原因，1.我74111开的空单止盈设的是71668，我猜测跌破72000的话，可能跌到71888这个吉利数字附近就会反弹了，2.想着前面的空单没拿住，那就靠着多单赚回来，同时又能反弹后有更多的钱来做空，3.反弹后再做空，又有利润又能在更高的位置做空，既安全又能让自己心安。综合多重因素下，在准备跌破72000的时候，我就提前在71889挂了4个btc多单，同时也是因为害怕，浮盈后马上就设了保本损，最终也被打了。</t>
  </si>
  <si>
    <t>破位下跌后，还以为不会跌多少，因为前面的空单止盈目标就是在这个位置附近了，最重要收到了2026-3月跟4月份的震荡行情影响，认为不会跌太多，不能格局，不能拿太久空单也不能拿太久多单，最重要的是前面的空单拿不住后想做多弥补回来，然后又能有更多的钱去高位做空</t>
  </si>
  <si>
    <t>T035</t>
  </si>
  <si>
    <t>上一单mu被打了保本平仓后，又下跌到1000附近，在看到下跌又反弹后，于是我又在1011重仓做空了200个mu，开仓进去后短线看到跌不动，看着可能会跌不到1010以下了，这时候又不想设保本损，因为保本损手续费贵，所以又挂了1010.3的限价平仓。</t>
  </si>
  <si>
    <t>没有长期的盯盘以及复盘，没有了解该品种的基本面消息面技术面，而且看到了价格就开进去</t>
  </si>
  <si>
    <t>T036</t>
  </si>
  <si>
    <t>HYPE</t>
  </si>
  <si>
    <t>看了kol胡总的直播跟着开的，开仓后浮盈设了保本损，最后还是被打掉了。</t>
  </si>
  <si>
    <t>又是听到kol的直播跟着开单</t>
  </si>
  <si>
    <t>T037</t>
  </si>
  <si>
    <t>看到bnb跌破700后还下跌破了我画的4小时跟日线级别的支撑688后又反弹，于是在小级别里看到反弹到695后就上不去了，于是就挂机了692.25空216.56个bnb，但是由于我话的点位太过于极限，仅仅只是成交了1.04个bnb而已，于是在挂单成功浮盈后我又设了691保本损，最后被打了保本损。</t>
  </si>
  <si>
    <t>T038</t>
  </si>
  <si>
    <t>上一单在1011做空mu平仓后，先是下跌跌破1000关口，随后在美股开盘前5分钟极速拉升，在拉升的过程中我又猜测可能最多只会涨到1020以下，而且可能也是像之前那样在美股开盘前后先拉后跌，于是在1018做空了150个mu，开进去之后就浮亏了，在美股开盘后mu依旧上涨，最后上涨到最高1038后回调，扛单一会后最终在1017.6的位置设了限价平仓。</t>
  </si>
  <si>
    <t>1.想在美股开盘初始波动大的时候快速博取利润，2.同样是老问题，都是重仓开进去，只要浮亏就设置爆仓价附近损，如果短期没浮盈就设开仓价附近平仓，3.只要开进去浮盈，就设保本损，因为不熟悉品种</t>
  </si>
  <si>
    <t>T039</t>
  </si>
  <si>
    <t>上一单71889的多单被打掉保本后，看到btc跌破了71500，因为之前在74577开的0.7个btc空单止盈位就是71668，看到价格跌到了我原先持有空单设置的止盈位，情绪瞬间爆炸，非常的急躁，非常的后悔，内心很乱，坐立不安，既后悔没拿住空单又后悔去做其他陌生品种，又回想到前面74111预计要重仓空5个btc的，却因为操作失误开了一个而已，最后还因为嫌弃仓位小而平仓，在各种情绪的影响下，不断地在短线盯着价格跟k线，在看到价格跌破71500又快速反弹到72288又快速下去后，又想着挂72000做空，但是价格反弹到71800附近就上不去了，心情更加的焦急，在等待的过程中又下跌，最终忍不住了在71568做多了1.76个btc，最后在没设止损的情况下等到浮盈后设了保本损被打了。</t>
  </si>
  <si>
    <t>看到价格继续下跌后情绪化开单</t>
  </si>
  <si>
    <t>T040</t>
  </si>
  <si>
    <t>上一单btc多单被打保本损后，依旧盯着btc，同时在各个位置不断地挂多、空单，挂了又取消，最后在btc即将跌破71100的时候在71089挂单做多3个btc，止盈止损设在了74000跟69000，短线涨到最高71400开头浮盈后看到短线又下跌，于是在71200设了限价平仓了。</t>
  </si>
  <si>
    <t>上一单被打保本后，一个钟后看到价格下跌又追进去，又是赌破不了整数关口</t>
  </si>
  <si>
    <t>T041</t>
  </si>
  <si>
    <t>上一单btc多单平仓后，行情从71200附近持续下跌到71000附近，随后我想起来了之前大级别上涨到82000前有一段行情是回调到70700附近后涨起来的，我马上回头查看确认，随后在下跌的过程中在70738挂单开多3个btc，止盈止损设在了72211跟69000，行情最低下跌到70650就开始反弹了，在反弹中我依然是浮盈后挂了保本损，不久就被打掉了，不过被打掉了保本损后就行情依旧持续上涨。</t>
  </si>
  <si>
    <t>上一单是赌不跌破71000整数关口，这一次是给自己找了个支撑附近可以开多的借口，现在回头看，下跌趋势线是在76000上方，最大压力位74200都没有站上去，现在连71000都跌破了，还认为下方的支撑有效，最重要的是我从2026.5.26入金前以及入金后，完全没有认真看之前一直看的kol胡总的直播，只是简单的看，他画的下跌趋势线我跟着画了，他画的下方支撑我没有画，最终开启下跌后我才发现这个问题，跌破70700已经是破了支撑，最后收回来再下跌，就是真的做空的时候，或者是下跌弱反弹也是做空的时候</t>
  </si>
  <si>
    <t>T042</t>
  </si>
  <si>
    <t>上一单保本损被打了之后行情持续上涨，在看到我上一单多单几乎是开在了短期内的低点后，情绪瞬间又难受了，又在算假如不设保本损，现在又盈利多少，现在又是多安全，于是在反弹不久又想着可能反弹刺破71000整数一点又会下去，于是我又在71000整数位挂单做空了4个btc，这个时候没设止损，开仓后行情持续上涨的过程里我在71538又浮亏加仓了4个btc，总仓位来到了8个btc，开仓均价71269，在上涨到最高71788后行情开始回调下跌，最后在扛单两个小时左右因为过于紧张不断地切换手机交易所里的界面导致误触“反手”按钮，最终在71418平仓了空单，同时也开了多单，这个时候我马上点开仓位记录，发现亏损很多，因为“反手”相当于收了两次高额手续费，这个时候心情很难受也很不服。</t>
  </si>
  <si>
    <t>做多失败后，又情绪化的盲目追空，最终因为操作失误，在价格71418误触了反手做多，亏损1592.5u，不然我还是会继续扛单，反手做多后，因为我对做多更慌，马上又平仓多单</t>
  </si>
  <si>
    <t>T043</t>
  </si>
  <si>
    <t>上一单空单持仓中误触“反手”按钮被动开的同等仓位多单，随后马上平仓了。</t>
  </si>
  <si>
    <t>扛单时精神紧绷，不断地来回切手机交易所的各个界面，导致误触反手开单</t>
  </si>
  <si>
    <t>T044</t>
  </si>
  <si>
    <t>上一单误触的单子平仓后，看到本来打算靠扛单扛回来的空单因为误触“反手”按钮导致空单亏损、多单亏损，而且还多亏了意料之外的高额手续费，此时的心情是非常难受与不甘的，因此急于把前面的损失找回来，这个时候行情处于反弹到71788的高点后跌下来的，于是平仓后我挂了个猜测的位置71556重仓5个btc，止盈止损设了68889跟74126，赌它上不了71700上方，顶多到了71500上方就下来，同时也因为计算了大概下跌多少，我开多少才能快速回本，所以重仓了5个btc空，开仓成功后，行情上涨到71660附近就开始71300-71600震荡，这个过程里没有等来加速下跌快速回本，计算了前面亏损的多空两单加起来的亏损，我要拿到71050附近才能赚回来，于是中间又多次修改了止盈，止损也修改了2次，在下跌到71150附近又反弹到71200上方时最终受不了，又设置了71150附近限价平仓了。</t>
  </si>
  <si>
    <t>开单后一直在成本附近小幅震荡徘徊，最终熬夜到凌晨5点后终于来到执行价附近，因为害怕到不了，还修改止盈上调了几十点，最终触发后，比特币还是继续下跌，这个时候因为有了盈利回本，但是还是有点后悔没拿久一点</t>
  </si>
  <si>
    <t>T045</t>
  </si>
  <si>
    <t>因为上一单重仓5个btc的空单还差一点没把当晚的损失赚回来，加上平了btc的空单后，后续的走势我也看不懂也不敢继续空，位置很尴尬，看着要跌破71000又跌不破。于是又跑去看bnb，发现跌破了700整数关口，随即就想着在bnb重仓空一下把当天损失的赚回来就跑，因为前面做了好几次bnb，以为会像之前那样价格涨到到了某个位置哪里又会跌一点，或者跌到到了某个位置又会涨一点，所以这这次点进去看到bnb从最高702下跌到688后情绪又被调动起来了，因为之前有一次做多的时候挂过689的限价多单，所以凭借着这个记忆以及破700整数关口，觉得bnb的整数关口既然都破了，大概率还是会下跌的，于是在下跌到688反弹到690上方的时候就空了200个bnb，没设止盈止损，开进去看到浮亏后受不了了，想着本来就是来赚一点就跑，现在开进去浮亏后马上就难受了，于是马上就挂了保本限价平仓。</t>
  </si>
  <si>
    <t>连比特币都看不懂，bnb更加看不懂，又是看到下跌就开进去，又是赌整数关口，又是天真的想着重仓快速博取利润，而且还是为了把当天的损失一分一毫的博取回来，这是极度危险的想法，也是一直以来的危险想法</t>
  </si>
  <si>
    <t>T046</t>
  </si>
  <si>
    <t>btc在我上一单5个btc空单以71150附近的价格平仓后，还在不断地下跌而且跌破了71000关口，本来在我平仓后没有触及最先预设的71050的回本点位的时候心情还舒服点，看到跌破了71000来到了70900附近的时候又开始算拿住空单后的收益，于是在看到跌到70900又反弹又下跌，我猜测可能跌不破70800，所以就在70811挂单做多2个btc，止盈止损设的是72333跟69100，在触发挂单成功后，看到分钟k跌到最低70806后涨到70839又下跌收到了70816，看到这种情况加上美股期货开盘下跌又害怕亏损，同时也以为会继续下跌，想在更低的价格接多，多重因素下又马上设置了70860限价平仓，触发平仓后行情就持续上涨到最高71500。</t>
  </si>
  <si>
    <t xml:space="preserve">回本执念或者是挽回当天亏损的执念，因为小亏而睡不着</t>
  </si>
  <si>
    <t>T047</t>
  </si>
  <si>
    <t>早上的多单平仓后就睡觉了，到了中午睡醒后看到btc价格最低跌到了70000附近又反弹到70800-71000震荡，这个时候心情是复杂的难受的，难受是因为错过了前面的高位空，复杂是因为害怕看到btc价格继续下跌，只敢偶尔打开手机看看价格，更加不敢看各个社群，害怕看到别人在高位空，甚至害怕看到比我在74111预计重仓空的位置还低的群友晒空单浮盈，有时候打开手机看到价格停留接近71000才稍微舒服点，后面吃了中午饭回来看到价格再次站上71000后舒服点就睡午觉了，睡了一会再看，价格再次跌到70700附近，这个时候打开社群看到群友晒70900做空，当时心理还在安慰自己，他们这个位置做空，等会反弹就难受了，于是又继续睡午觉。（后面才知道原来群友都是跟着我经常关注的kol胡总开的空单，跌破70500后弱反弹开的，这个位置也是跌破了大级别上涨趋势线。），午觉睡醒后，看到btc已经跌破了70000大关，价格来到了69666，此时我的心情相对还是比较淡定了，因为觉得既然错过了就等等吧，但是在行情跌到69200后，加之有点无聊，于是打开电脑想画画线，开了电脑后，又冒出来在短线震荡里来回多空重仓短撸，于是开始了第一单重仓短撸。在5分钟k里在69333的位置做多了1.464个btc，止盈止损设在了71900跟68200，开进去后短线里浮盈又浮亏后，我又设了小赚限价平仓。</t>
  </si>
  <si>
    <t>因为无聊而看盘，因为看盘而想着短撸利润为后续做空做储备</t>
  </si>
  <si>
    <t>T048</t>
  </si>
  <si>
    <t>上一单多单平仓后，短线里有小反弹，因为有了短线来回撸一点的思维，加上又因为2024年的时候有个大哥跟我讲过交易市场里，大部分时间都是走正态分布的，当然那时候也都是亏钱的，有了这种不好的交易记忆之后想忘也忘不掉，根据所谓的正态分布，我预计在小反弹里可能的高点是前面下跌的低点69666附近，于是我在69680挂单做空，因为价格太极限，最终成交了部分挂单0.886个btc而已，随后下跌浮盈，浮盈后我才发现才成交了这么多，想到这么少的仓位随后又马上设了71526限价平仓了。</t>
  </si>
  <si>
    <t>因为没完全成交挂单，而不甘心，最终平仓了盈利单</t>
  </si>
  <si>
    <t>T049</t>
  </si>
  <si>
    <t>上一单空单平仓后，这个时候我依然是重仓短撸思维，多次在不同的价格挂了多空单，然后又取消，最后一次在69540重仓开了4个btc多单，这一次没有像前面那样如期上涨到69700左右再下跌，而是下跌到69360-69500之间震荡，中间跌到69360附近浮亏的时候就想着赶紧保本平仓吧，于是设置了69598的保本价，这样不会亏手续费。最终行情最高涨到69588后再次下跌，这个时候开始难受了，也有点意识到可能涨不上去了，但是又侥幸心理作祟想着扛回去，而且本来就是想着重仓赚个100点的差价，不想小亏平仓。前面刚开始因为无聊打开电脑画线。那一刻开始有了重仓短撸之后，就一直都是看小级别的k线，看着就像震荡，所以也一直没舍得小亏出场，加上自己想着要是下跌，我就继续加仓，这样我成本又好，又能变相克服自己不敢一次性开更大仓位的心理。（还有这个时候我的保证金余额是14500u左右，从复盘的第一条开始也是我本轮入金的开始，本轮入金14500，来来回回，本金也差不多是维持再14500u左右），这时候价格又从69360-69500之间震荡后，下跌96200开头，这个时候已经是一点反弹的迹象都没有了，但是此刻我还是很淡定的，心想着美股马上开盘了，真的要下跌的话一般美股开盘都会反弹一下再跌下去，反弹上去之后我再平多做空就行了。但是没想到美股开盘前就跌破了69000，这个时候我以为最多只会像之前的某段行情那样，69200是支撑，极限跌到68888这个吉利数字打多头止损就会上去，于是想着跌到68888就浮亏加仓，但是在临近68888的时候我又撤单了，从68888反弹到69160附近后又再次下跌，这个时候我不敢在68888加仓了，在我看来69200已经变成了压力位，但是我没想过止损平仓，于是我又猜测可能会深度打损下跌到68600附近就会上来，而不是大家可能猜到的68888，于是我在68568挂单5个btc空单，美股开盘后已经从68888反弹到了69000附近，随后又在68700-68000震荡，最后下跌触发了我的68568的5个btc空单挂单，总仓位9个btc，这个时候开仓均价来到了69200，但是最终反弹也只是反弹到了68700又下去了，下去跌破68000在67700附近震荡时，我的爆仓价是67300附近，因为害怕爆仓索性在68000平掉了4个比特币，平掉之后看到反弹很弱害怕爆仓，又急切的想要回本，于是马上紧急联系入金商家又入金了29000u，有了更多的保证金后，于是在跌到了67333时又加仓2个比特币，在下跌又小反弹的过程中，我又在67480加仓5个比特币，这个时候最高涨到了67800，如果平仓的话我当天的亏损就是4000u而已，但是没有，当价格再次下跌。我又在67390加仓5个比特币，之后价格再度上涨到67600附近，如果保本平仓要涨到67900，但是最终又跌下去了，跌下去到了67236时又加仓10.852个比特币，最终总共开了27.852个比特币，整个加仓的过程中不断地拿计算器计算浮亏加仓的平均价格，去计算假如我在某个位置早点或者迟点重仓加仓的话，在某个时刻都已经回本了，最终加完最终的仓位27.852个btc后没多久。价格再度走弱下跌，当价格下跌到67100附近徘徊时，看到可能又面临爆仓，于是我又马上联系入金商家，因为已经是半夜凌晨打了很多个电话都没回复，最终在跌破67000后挂了爆仓价附近66500左右止损，最终价格最低下跌到了66388触及了我的止损，最后亏了38141u。</t>
  </si>
  <si>
    <t>想重仓短撸博取小利润，重仓，浮亏加重仓，不舍得小止损，侥幸心理</t>
  </si>
  <si>
    <t>T050</t>
  </si>
  <si>
    <t>上一单爆亏的多单平仓后，因为上一单多单持仓过程里感受到反弹很弱，价格最低跌到了66388后，随后短线价格反弹到66500-66800之间上下快速震荡，这个时候我没有多想，也不敢再做多了，只想快速重仓回本，于是在仅剩下7000多u保证金的情况下，在66671的位置重仓追空了7.751个btc，空进去后再次把止损设到了爆仓价附近，很不幸的是爆仓价附近也是我在这段行情下跌时画的支撑阻力位67300左右，最后价格确实是再次突破了67300上方，并且打了我的爆仓价附近的止损。</t>
  </si>
  <si>
    <t xml:space="preserve">复仇单，想快速回本，想重仓回本</t>
  </si>
  <si>
    <t>T051</t>
  </si>
  <si>
    <t>上一单空单追空开单前就看出来67300附近是压力位了，但是回本冲动之下没等反弹就在66671冲进去了，所以上一单被打了止损后，又继续在67344空2.962个btc，空进去后害怕反弹又看到有浮盈了，于是在在下跌时忍不住设了67146限价平仓了。</t>
  </si>
  <si>
    <t>复仇单，想快速回本</t>
  </si>
  <si>
    <t>T052</t>
  </si>
  <si>
    <t>上一单平仓后，我又连续挂了几次比上一单更高的位置做空，但是反弹没到我的挂单位后又继续下跌，在跌到671000后又想着做多，于是在在67060挂单重仓了2.8个比特币，挂单成交之后，我以为不会跌破67000了，在跌到66900开头时，我马上又设了67160保本价限价平仓，最后行情下跌到66888后再次反弹，随后最高反弹到了67800开头。</t>
  </si>
  <si>
    <t>在大亏之后，胡乱猜测方向，不断的多空转换来回做空做多</t>
  </si>
  <si>
    <t>T053</t>
  </si>
  <si>
    <t>上一单多单我再次提前平仓后，行情下跌到66888后持续反弹，我在反弹的过程里不断的反复预测反弹高点并不断地在67700-68200之间的位置挂单空单，然后又不断地取消挂单，最终在反弹过程里忍不住在67579就做空了3个btc，同时把止损设到了68300的爆仓价附近止损，挂单成功后行情还是持续反弹到接近67800，看到这种情况，我随后又马上设置67466保本盈利限价平仓，在平仓后行情又反弹，随后反弹到了67800上方后才下跌。</t>
  </si>
  <si>
    <t>回本的执念，看到上涨下来又开始追单</t>
  </si>
  <si>
    <t>T054</t>
  </si>
  <si>
    <t>上一单空单平仓后，价格再次持续反弹，在反弹的过程里我又不断地在68198挂单做空，但是价格最终在反弹到67800上方后震荡了一会就又下跌了，看到价格都要接近68000后，又不断地下跌远离自己预设的做空挂单位时，这个时候又开始难受了，随着不断的下跌，短线价格在67300附近反复震荡时，又有了多进去，等反弹再空的想法，想着回到67800附近就空，一定不等68000上面再开空了，有了这个想法后，于是我又在67324做多了2.357个btc，没设止盈止损，开多进去之后，价格并没有如期反弹后再下跌，而是再度下跌到66900附近，在看到下跌设了保本价附近限价平仓。</t>
  </si>
  <si>
    <t>依然是回本的执念作祟，想在短期内，日内把亏损赚回来</t>
  </si>
  <si>
    <t>T055</t>
  </si>
  <si>
    <t>上一单多单扛单在保本价67361平仓后，短线看到价格仅仅只是反弹到最高67400，于是我又挂了67360做空，但是转念一想刚刚才在这个位置附近平仓，现在又空进去，等会又反弹怎么办，又要扛单怎么办，这个位置空进去又是没能在更好更高的位置空，成本这么差，于是又取消了，取消做空挂单后，看着价格又从67300附近下跌到66900附近，于是又是挂单做空，又因为价格远离了67300几百点了，于是又取消，在不断地挂单又取消中，价格跌破66500，这个时候又在犹豫，当价格再度跌破66500的时候忍不住了，最终在66304做空了2.23个btc，开进去没多久又反弹了，接着又在66552浮亏加仓0.739个btc，总仓位来到了2.969个btc，开仓均价66365，扛单了7分钟后才设置的67199止损，止盈设置在了保本盈利的66291限价平仓。</t>
  </si>
  <si>
    <t>在压力位做多浮亏后侥幸逃生，看到价格急剧下跌又忍不住低位追空，且又浮亏加仓</t>
  </si>
  <si>
    <t>T056</t>
  </si>
  <si>
    <t>上一单空单浮亏加仓侥幸逃生小盈利后，看到价格跌到最低66150又反弹到66600后，在小级别3m看到了所谓的顶分型形态后，于是在没收线的时候在66518再度做空1.5个btc，开进去后价格再度上涨，在涨到66900附近又浮亏加仓1个比特币，总仓位来到了2.5个btc，开仓均价66675，开进去后才设了止损在67600，最后在浮亏扛单时修改了4次止损，止盈设置在了保本价附近66626限价平仓。</t>
  </si>
  <si>
    <t>又一次看到价格比前面的单子成本好，而追进去，熬通宵，熬到了早上9点钟</t>
  </si>
  <si>
    <t>T057</t>
  </si>
  <si>
    <t>MRVL</t>
  </si>
  <si>
    <t>上一单平仓后本来又想接着做空btc，但是在扛单的过程里看了早上kol胡总的直播说还会有反弹，等反弹空，于是想着等着反弹到更高的位置再空btc，这个时候随时熬夜通宵了一晚上，但是还是想着要回本，随后又浏览了一遍社群，发现黄仁勋喊单迈威尔的消息，但是这个时候已经涨了很多，我看到消息的时候应该是已经过去了一天，这个时候我觉得这个股票可能是我翻盘的机会，随即找了自己认为的合适的回调位置318.7就开多进去了，开多进去之后我才设的止盈止损，中间改止损也改了4次，第5次改止损是浮盈后设了保本损，最后还是被打了保本损。</t>
  </si>
  <si>
    <t>听社群的消息做单，而且是做不熟悉的品种，幻想着能靠短期内已经大幅上涨的热门品种来翻盘</t>
  </si>
  <si>
    <t>T058</t>
  </si>
  <si>
    <t>上一单mrvl平仓后，凌晨给入金商家发的消息也得到了回复，我跟商家说了睡醒后再入金，到了下午睡醒想到早上看的kol胡总的直播说等今天反弹空，于是决定重新入金30000u，当时心想的就是这重新入金的30000u就是来打翻身仗的，一定要等比特币行情走出一个好的位置，重仓8-10个空进去，这个时候信心满满，随时凌晨的时候已经接近爆仓了，但是想着这次是下跌趋势，只要自己耐心等待反弹重仓空，还是有机会快速回本的，但是在等待反弹的过程中，我又犯了老毛病，发誓不再碰其他品种又碰了，于是在入金后的5分钟马上在1069又开了mu的多单，开进去就浮盈了，随后一路上涨，同时止损也是浮盈后才设的，一边上涨一边不断的修改止损，从1070依此抬高止损到1075，因为自己过于在乎完美点位，自己挂单都是挂限价单，浮盈后才发现才重仓做多的才挂单成功42.2个mu，于是又想着开多点仓位进去，在不断等待加仓的过程里一直犹豫一直上涨，于是在持续上涨突破新高的过程中，在突破1085的时候又加仓了188个mu进去，总仓位230个mu，开仓均价1082.5，开进去后浮盈了一会后，又把止损改到了1082，因为仓位重，于是我又挂了1084.5保本损，没多久就触发了保本损。</t>
  </si>
  <si>
    <t>发现只成交了部分仓位，于是又加大重仓进去，倒金字塔式加仓，再次打破誓言，开了不熟悉的品种</t>
  </si>
  <si>
    <t>T059</t>
  </si>
  <si>
    <t>XRP</t>
  </si>
  <si>
    <t>在kol胡总的直播过程里跟着开的在1.1238做空了99850个xrp，开仓的同时设了止损1.244，浮盈后改为1.24止损。</t>
  </si>
  <si>
    <t>做了不熟悉的品种，听了直播后马上开仓</t>
  </si>
  <si>
    <t>T060</t>
  </si>
  <si>
    <t>上一单mu的多单被打掉后，价格触及1088这个吉利数字后就走弱下跌了，这个时候赌1088吉利数会是高点，也赌突破不了1100整数关口，于是又在1086的位置做空229个mu，开进去后设了止盈1076，没设止损，等浮盈后设了1085.6保本损，最终触发了保本损。</t>
  </si>
  <si>
    <t>开单无逻辑，简单的认为整数关口过不了就空，做了比特币以外的品种</t>
  </si>
  <si>
    <t>T061</t>
  </si>
  <si>
    <t>因为Mu再次被打保本损没赚到钱后，又选择到黄仁勋喊单的mrvl，因为mrvl在我上一单多单被打损后就持续上涨并突破新高到342最高，之后又再次震荡下跌，这次再次开多是mu被打损后，在看到mrvl在下跌反弹，且小级别里反弹越过了下跌启动位，于是在327.78的位置重仓了628.99个mrvl，没设止损，设了322止盈，这次重仓这么多是因为想到了平时mu都开了200-300个mu，算到要开差不多的重仓就得开这么多，同样也是因为重仓，最后浮盈设保本被打损了，但是因为币安深度低，导致滑点过高，导致亏损过大。</t>
  </si>
  <si>
    <t>其他陌生品种赚不到钱，又想到更陌生的品种里赚</t>
  </si>
  <si>
    <t>T062</t>
  </si>
  <si>
    <t>上一单多单被打损后，因为币安深度低滑点高的问题导致亏了800多u，报复性的追空想赚回上一单因为滑点过大导致的亏损，于是几乎同样的位置327.68重仓开了700个mrvl，止损设在了340，开进去后行情突然上涨，随后震荡了一会才下跌，下跌浮盈后依然是设了保本损，但是最终还是因为深度滑点高导致亏损过大。</t>
  </si>
  <si>
    <t>再次报复性的想把在同品种亏的钱，同样在同品种赚回来</t>
  </si>
  <si>
    <t>T063</t>
  </si>
  <si>
    <t>上一单被止损后，mrvl接着就跌破了325半数位，随即又想着做反弹多，但是又马上取消了。随后我又看比特币的k线，看到比特币从早上反弹下跌又反弹后，各个级别的k线都在比特币上涨到67400最高的价格后反复在67000-67300之间震荡，加之前面自己就在67300画了平行压力位，这个时候有走弱的迹象，高点越来越低，于是想着先在67190重仓头仓4个btc，等晚上跌破并站稳66800以下就是m顶的颈部位后再加仓到8-10个btc，但是因为早上看kol胡总直播时说到等今天反弹后再空，又担心会反弹到68000左右，于是在kol胡总的社群里问现在能不能空，后面有个群友说可能还要反弹，随后自己又取消了自己原本预计在67190的位置做空4个btc的头仓。取消btc空单挂单后，在等待反弹的过程中，又萌生了先在其他品种赚点钱的想法，于是在看到mu在我上一单1086位置做空的空单单被打掉止损后继续下跌，这个时候又开始算数，假如不设保本损，设宽止损，又能拿多少利润了，想到这些之后马上在下跌到最低1073的反弹中在1074.5做空了200个mu，空进去之后又上涨到1080附近，于是又猜测不会突破1080在1079.8又浮亏加仓100个mu，总仓位来到了300个mu，开仓均价1076.29，止盈止损设在了1060跟1090，想着下跌了先平仓一部分，把成本拉高，随即马上设置了1075平仓100个mu，平仓了100个mu之后，行情在成本价附近震荡时又把剩下的200个mu设置了1075.8的保本损，最终还是被打了保本损。</t>
  </si>
  <si>
    <t>在其他更不熟悉的品种里吃苦头后不去看或者做最熟悉的品种，反而在应该等待比特币反弹空的时候依然闲不住的去做自认相对熟悉的品种</t>
  </si>
  <si>
    <t>T064</t>
  </si>
  <si>
    <t>Mu的空单平掉后，接着又多次在mu、mrvl、btc等品种挂单预测的高位做空，但是都因为犹豫以及害怕没能挂在一个可以空进去后能保证不会被触发保本损的位置而取消挂单，最终这几个品种都在反弹到当时的相对高位后下跌，这个时候btc也跌破了67000，跌破67000后的也挂了空单，但是也取消了，因为位置比我预计的67190做空的相差了200多点，于是又想着等反弹回去再空。这个时候转头再看前面在做空的mrvl再次下跌，而且跌到m顶、次高顶的颈部位置附近，小级别在312附近震荡，技术面上我是想做空的，但是又想到也许可能会是假跌破，而且mrvl是黄仁勋喊单的大热门品种，加上最后一次想挂单做空的位置在320上方，此时跌破了320，最终在跌破颈部位312后持续下跌，最低跌到了293，所以本来应该做空的时候，最终在犹豫中我选择了在下跌到293后反弹的位置303轻仓做多50个mrvl，止损290，2分钟后又改到了280止损，最后开进去后看到反弹弱，于是又马上设了304.2的保本价限价平仓。</t>
  </si>
  <si>
    <t>技术面上属于即将形成的空头形态反而做多，盲目的相信明星效应可以支撑市场走势</t>
  </si>
  <si>
    <t>T065</t>
  </si>
  <si>
    <t>上一单平仓后行情持续上涨，这个时候我预计可能会反弹到m顶的颈部位312附近就会下跌，但是因为有了固有的印象：黄仁勋喊单品种，加上又看到有社群群友抄底做多说美股下跌就是给机会，于是在312附近想挂单做空的空单又取消了，不过最终确实也是到了颈部位震荡后又下跌了。另外这个时候再看btc已经跌到了66600-66800震荡，本来预计今天就是要反弹重仓空btc，因为前面多次在等待反弹中，习惯性的不断去做其他陌生品种，加上在发现btc走弱要做空时又听信社群群友的话而取消做空，错失了在相对高位做空的机会，最终导致了在上一单结束后发现btc已经跌破了m顶的颈部位66800，且下跌到最低66600时，我没及时抓住再次做空的机会，而是依然选择幻想还能在67190或者更高的位置做空。于是在mu以及mrvl里都吃不到利润，且幻想着btc能再反弹到67190上方再空的时，我又选择到了sndk交易，加上之前的拿sndk跟mu对比，觉得sndk的走势相对较弱，且我拿收益计算器算过sndk的波动以及收益相对mu来说更容易快速的拿到收益，此时我已经忘记了盈亏同源的道理，能容易的快速的拿到收益，同时也会亏得快。所以在这种自认为的情况下就又跑去开了sndk的空单，在看到sndk在美股开盘后上涨然后下跌到1707这个整数关口附近后，我又幻想要是美股开盘前我能想到之前mu跟sndk都是美股开盘前后先拉后跌，这次我开空拿到1707这个位置不就能拿到多少多少利润了？而且按照我的习惯，一般都会在吉利数字或者对对应的数字止盈的。想到这些后看到sndk在下跌触及1707后反弹到了前几根k的高点位置，于是在1755做空了100个sndk，浮盈后才设的止盈止损，设了1053止损，1046止盈，最终幸运的触发了止盈。止盈后行情持续上涨。</t>
  </si>
  <si>
    <t>这是幸运单，开进去浮盈后设了保本没被打，因而进一步加深了我做空sndk的印象</t>
  </si>
  <si>
    <t>T066</t>
  </si>
  <si>
    <t>上一单sndk空单止盈后，行情触及最低1744后上涨，随后在涨到1800整数关口附近后下跌到1765附近，这时我开始猜顶摸顶，又觉得价格不会上涨突破1800关口，且觉得在这附近的位置做空比上一单在1755做空的位置有更大的优势，于是提前在认为的吉利数1788挂单做空100个sndk，这个时候价格下跌到1765附近后反弹，触发了我在1788挂单的100个sndk，没设止损，止盈设在了1773，触发挂单成功后行情继续反弹上涨，最终突破1800关口，这个时候又开始慌了，于是马上把止盈改成1787限价平仓，突破1800的关口后我想着突破后应该还会有小回调，于是我又在1802.7浮亏加仓200个sndk，总仓位来到了300个sndk，开仓均价1795.35，随即马上把止盈改为1794限价平仓，随后不久就触发了我的限价平仓。</t>
  </si>
  <si>
    <t>习惯了猜顶摸顶，总是习惯去猜价格的吉利数字，习惯把整数关口看为突破不了的位置</t>
  </si>
  <si>
    <t>T067</t>
  </si>
  <si>
    <t>本来在重新补充入金30000u前就一直坚定的想着等比特币反弹重仓空，最终因为多重因素错失机会：1.比特币在6.3上午最低下跌到65350之后反弹到67300附近震荡，一直震荡到当天下午，我入金后的1个小时后出现疲软下跌势头，这个时候我判断可以先重仓空头仓进去了，而且当天早上看kol胡总直播的时候也说了等反弹空，我认为已经到了直播里面说的反弹空的位置了，因为价格一直在我画的压力位67300附近震荡，高点越来越低，但是我心里还是没底，最后在挂单后在kol胡总的社群里问了一句可以空了吗？最后有个群友说应该还要弹吧，最终我听信了，把在67190做空的挂单取消了，心想着是不是还有可能反弹到68000附近。2.听了群友的还要反弹之后，我又觉得既然要继续等比特币反弹那我就做其他品种赚点钱先，于是就开了上述最近几单mu，mrvl，sndk的单子，在这个过程中，因为开了这些品种，有些单子扛单浪费了时间，有些单子平仓后又惯性思维的要继续做该品种，还有就是自己又不敢同时开多个品种，有些单子扛单时我又没心思看比特币了，有时候看到比特币下跌到关键位，如：跌破67000跟m顶的跌破颈部位66800，最终导致没有始终专注的盯着比特币错过了自己内心觉得的最佳做空位。于是在上述综合因素的影响下导致了这一单的开仓，这单开仓比特币，是比特币已经从67300附近跌到了65800附近后开的，虽然中间持仓其他品种的时候也看到了下跌，也有想开空的，但是又害怕开了到时候走势相反，比特币跟着其他品种浮亏扩大的话，我更容易爆仓，且自己在单一品种持仓浮亏都会失去冷静的判断能力时都会紧张，何况是同时持仓两个品种及以上，中间持仓其他品种时，看到比特币下跌到66600非常难的难受与后悔，但是再次上涨到66800附近的m顶跌破位时，我内心又是开心的舒服的，以为会有机会再度反弹，而我其他品种的持仓又能解套的话，那我就刚好可以空比特币了，不过最终当其他品种解套或者是没办法继续做下去的时候，比特币已经来到了65800-66100之间震荡了，因为前面错失了做空的机会，这个时候我再次犯了老毛病，想着做多然后等反弹再继续重仓空，于是我在短线下跌过程中不断的挂多单，最终选择在65778做多1个btc，止损设在65000，开多进去后行情继续下跌，随即我马上把止盈设为66840保本限价平仓，同时把止损改到了65490小止损，最终行情下跌到65508后反弹到65633我就提前限价平仓了。</t>
  </si>
  <si>
    <t>这次的问题很多很多，最主要是因为1.不坚守只做比特币的誓言，2.耐不住无聊而去做其他品种，3.不相信自己的判断，跑去询问群友，4.因为没能在自己心理预期的位置做空而选择做多</t>
  </si>
  <si>
    <t>T068</t>
  </si>
  <si>
    <t>上一单btc多单平仓后，行情持续上涨，之后在上涨到66090后又下跌。这个时候意识到走势这么弱，可能今晚真的会像kol胡总说的那样要去6万或者是62000附近了。但是又害怕66000-65800的位置重仓空如果止损的话太大接受不了，太小容易无效损，仓位开小了，而且开小仓位跟自己预想的、计算的一把就赚回前面亏损的相差甚远，加上看着价格远离了自己原本预计在67190开的位置，一直想着前面的67190附近本来要做空的，因为听信了社群群友的话，导致把空单挂单取消，要是前面67190已经开了空单，现在都已经浮盈了，而且中间可能还浮盈加仓，且设保本损的话也没打到，安全感没了、本来应该有的浮盈没了。在脑子里想法多的情况下，一直犹豫要不要空、在哪里空，下跌一点又极度难受，上涨不到挂单的位置时更加的难受，一直想着能在前面下跌时反弹到m顶颈部位66800空，但是最高只是反弹到了66090，最终当行情从66090下跌到65670附近反弹时，忍不住在65880重仓做空了5个btc，没设止盈止损，开进去之后才设的67600止损，开进去没多久行情继续上涨，最高涨到了66140，在上涨过程中我又改了3次止损，同时设置了止盈，但是最终下跌到65900时，我又设置了65811保本限价平仓，最终触发了限价平仓。</t>
  </si>
  <si>
    <t>仓位重了害怕止损大，仓位小了不甘心，又一直纠结开单的位置不如预想的好，想着自己错过了最佳做空位，现在开就是属于在不好的位置开，过于纠结过去</t>
  </si>
  <si>
    <t>T069</t>
  </si>
  <si>
    <t>上一单btc的空单平仓后。价格再次上涨到最高66140，然后又下跌，最后又反弹到66000-66100之间小幅震荡了一会，这个时候又是不断地冒出要是前面67190的高位做空就好了的想法，依然是因此犹豫不决，在价格再度上涨到66000上方时又想着能不能反弹到66800给我做空，但是反弹得很弱，当价格再度临近66100上方时决定不等66800了，就挂单66280附近做空，因为这个时候参考了前面几根1h里最高点66300的k线，想着会不会上去打了66300上方的止损再跌下去，但是高点越来越低，短线以及其他形态越来越弱，最终在65971开了5个比特币的头仓，中间跌到65700再次加仓3个比特币，总仓位来到了8个btc，开仓均价65870，加完仓后行情下跌到65200后再度反弹到65500然后又急剧下跌到64711，之后又极速反弹到65500附近震荡上涨到最高65829，最终我在反弹到最高65829下跌后的65706限价平仓了，因为看着下跌到64711后的浮盈减少那么多，生怕继续上涨导致一点利润都没有，甚至还会亏损，心想着还不如先吃一点，等反弹更高再做空，成本还更好，最后实在受不了就平仓了，平仓后行情就继续下跌，在跌到65500的时候盘面上看我知道下跌已经确认了，但是想到前面那么好的位置没拿住，这个时候再开已经没有了勇气。整个持仓的过程中，改了19次止损，改的19次止损价格的范围在65820-66700之间，假如我设在66850上方都不会触发止损，哪怕是设置在第一次设的止损66160也不会触发，还能设了止损就睡觉，然后睡醒了就能收钱了。整个持仓的过程里，从一开始开仓，然后加仓，就已经做好了能接受66500止损的准备，但是在后面浮盈又浮盈减少后心态就变了，甚至在临近开仓价附近是连保本止损都不愿意设了，不舍得亏一点手续费也不舍得小亏一点本金。</t>
  </si>
  <si>
    <t>没有按原计划执行止盈止损，浮盈大幅减少后受不了，幻想着先吃一点浮盈，等价格上涨过了开仓价更高的位置后再次空，重仓拿不住，轻仓不甘心，想着一把赢回所有，知道并且确认跌破也因为更好成本的单子平掉后没有继续空进去</t>
  </si>
  <si>
    <t>T070</t>
  </si>
  <si>
    <t>开仓均价65870.87开了8个btc空单平仓后，眼看着继续下跌却迟迟不敢做空，而且下跌没多久时还想着在65200附近挂单重仓做空12个btc，最终也取消了，由于自己拿不住重仓空单而平仓，导致真正下跌时又不敢做空，于是在不断地焦虑情绪的反复折磨之下，明知到下跌了又不敢追空，于是又犯了老毛病，想在下跌趋势博反弹，然后再空，但是这次连轻仓都不敢，只敢开蚂蚁仓安慰自己，其实这也证明了自己内心已经确认了空头趋势，但是就是不敢再追空，因为在高位的空单没能拿住，再去更低的位置追空，心里又不舒服，于是在下跌途中又分别在64886、63555、63329、63116、各开了0.01个btc，之后又在63202、63048分别开了0.1个btc，总仓位0.24个btc，开仓均价63223.58，浮盈后设了限价平仓，不久就触发了平仓。这一单其实也更加验证了自己明知道是下跌趋势，又不敢做空，但是又害怕赚不到钱，就开个蚂蚁仓来弥补自己的缺憾。</t>
  </si>
  <si>
    <t>明知下跌趋势还做多，开了蚂蚁仓做多就已经证明了自己是不敢做空的，小仓位做多只不过是证明自己害怕下跌亏损大</t>
  </si>
  <si>
    <t>T071</t>
  </si>
  <si>
    <t>一直熬夜到早上9点，上一单多单平仓，在小仓位多单的验证下，因为价格反复在63000附近震荡，于是下定决心轻仓2.5个比特币做空，但是鉴于价格已经来到了63000低位，还是在浮盈后设了保本损，最后也是被了保本损。</t>
  </si>
  <si>
    <t>依然受前面的单子影响，因为没能在前面的高位开单，所以在下跌延续中开单，还是拿不住单子，不能给到相应合理的止损，不能有相应的交易计划，过于纠结前面单子的点位，导致不能接受重仓，也不能接受轻仓的止损</t>
  </si>
  <si>
    <t>T072</t>
  </si>
  <si>
    <t>在上一单空单被打了保本损之后，kol胡总开始了早上的直播，在直播中他提到下跌趋势中的加速下跌还没来，还是会继续跌，现在就是等加速后再平空，我听到后，还是在原来上一单的位置附近63077开了2个btc空单，开了空后，行情不久就开始往62500附近下跌，然后又上涨到63200附近，随后下跌，再次下跌浮盈后设了保本损。这一单拿得很有底气，因为听着直播，加上开的仓位不算大，但是持仓的过程中还是在不断地回想前面因为问了一句群友导致没能在预想的高位67190重仓空，还在回想自己要是不做其他品种也不会导致自己没能在高位空，最终这次开的空单很幸运的触发了设置的61668的止盈，行情下跌到61300附近后也快速的反弹了，这一单确实安慰了我内心的小小遗憾，熬了一晚上本来以为能重仓一把赢回所有，但是因为自己的多种错误导致错失，行情在触及61344低点后最终反弹到了64700附近震荡，在反弹的过程中，内心很窃喜很舒服，同时也在不断的悔恨，不断地计算假如自己怎么样又会拿到怎么样的结果。</t>
  </si>
  <si>
    <t>对于自己的判断没有底气，听到kol的直播确认跟自己的看法相符后才毫无后顾之忧的空进去，听直播开单盈利，也加深了印象，为后续的错误路径埋下了伏笔</t>
  </si>
  <si>
    <t>T073</t>
  </si>
  <si>
    <t>WLD</t>
  </si>
  <si>
    <t>在平仓了上一单btc空单后开了wld，因为我平仓上一单btc空单后比特币开始猛烈拉升，从61344快速拉回到64000上方，我以为这次的上涨会像2026.2月初的时候比特币从7万上方跌到60000时那样，在一天内拉升了一万点以上，所以在它拉升的过程中我没有继续盯着结构、形态、k线的变化，而是偶尔打开看看价格，看到反弹得很厉害，心态还是像之前等反弹空那样，在等着它反弹的时候，价格越是上涨心情越是舒服越是心安，因为会觉得反弹得越高，后续高位重仓既有成本优势，又能小止损又能大赚，在等待反弹的时候又因为看了相关社群的消息，跟着社群的群友消息开了wld这一单多单，这一单依然是浮盈设了保本损被打了</t>
  </si>
  <si>
    <t>在本来应该等待比特币反弹空的过程中再次因为听了社群的消息去做了不熟悉的品种，还是想着舔一口的，听到群消息后又冲动开单</t>
  </si>
  <si>
    <t>T074</t>
  </si>
  <si>
    <t>上一单wld平仓后就出去吃饭了，吃饭的过程中看到btc反弹得这么猛，反弹到了最高64700，之后在63600-64300震荡，我还是受2月份比特币的历史走势影响，虽然可能不会像2月份那样一天反弹10000点以上，以为起码会反弹得更高，所以吃了中午饭后就睡午觉没看了，等睡醒后比特币又从64000上方下跌到了63200-63900之间震荡，这个时候心情瞬间就变得不好了，但是还是想着应该不会跌这么快，于是又是一边刷抖音一边偶尔打开看看价格，之后价格再度跌破63000，当价格再次从63600下跌时，我一度在63100附近挂单了几次重仓空，但是最后都取消了，最后当价格再度反弹过不了63300然后一路下跌跌破62500的时候我就不淡定了，眼看着又要继续下跌了，于是马上在62400追空了1个btc，因为价格太低又不想错过，所以就空了1个btc，因为前面下跌的过程中我画了压力位，62300也是其中一个，看着一直在附近震荡，感觉跌到62200左右就跌不下去了，于是我又在62316挂了限价平仓，最终触发了限价平仓。</t>
  </si>
  <si>
    <t>在下跌临近自己画的压力位附近，跌不动就应该考虑是不是短线支撑，而不是去做空</t>
  </si>
  <si>
    <t>T075</t>
  </si>
  <si>
    <t>上一单btc空单平仓后，看到反弹又小幅下跌，于是又不断的在62300-62600之间挂单又取消，最后在短线里又一次下跌反弹中猜测是不是要在62300我画的压力位附近震荡然后下跌，紧接着马上在62329做空了2个btc，但是我空进去后还是继续反弹，眼看情况不对，我又挂了个不能保本，但是会小亏手续费的位置62322限价平仓，最终因为我挂的是限价平仓，计算的点位又过于保守，行情触及62322之后又马上反弹，我的限价单仅仅只是成交了一点点而已，于是在反弹中再次在62453平掉剩余的全部仓位。</t>
  </si>
  <si>
    <t>在跌破自己所谓的压力位后又快速拉回就应该考虑是不是假跌破，再次因为上一单空单没拿住，看着价格下跌又冲进去</t>
  </si>
  <si>
    <t>T076</t>
  </si>
  <si>
    <t>这一单是早上63077均价做空2个btc的空单在6125附近平仓后开的，早上的行情最低下跌到61344之后开始持续反弹，看着反弹得很厉害，但是也不敢做多，更加不敢空，这个时候跟着社群群友聊天，于是带着玩味的心理在63226开了最低仓位限制的0.001个btc，这个仓位完全当不存在，之后行情反弹到最高64739后回调，回调到最低62100附近反弹时在62550加仓了0.5个btc，总仓位0.501个btc，开仓均价62551.34，加仓没多久浮盈后我我就设了保本损，最后被打了保本损。</t>
  </si>
  <si>
    <t>T077</t>
  </si>
  <si>
    <t>上一单平仓后，kol胡总也开了直播，直播里kol胡总画了下跌趋势线，同时预判btc会反弹到64500左右，并会在触及下跌趋势线附近后会回调下跌，如果要做空到时候可以在64500左右做小时级别的短线反弹空，看到胡总的直播这么说后，自己在原有在26300、63200、64700分别已经画有平行压力位的情况下也跟着挂了下跌趋势线，这个时候想的也是等反弹空的，所以也在不断地在64200-64600之间挂限价空单又取消，一边看着趋势线计算一边看着前面从61344反弹到64000上方时的k线计算可能到达的最高点，想要摸顶空，以得到最佳的做空点位，这样就能开进去后浮盈就设保本损，同时也不会容易被打保本损。但是在这个过程里，看到价格在我上一单平仓后从62600极速反弹拉升时又猛然想到现在形态上也有上涨趋势了，而且现在上涨越过了前面下跌时画的63200平行压力线，是不是可以先多进去赚一点，等会上涨到64500附近后再平仓做空，于是在行情快速上涨到63900又回调到63300附近时一下子忍不住重仓做多了7.233个btc，开进去浮亏后把止损设在了61000，最后又改成了62400，为什么是重仓了7.233个比特币呢，是因为开单前我最大的杠杆可以开20个比特币，为了限制自己冲动。但是开了单又能有利润，于是限制在了最大可以开7.233个比特币，开进去一度下跌到了63000附近，因为本来预计开进去就可能会浮盈了，但是没想到会一下子就下跌到63000附近，看到浮亏那么多，忍不住在反弹时又在63385设置了限价平仓了，最终也触发了平仓，触发平仓后行情又极速拉升到了64200附近。</t>
  </si>
  <si>
    <t>看kol直播开单，但是开的是另外一种错误单，人家说的是等反弹到下跌趋势线附近空，而我是忍不住想多空双吃，而且还是在下跌趋势中的反弹重仓多</t>
  </si>
  <si>
    <t>T078</t>
  </si>
  <si>
    <t>上一单平仓后对于做多又产生了恐惧了，想到在下跌趋势中正确的做法确实是应该等待反弹空，而不是想着两头吃，能做到两头吃的都是万里挑一的人，想到这一点之后，接着就开始挂限价空单，等着kol胡总说的64500左右空，但是我这个时候犯了完美主义的错误，依旧想要有完美的点位，以求避免自己不会亏损，可以开进去浮盈后就能设保本，且保本损尽可能不会被打掉，所以我一直想着白天反弹的高点64700的附近，第一次挂了64660空3个btc，但是价格触及最高64463就下跌了，接着我又把限价空单改到64533，想着前面都反弹到64463了，起码会上去打了前面在这个位置挂单的止损吧，但是行情反弹到64390后又下跌，于是我马上改到了在64147挂单做空3个btc，没设止盈止损，在64147挂单触发成功后，短线里看到还在继续下跌，但是下跌动能弱，于是我又想着会不会还要反弹到64400上方，接着忍不住又在63833限价平仓了，这一单开始我已经有点意识到了不能重仓，不重仓也能赚钱，所以相比以往，我只开了3个btc做空。</t>
  </si>
  <si>
    <t>再次犯了完美主义的错误，把前高做为参考点，想在前高64700下方一点空，而不是看下跌趋势线的走势，如果是64600就已经是向上刺破下跌趋势线了，为了不亏而想着能在所谓的完美点位空，都是为了求内心的安全感</t>
  </si>
  <si>
    <t>T079</t>
  </si>
  <si>
    <t>上一单btc空单平仓后，我就想着等反弹到64400上方再空，于是我又去看其他品种，看到xau后，我也不记得具体的开仓原因了，可能就是以下原因之一吧：1.是看了kol比特肥的直播，2.看到价格比上一次空黄金的价格成本走势更好，3.老毛病，在等待比特币反弹再做空时耐不住寂寞想着去其他品种里舔一口，4.看到xau短线里出现了几根阴线。在4471做空了50个xau，浮盈后马上设了4469.4的保本损，最终被打了保本损。</t>
  </si>
  <si>
    <t>做了不熟悉的品种</t>
  </si>
  <si>
    <t>T080</t>
  </si>
  <si>
    <t>上一单btc在63833平仓后，价格震荡一会后又上涨到最高64380，在上涨的过程里，我又再度挂64660的价格做空，但是最终只在64300-64380之间震荡一会又下跌了，在等待的过程里价格又从64300上方跌到64100-63800之间，于是我又把64660的空单挂单改到64300，但是随后的价格高点越来越低，btc从64000上方下跌后就一直上不去64000上方，眼看情况不对，再也不敢等更高的位置了，于是在63816附近做了1个btc，没设止损，跌破63300才设的保本损，止盈本来设的是61668止盈，但是最后通过观察价格可能触及63000附近就反弹，于是后面在62956设了限价平仓，最终下跌到最低62910就反弹了，加上胡总直播里也提到只能做1小时价格的反弹空，另外就是自己开了1个btc空单，想要赚1000u左右就平仓，所以综合因素影响下选择在63000左右止盈。至于为什么只开了1个btc做空，因为做空位置离自己预想的64000上方64300-64600差了几百点，所以只敢开1个btc空单。</t>
  </si>
  <si>
    <t>因为价格离自己预想的高位相差了几百点，而不敢开更大的仓位，最终原因还是害怕亏损，也害怕浮盈后设的保本会被打</t>
  </si>
  <si>
    <t>T081</t>
  </si>
  <si>
    <t>上一单btc空单平仓后，我就睡觉了，睡醒后已经是到了白天的上午10.30，这个时候整个市场都在下跌，特别是zec因为负面消息，从高点500u上方下跌到最低386之后就在400-420震荡，这个时候看了社群，才发现kol胡总在凌晨5点就开了空，且他的仓位也是我之前预想的，如果我开空，也是开这么多甚至更多，这次因为自己在最近一个月的交易里第一次不通宵熬夜，导致自己没能跟着他开单。然后现在自己在400-4200这个区间又不敢，接着整个人就非常的焦虑非常的难受，而且在看了社群越来越多人在更好更高的位置早就空了，就更加的焦虑难受了，这个时候比特币行情也是随意看看价格而已，看到比特币价格在62900附近也不敢动，重要的是几乎全部的注意力都放在了zec上面，并且一直拿收益计算器算假如我用预想的仓位空了zec，我会得到多少利润，而且算了之后更加难受，因为假如我按之前预想的仓位跟位置开了zec的空单，不止赢回所有而且还有额外的利润，但是最终因为价格已经远远偏离了自己预想的做空位置不敢空，因为在前一晚看kol胡总直播时也提到zec大级别日线处于m顶跟三重顶的结构，最好的做空方式就是等破位空，也就是跌破了颈线位置510后空，前一晚我是想提前空，但是又害怕反抽所以没空，最终越想越难受越想越紧张，所以也导致我本来想在zec400-420之间震荡时想在422做空都没敢下手同时也失去了判断力。接着在不断地想做空又害怕反抽的时候，zec不断地下跌，而我又不断的在算收益，接着zec跌破400又跌破350又跌破300，不断地加剧着我焦虑难受的情绪，而此时的比特币在我把注意力放在zec上面的时候也从62900附近反弹到了最高63600后跌破62000，这个时候更加的焦虑与难受了，心想着zec不敢空吃不到利润，也因此没关注到btc反弹下跌破位，最终忍不住在btc下跌跌破前低来到61067后又快速反弹，在等待反弹的过程中我又盲目的预判可能突破不了62000，而且很多社群、kol都在说可能会破新低并且跌到60000以下，于是在反弹过程中我在61926做空了1.54个btc，开进去后没多久上涨突破62100后我就不敢拿了，并在再度浮盈后设了保本损，触发了保本损后，行情再度跌到了61300附近。</t>
  </si>
  <si>
    <t>看到睡觉时间失去了所谓的开单机会心情难受焦虑。看到kol跟群友在自己所谓预想的位置做了空自己没跟上，非常的想冲进去做单。不断地计算本来与自己无关的收益导致自己更加的焦虑与痛苦。忍不住去追单</t>
  </si>
  <si>
    <t>T082</t>
  </si>
  <si>
    <t>上一单btc空单被打损后，行情下跌到61300附近后反弹，而zec在下跌到250后也开始反弹，看到zec最低跌到了250，我又开始不断地幻想不断地算数，又在想要是我500上方开有多少利润，要是睡醒后决定在422开又有多少，要是后续勇敢的继续追空又有多少，但是在看到各个品种都在反弹后也开始后怕了，特别是zec在不断的反弹。在反弹的过程里，我还是选择了相对熟悉的btc，短线里看到btc反弹到了62500上方后，我又开始猜顶摸顶，这个时候完全忽略了小级别已经出现了好几根阳线，同时小级别也形成了w底，但是我依然选择在62776做空了1.5个btc，没设止盈止损，开进去后价格继续上涨，看到准备又要上去63000后，我又在62711设了限价平仓，随后回调时触发了平仓。</t>
  </si>
  <si>
    <t>事实上在开单前，还是在不断地计算收益，不断地查看各个社群的情况，最终在看到再度下跌后又忍不住冲进去做空</t>
  </si>
  <si>
    <t>T083</t>
  </si>
  <si>
    <t>ZEC</t>
  </si>
  <si>
    <t>在做比特币期间思绪基本都被zec吸引住了，这期间想在411做空没做又跌下去了，在388做空没做又跌下去了，最后下跌到自己预计做空止盈位250后就快速反弹了，这这期间依然是不断地计算本来就没有的收益，在反弹突破300后，又猜顶摸顶预判上涨突破不了320，忍不住挂了吉利数字318做空100个zec，没设止盈止损，浮盈后设了316保本损，最后保本损被打了。</t>
  </si>
  <si>
    <t>不断地计算本来就不属于自己的收益，在做了比特币的同时，不看比特币，反而不断地去看其他品种的走势情况</t>
  </si>
  <si>
    <t>T084</t>
  </si>
  <si>
    <t>上一单btc在62711限价平仓后，短线价格下跌触及62690又反弹突破63000，随后又从短线反弹的高点63088下跌，于是我又在下跌过程中62942做空1.5个btc，没设止盈止损，浮盈后设了保本损被打了。</t>
  </si>
  <si>
    <t>已经失控了，其他品种平了之后看到比特币略微反弹又冲进去做空</t>
  </si>
  <si>
    <t>T085</t>
  </si>
  <si>
    <t>上一单zec空单触发316的保本损后，持续上涨并突破330到了335最高点，于是我又是猜顶，想着会不会到了340以下338这个吉利数字就会下跌，于是我又挂单338做空100个zec，但是行情在触及335后就快速下跌并且跌破315，这个时候我又开始算数，要是刚才不在338挂单做空，而且在333这个豹子号挂单做空，现在利润又有多少了，假如做空200个zec又会多多少，于是当价格再度跌破315到最低310的时候，我急冲冲的在反弹后的312重仓做空了200个zec，没设止盈止损，开进去浮亏后设了340止损，浮亏扩大后又把止损改到了450，限价平仓设到了保本311.6平仓，最后触发了限价平仓。</t>
  </si>
  <si>
    <t>看到再次下跌又忍不住追进去，而且是重仓追，又是浮亏后设爆仓价附近止损</t>
  </si>
  <si>
    <t>T086</t>
  </si>
  <si>
    <t>这一单也是纯属玩味，因为在社群里聊天，大家都在讨论zec的负面新闻，为了彰显自己在zec超跌时勇敢做多而开的一个极小的蚂蚁仓位，想等浮盈后晒收益率，纯属娱乐玩耍。</t>
  </si>
  <si>
    <t>T087</t>
  </si>
  <si>
    <t>Zec扛单保本平仓后，因为是不熟悉的品种，加上反弹得很猛，所以下定决心不再碰zec，上一单btc保本损后下跌到62200附近接着又反弹上去63050附近，短线震荡一会后价格再度跌破63000到了62800震荡，这个时候看起来是反弹走弱了，但是想到我上一单空单开仓位也是在附近，因为又想着要更高的位置再开空，于是又忽略了这些走弱的信号，当价格再次下跌跌破62500的时候我还是挂空单在63000上方，这个时候我跟朋友出去喝酒吃饭了，开始吃饭看到价格维持在62700-62800的时候内心还是舒服的，心想着一会美股开盘后才是真行情，但是随后在后续吃饭的过程中看到走势越来越弱，心情、情绪又开始不稳定了，因为这个时候4h收线价格再次跌破62000最低跌到了61600附近，当价格再次从61600反弹到62437最高价时再次下跌测试61600，随后再次反弹，这个时候美股准备开盘了，我也准备结束饭局了，我又猜测价格会不会上涨到62500下方，前高62437上方然后再下跌，于是把空单挂在了62477，随后后美股开盘后先下跌再上涨到最高62310后就持续下跌，等饭局结束后再看手机，这个时候价格再次跌到前低61050附近，想到自己因为一顿饭没能专注的看行情导致错失了一波下跌行情，也因为过于追求完美点位导致再一次错失。但是我明知比特币已经处于下跌趋势的情况下，还是犯了老毛病，去做多处于下跌行情且是在61000关口徘徊的btc，随后在61053开仓0.2个btc做多，接着又在60360-61200之间加仓、减仓、加仓又平仓。这里我已经知道是要继续跌了的，但是前面跌了这么多了已经不敢在这里做空了，不能做多的原因我都知道：1.第二次震荡下跌到61000附近，而不是加速下跌，2.弱反弹，跟2月下跌当天猛拉1万点以上不同，这次拉到64739就下跌了。这一单也算是摆烂单吧，也算是不珍惜本金，开的仓位小也不算是想赚钱的单子，纯属是害怕错过行情。</t>
  </si>
  <si>
    <t>明知下跌趋势中却因为价格处于低位不敢追空，反而做多</t>
  </si>
  <si>
    <t>T088</t>
  </si>
  <si>
    <t>上一单多单结束后，看着btc跌到6万关口60300后一直在60500-61200之间震荡，一点反弹迹象都没有，因为觉得错过了一波大跌行情，本来入金后就是想要快速重仓空回本的，结果因为自己多种原因导致错失了多次机会，这个时候特别的焦虑，但是又不敢追空了，于是在跌破6万大关后又想着蚂蚁仓做多，于是在59797.3做多了0.01个btc，反弹到6万上方时又加了0.001个，纯粹是因为错过空头行情而开的蚂蚁仓。</t>
  </si>
  <si>
    <t>T089</t>
  </si>
  <si>
    <t>上一单摆烂btc多单平仓后，因为没能抓住一波下跌破60000关口的空头行情，一直在内心祈祷着不要跌破，错过行情的心情非常的难受，睡醒打开手机看到价格前都在祈祷不要跌破60000，内心想着只要不跌破60000，后续就还有机会反弹空，不过最终btc还是在0点之后跌破了6万大关，跌破6万大关前跟跌破6万大关到最低59700附近时成交了天量的成交额，随后快速反弹到60700-61400附近震荡，这个时候我还想着挂单62800做空，却忽略了现阶段比不上之前，现在已经在低位震荡了，最后震荡一会后再度跌破6万关口最低跌到了59080，这个过程里我不断地找各个社群还有各个平台kol的发言，想看看有没有其他人有什么观点能支撑自己在6万附近或者在59000上方做空的，中间多次在直播中听到其他kol说等凌晨4点美股收盘或者早上8点收日线后会快速的暴跌到54000附近，但是这个时候我忍住了，在btc跌到最低59080后又在59200-59500震荡了一会，随后在美股收盘前半个钟开始不断地反弹，最后在反弹61200-61900之间震荡又下跌，随后我在下跌中的60859做空了2.6个btc，没设止盈止损，开进去不久看到插针又快速收针后我就在60778保本限价平仓了。</t>
  </si>
  <si>
    <t>熬了一夜后的开单，既没有交易计划也没相应的止盈止损目标，如果浮亏肯定又是设爆仓损睡觉</t>
  </si>
  <si>
    <t>T090</t>
  </si>
  <si>
    <t>上一单btc空单平仓后行情随即震荡上涨，小级别连续拉了几根阳线。这次开仓依然是依照了以前认识的一个大哥说的“正态分布”来开仓的，看的是前一段短线小级别震荡区间的中间，根据观察反弹高点会是在61300附近，于是就在预测的反弹高点61378做空了2.5个btc，没设止盈止损，后面通过观察小级别k线觉得可能还会反弹所以设置了61326限价平仓了。不过平仓后的4小时又下跌跌破6万大关，最低触及59400附近。</t>
  </si>
  <si>
    <t>看到行情反弹后不是观察是否可能反转还是等走弱再空，而是觉得61300附近空，成本比上一单的空单还好而空进去</t>
  </si>
  <si>
    <t>T091</t>
  </si>
  <si>
    <t>上一单平仓后依然还没睡觉，而且继续看着行情，后面跌到60800时还想着做空，但是随后又取消了，之后就睡觉了，睡醒后直到晚上才看盘，看到比特币小级别行情跌破震荡区间后，反弹时在60652做空了1个btc，最后浮盈设保本损被打了。</t>
  </si>
  <si>
    <t>周六美股不开盘，波动小，不应该开单</t>
  </si>
  <si>
    <t>T092</t>
  </si>
  <si>
    <t>周六晚上又熬夜了，到了周日早上，看到比特币1小时k在走三角收敛，预判可能会突然上涨，果然到了早上9点一根大阳线突破三角收敛从前面的60600-60700震荡区间上涨到了61500上方，最后第二根小时k短线里面回调，于是我结合以往经验判断，比特币上涨周期里，周末大多会因为美股不开盘而有回调，同理下跌周期里大多数时候会因为超跌而反弹，加上是三角收敛的突破，且突破了整数61000，于是我在小级别k线里找机会切入，想在回踩平台的60800-60900做多，但是最低只是回踩到61150后，看到这种情况，随后果断的在61251做多2.44个比特币，开进去后我才设置止盈止损，但不是浮盈后设置的，是在61160-61290之间窄幅震荡时，且是有强烈的跌不动的感觉下设置的，第一次设置了62745止盈、59800止损，随后在上涨的过程中，多次在60750-61380之间修改止损，多次在62745-63200之间修改止盈。总共修改了7次止损，5次止盈，最终行情上涨到62630下跌到62522后设了限价平仓了。随后行情在触及62940后下跌反弹又下跌到61150附近后，随后在6.8的早上6点美股期货开盘后再度反弹到最高点64250。</t>
  </si>
  <si>
    <t>浮盈也紧张，害怕浮盈减少，特别是临近设定的止盈目标时没有触发就原来止盈位就会产生极度的紧张看，会死盯屏幕，浮盈波动大时也会吃不下东西</t>
  </si>
  <si>
    <t>T093</t>
  </si>
  <si>
    <t>上一单多单结束后，因为看不懂走势了，于是选择了休息，在6.8周一早上6点。美股期货开盘，比特币突然从61700附近快速的爆拉到最高64250，之后快速收回到63600后回调到最低62700附近，随后又开始震荡反弹，在反弹到63300后我在63600挂单做空2.6个btc，但是当价格快接近63600的时候我又取消挂单，又把挂单修改到64190上涨高点下方一点，但是短线价格在上涨触及63849后就在63550-63700震荡一会后就下跌了，这个时候我盯着小级别k线，画出了下跌破位位置63500，当价格跌破快跌破63500时我马上把挂单改成63559，但是在下跌反弹又接近63559到63608的过程中，我又快速取消，又是想着能在更高位置空，随即再次下跌且跌破63500后比特币开始不断地下跌，最终在9.20分下跌到62900附近时我看到又远离自己前面多次预想的挂单做空位置，于是又选择了做多，这个时候又开始想本来前面要做空的，又因为犹犹豫豫没开空，要是前面坚定作弄不取消做空挂单到现在又能拿到多少多少利润，现在都没了，于是当时一下子就冲动的决定在62967重仓了5.272个btc做多，没设止盈止损，幸运的是当时只是在63000附近小幅震荡，并没有暴跌，盈后设了保本损被打了。</t>
  </si>
  <si>
    <t>再次因为没能在预想的位置做空，不断地寻找所谓的完美点位，在小级别里确认空头信号也因为已经离预想位置已经下跌了两三百点而选择在下跌中做多</t>
  </si>
  <si>
    <t>T094</t>
  </si>
  <si>
    <t>上一个多单平仓后，回想到上一单在多个高位做空都取消掉，特别是在挂单等待的过程里，本来看着挂单还没触发心情会难受会焦虑，但是当价格快触发挂单时又取消。当想到本来应该有的利润因为自己不断地取消挂单追求完美点位而拿不到就更加难受了，当价格依然在63000附近徘徊时，虽然我知道大概率不会下跌那么快，但是又害怕再继续等又会像上一单多单开单前挂空单的时候那样，等着等着又下跌了，于是我忍不住又在63044重仓空了5个btc进去，没设止盈止损，浮盈后设了保本损，最后被打了保本损。</t>
  </si>
  <si>
    <t>又是害怕错过而追单</t>
  </si>
  <si>
    <t>T095</t>
  </si>
  <si>
    <t>上一单btc空单平仓后，看到价格反弹到63200后又下跌到62800附近，这时候害怕错过也想到前面在63300画有压力位，想到是不是有可能上不去压力位，在62800附近反弹到63000附近是，又赌它上不了63000整数关口，于是在62998做空3个btc，没设止盈止损，这个时候只开3个btc空单是因为前面想过了不能重仓，不能一口吃成胖子，想到轻仓抓住行情赚几波行情也能回本，最后因为是小幅震荡，浮亏扛了一会单，我又在开仓价附近保本限价平仓了。</t>
  </si>
  <si>
    <t>依然是害怕错过，忍不住追进去，追进去之后又扛单，扛回来又马上平仓了</t>
  </si>
  <si>
    <t>T096</t>
  </si>
  <si>
    <t>在上一单btc空单平仓后，看到比特币下跌又上涨后，我又幻想，会不会这次上涨就打一下我画的63200压力位附近就下去了，于是我提前在63222挂了3个btc空单，成交后价格继续上涨到最高63438，这个时候我又后悔没再等等了，因为挂单成功前我用所谓的正态分布看过k线，在小级别看到小级别可能会打一下634400附近，这个时候又犯病了，想着要是能等到63400附近再开，现在都浮盈了，可能浮盈后设保本损后面也不会打到。过了一会后价格再次下跌，下跌过程中我又幻想是不是可以滚仓了，于是在63100我加仓了0.59个btc空单，在加完之后，行情又上涨到63333后才下跌，这个时候又开始浮盈了，随后我把止盈设在了61916，止损设在66000，开始下跌后我就去吃饭了，吃饭过程中偶尔看一会价格，看到价格下跌跌破62800后很是舒服，最后睡午觉时依旧持续下跌，因为持仓不敢睡觉，既然上涨又怕浮盈减少，中间闭目眼神时偶尔看了下价格，跌到了62400附近震荡，过了一会后价格持续上涨，但是这个时候我只是看了价格而已，并没有看技术面相关的k线，最后持续拉升反弹，又回到了我的开仓价附近，但是这个时候我依然盯着前面浮盈最高的的时候不舍得止盈，中间一度浮盈想平仓，但是最终还是取消了，包括有一次回踩次低点到62600附近也没有选择平仓，最终从浮盈到浮亏扛单，浮亏时最高上涨到了64150，也多次修改止盈平仓价，当然也多次在64190-64658之间挂了16次浮亏加仓的挂单，但是都因为价格到没到而成交不了，最后在再次大回调的过程中在62889限价平仓了。过后我才看清楚下跌到62400附近是为什么会反弹上涨，原来62400附近那个位置是回踩上一个平台。</t>
  </si>
  <si>
    <t>设的止损过大，与止盈严重不匹配，连1：1的盈亏比都没有，中间持仓的时候看到下跌反弹的信号也不舍得手动止盈，总是想着浮盈最多的时候，假如在反弹中手动止盈，利润减少，手续费又贵，总是不断地有这种想法出现，在浮亏扛单时又不断的后悔没有在浮盈是及时止盈，不然等到高位再空又能拿到好的成本，利润又能多拿一波</t>
  </si>
  <si>
    <t>T097</t>
  </si>
  <si>
    <t>上一单btc空单持仓又浮亏的过程中，通过观察我画了62377为支撑平行线，因为下跌到62377附近是回踩了上一个平台，而我的上一单btc空单触发平仓后，行情持续下跌最低跌到了62381，而62381附近就是1h级别的m顶，如果下跌站稳62381下方，1h级别k线就是形成了m顶了，但是价格在触及62381后就开始持续反弹，小级别5m连续拉了几根阳线，而我选择在15m第二根阳线差3分钟还未收线我就空进去了，也是大级别1h还差分钟收线，因为想着可能大概率会下跌了，所以为了能在更好的位置空，我又猜测可能会是跌到m顶颈部位后的小反弹，反弹后就会下跌，于是我没等下跌形态确认，而是在反弹时选择了做空，最终在62805空了2.234个btc，空进去后没设止损，设了61668止盈而已，随后行情在62700-62930之间震荡，这个时候我完全都没有心慌也没怎么看价格跟盘面，这个时候我开始又有了浮亏加仓的想法，想着自己头仓开得轻，上涨我就加仓，成本还更好。于是在震荡了一个多钟后，行情从62700附近快速上涨到63190的时候我又果断浮亏加仓了2.202个比特币，总仓位来到了4.436个btc，开仓均价62996，加完仓后依然没设止损，这个时候不是恐惧，而是开心，想着被动重仓也是变相的帮自己克服了不敢一次性重仓的心理了，但是事与愿违，加进去之后，行情持续上涨到最高63500，最终在63100-63470之间震荡，在震荡期间又在63350-63670之间挂单了7次浮亏加仓，最终都取消了挂单。最后到了美股盘前开盘前才开始下跌，这个时候我设置了保本62933限价平仓，最终触发了平仓。</t>
  </si>
  <si>
    <t>又开始有了轻仓的情况下浮亏加仓可以有更好成本的想法，想着大概合适的位置进去了，起码有仓位了，如果反向行情，那就浮亏加仓，这样成本也会变好</t>
  </si>
  <si>
    <t>T098</t>
  </si>
  <si>
    <t>上一单空单触发平仓后，价格持续下跌到62646后又收针弱反弹到最高62950附近，随即我又挂单63329做空，但想到前面下跌又反弹到过最高64000上方，起码要63800空心里才有安全感，于是又取消了挂单。当价格再度上不去63000从62900下跌到62770时我又挂64100做空，这个时候已经失去了基本的客观判断力，此时行情已经走弱了。这个时候价格反复从62660反弹到62900后再次下跌创新低到了62570，这个时候怎么反弹都没上去63000上方，开始我以为还是会像之前那样下跌到62600或者62400附近就会反弹到63000上方，所以上一单空单解套后就没怎么看行情，也可以说只是偶尔看看价格，当再次看价格时发现，价格还是一直在62600-62900之间震荡，这个时候看了社群都在讨论跌破了上涨趋势线，随即我也打开k线图画了上涨趋势线，发现果然价格到了62700后就已经是刺破了下跌趋势线，而我前面却一直只是参考平行支撑62381这个位置附近的情况，结合趋势线看目前的震荡就是弱反弹，而随后跌到的62570就是实体跌破上涨趋势线，但是我还是犯了老毛病固执的认为可能是假跌破，因为平行的62381附近还没跌破，而且自己做空了很多次都没跌下去，但是我忽略了一个问题就是，前面多次下跌都很快拉回63000上方了，这次反而在这个位置震荡，且上不去63000，所以最终导致我既固执又天真，最终也导致了我在价格跌到62500开头反弹的过程里又再次追多，于62733追多2.27个btc，开进去浮亏后才设的止盈止损，止盈65000，止损60900，最后在持续的弱反弹中，选择了小亏平仓。</t>
  </si>
  <si>
    <t>没有意识到前面多次下跌又快速拉回，这次没有下跌又快速拉回，而且震荡下跌，还因为前面的空单平仓了而去做多</t>
  </si>
  <si>
    <t>T099</t>
  </si>
  <si>
    <t>在上一单多单平仓后我才意识到可能已经是要下跌了，除了自己看到的感受到的强弱之外，还因为看到了kol胡总在62800附近也做空了。但是我没耐心等，而是在上一单多单平仓的位置62670追空了3个btc，我以为行情不会再上涨到62800上方了，谁知道我开了仓之后没多久还是上去了，我忍不住又在62833浮亏加仓了1个btc，总仓位4个btc，开仓均价62710，最后因为价格在开仓价上方震荡了20分钟，受不了又挂了62656的保本价限价平仓了。</t>
  </si>
  <si>
    <t>刚平了多单，意识到下跌趋势后又马上开空</t>
  </si>
  <si>
    <t>T100</t>
  </si>
  <si>
    <t>在上一单空单平仓后，我才有心情去看kol胡总的直播，因为他在62800开了空，加上直播里也说到了趋势线已经破位了，平行压力位还在等待破位，这也验证了我前面的观点与判断，跌破62600是跌破上涨趋势线的实体破位，跌破62381下方属于平行支撑位破位，而且还有一点就是跌破62381在1h级别里属于三重顶，更准确的说属于头肩顶，所以前面下跌到62381后又反弹到63500最高，就是要走个右肩顶。有了他的直播观点确认后，我对于自己的判断才有信心，但是这个时候行情已经到了62200-62400之间震荡下跌，我还在幻想着要么跟胡总的点位一样要么比他的高，但是下跌趋势是不会再反弹那么高了，这个时候的心情是非常懊悔非常焦虑与急躁的，但是转念一想，下跌不就是验证自己的想法了吗，下跌也会有反弹才会下去啊，于是在下跌到62100又反弹到62300后，我在62400挂单重仓7个btc空单，最终挂单成功，开进去后就浮盈了，之后设了64000止损，59333止盈，这次下跌目标位很多人都是看能破前低59000的，所以我重仓了7个比特币后也一直在紧张的等待，同时也打开了电脑查看各个价格的下跌情况，这个时候我也画有60700的支撑位，眼看着要跌破了，后面又反复震荡，短线小级别里也出现了巨量下跌，我又在群里问了一句现在属于放量了吗？没得到回应，但是我还是认为会破新低，最终又慢慢的震荡反弹，在反弹的过程中多次想手动平仓保住利润，但是还是侥幸心理，想遵守自己的交易计划，想保本损，最想的还是想能创新低破59000，最终熬了一夜，在不断震荡反弹中又不断地修改止盈止损，止损修改了11次，止损修改范围在62300-64300之间。止盈修改了2次，分别是57778跟59566，不过最后在反弹到62000的时候还是平仓了。</t>
  </si>
  <si>
    <t>对自己的判断没有信心，过于执着于完美点位，在错失认为的点位后过度焦虑，在行情继续下跌没有仓位时情绪极度慌乱，持仓过程中盲目的认为会破新低，忽视盘面反馈的反弹信号</t>
  </si>
  <si>
    <t>T101</t>
  </si>
  <si>
    <t>在上一单空单平仓后，我依然一直熬夜看着盘面，价格上涨到62200后就下跌到62000下方震荡了。最低又跌到了61500左右，于是又开始后悔过早平仓，后悔自己为什么不舍得亏损一点，不设保本或者不提前平仓，继续拿着，利润会有更多，又或者前面早点平仓，然后拿利润又在这次反弹到62008上方时做空，有了这么多难受的情绪夹杂后，带着不甘带着情绪于是又不断地挂单开多挂单开空，之后又不断的取消，在挂单的第11次的时候，最终决定在61767做空1.9个btc，本来以为不会反弹到61800以上，在看到上涨到61800以上后又马上设了61722保本限价平仓了。</t>
  </si>
  <si>
    <t>因为受上一单重仓空单忍不住在成本价附近轻仓的影响，回想价格处于某个位置时候浮盈多少，导致这单的开单</t>
  </si>
  <si>
    <t>T102</t>
  </si>
  <si>
    <t>上一单空单平仓后。看到价格在我平仓后下跌到61600附近又反弹到61945，之后又下跌，于是再次忍不住在61697做空3.523个btc，开进去后又是不断地窄幅震荡，受不了后又设了保本价61668限价平仓了。</t>
  </si>
  <si>
    <t>还是不甘心前面的62400重仓空单没能在更低位置平仓，过于执着浮盈的得失导致不断地频繁开单</t>
  </si>
  <si>
    <t>T103</t>
  </si>
  <si>
    <t>上一单空单平仓后就睡觉了，睡醒后时间到了中午，睡醒看到价格又下跌到了61200附近，看到这个价格马上就勾起了记忆，又在不断地回想，假如凌晨能拿住62400的重仓7个btc的空单，61200附近平仓的话利润就有8000多u了，想到这之后，加上又幻想61200附近离61000很近了，加上这次反弹最高也只是到62200而已，假如62300-62400附近真的是支撑又变压力位的话，是不是大概率会跌破呢？假如跌破的话真的可能会再度下跌破新低，于是又下跌时在61186追空了2.375个btc，空进去后马上就浮亏，随即又接着反弹，于是我又在61332加仓2.5个btc，总仓位来到了4.875个btc，开仓均价61261，本以为只是反弹到61300附近就会下跌，谁知道行情又继续在61200-61290之间窄幅震荡，一会又再度拉升到61350上方，此时又冲动的想在61460浮亏加仓4个btc，不过随后又取消了，看到这种情况之后受不了又害怕会继续反弹，于是又挂了61156小赚限价平仓了。</t>
  </si>
  <si>
    <t>又是执着于已经平仓的单子，并且又在整数关口附近幻想会突破整数关口</t>
  </si>
  <si>
    <t>T104</t>
  </si>
  <si>
    <t>上一单空单平仓后，接着又不断地在各个价格不断地挂单做空又取消，总共挂单了7次又取消。之后看到价格上涨到61700后又再次下跌到60700这个支撑位，随后都没能下去又快速拉回61000上方。（60700的支撑位是我在62400重仓7个btc的时候盯盘发现的），看到这种情况后于是产生了做多的想法，也判断可能是近期的强支撑了，但是想到现在又从60700上涨到61000上方了，要是前面提前在60700挂单做多，然后浮盈后马上设保本损都还好，起码现在都浮盈了，于是又继续观望，但是在观望的过程里，行情涨到61300后又在61000-61300震荡一会之后再度下跌到60700支撑的上方60800，随后又在60850-61200之间震荡，看到这种情况就放弃了做多的想法。不过随后在最后一次下跌到61000的时候行情又快速的反弹拉升，这个时候又忍不住在61700做空了4个btc，开进去后，先是浮盈但是没马上设保本损，随后跌到61400后又持续反弹，最终在62433又浮亏加仓了3个btc，总仓位来到了7个并提出，开仓均价62014，直到这时都没设止损，最后再次下跌时选择在61787限价平仓了。</t>
  </si>
  <si>
    <t>在自己判断大概率会是支撑位反弹的行情里做空，浮亏加仓，扛单</t>
  </si>
  <si>
    <t>T105</t>
  </si>
  <si>
    <t>上一单空单平仓后，看到价格从上一单我加仓的62433上方下跌后又上涨到62300上方下跌，这时候下跌到61800后再度反弹，我也天真的认为可能会高点越来越低，这次下跌反弹后越不过62200这个我幻想的心理位置，于是我在62190挂单空了3个btc，止盈止损设在了57889跟66552，挂单成功开进去后，行情开始在62080-62550之间上下震荡，随着浮亏我又把止损改到了64800，之后又改一次到65300，这时候我想在62060-62090这两个价格保本平仓，但是最后都到不了，也挂单了两次62732浮亏加仓，随后又取消了，到了最后决定挂62386浮亏加仓3个btc，随即马上成交了挂单，总仓位来到了6个btc，开仓均价62288，刚加完仓两分钟，价格极速拉升到最高62840后马上又开始下跌，这个时候我又把止损改到了几乎接近爆仓价69000止损，看到这种情况瞬间又难受了，除了因为重仓又浮亏加仓害怕之外，还因为自己把62732的高位挂单取消了，反而挂了个低位的加仓，这个时候又在算假如是62732加的仓，这个时候均价又是多少，而且开了6个btc拿到多少又会赚多少，想了这些之后又想着都能涨到62800，那就先在开仓价附近62226保本限价平仓，平仓后在62800附近再重新开空，于是最后还是算上手续费后在开仓价附近的62226限价平仓了。</t>
  </si>
  <si>
    <t>明明前一单已经验证了看反弹的判断，但是还是头铁的去做空</t>
  </si>
  <si>
    <t>T106</t>
  </si>
  <si>
    <t>上一单空单平仓后看到价格还是持续下跌，于是又继续挂了62387跟62732的空单，但是价格最终反弹到最高62137后就又继续下跌了，于是取消了空单挂单就睡觉了。到了白天早上9点睡醒起来看到行情，价格最低还跌到了61068，看到这种情况，又想到昨晚平仓的空单要是加了仓之后没有那么多奇怪的想法，也就是62288均价开的6个btc空单继续拿着，又可以有多少收益了，想到这些情绪又开始低落了，而且又想到开始重新入金到现在都是来来回回扛单或者跑得快，这次又因为再次追空加浮亏加仓又错过几千u。于是在睡醒看到价格又在下跌中反弹到62000附近，我又是赌不能站稳62000，于是轻仓2个btc在61990的位置做空，在做空进去后，没设止损，看到可能会跌不下去，于是我又设了算了手续费后的小赚价格61889平仓，之后又在61878-61933之间改了6次都算上手续费且小赚的价格限价平仓，但是此时价格已经反弹到62500-62900之间震荡了，且一点下跌的迹象都没有，但是因为仓位不算大，也可以说算是自己能承受的范围内的仓位，之后就一直没看手机，也是因为仓位小我放心，所以一直没怎么看盘，而且心想大不了上去后再加仓，成本又会更好了，刚开仓进去后，发现跌不动的时候最低的时候就差几十块就到了我的限价平仓位，假如我不考虑手续费的话，舍得挂开仓价平仓也不至于扛单这么久了，中间扛单的过程里也不断地在各个价格位置挂单想浮亏加仓，总共浮亏挂单了15次，挂了之后也都取消了。最后扛单了11个钟后，价格从63200下跌的过程中，我看到了下跌信号，于是又在62743浮亏加仓了5个btc，总仓位来到了7个btc，开仓均价62527，加完仓后依然没设止损，这次加仓算是这一单的第16次加仓挂单，最后在算好了不会亏手续费后的位置62466限价平仓了。</t>
  </si>
  <si>
    <t>又是早上起来看到下跌反弹后急着进去做空，开进去后发现不对劲又不舍得手动平仓，也不舍得在开仓价平仓，非要算上手续费又赚一点后的平仓，最终价格没到设置的平仓位后又浮亏扛单，最后又浮亏加仓，加仓后又要算上手续费后再平仓</t>
  </si>
  <si>
    <t>T107</t>
  </si>
  <si>
    <t>上一单btc空单平仓后，看到价格在触发了我的平仓后又迅速反弹，此时心里也有点庆幸，因为上一单空单设在62466平仓的，价格最低下跌到62456就反弹了。看着价格再次反弹。我又再度又预判可能上不了63000上方了，猜测也许反弹到最高62888这个吉利数字附近，就会下跌，于是上一单平仓后马上又在预判的高点下方一点62860做空3个btc，开进去后没设止损，先是浮盈后又上下震荡，震荡区间里最高也上涨到了63200，这个时候设置了2次62416限价平仓，但是最终想到才跌这么点就平仓跑路不合适，于是又撤掉了平仓委托，在不断地震荡下跌中，我开始逐渐放心，并同时开始刷视频以及开车出去吃宵夜，当行情跌破区间前低62400后，心想着等下跌跌破62300后我再设保本损，这个时候先不设止损，以免被打无效损，最终第二次跌破62400跌到最低62315后又，美伊停战协议签署的消息影响下，全球市场都在反弹，而比特币也突然爆拉，小级别反弹上涨到了最高63400，在反弹的过程里我再次不断地在63322-63888之间不同的的位置挂单了5次加仓空单，之后又取消，最终第6次的时候决定在63736加仓3个btc空单，总仓位来到了6个btc，开仓均价63301，加完仓后同时把止盈设到了63296，没设止损，同时行情也在我加完仓后的30分钟后也回调下跌触发了我的63296止盈。其实这个时候更多的是想着先平仓，等着涨上去后在更高的位置再做空，加上这次反弹是因为受美伊停战协议的消息面影响，也不知道会有多大影响，所以就先小亏平仓了，手续费都不敢算了。</t>
  </si>
  <si>
    <t>平仓后继续下跌了200点左右，因为亏了230.62u，又想着干嘛不算上手续费后又平，又因此而后悔。上一单平仓后看到价格又反弹，于是又认为现在开比上一单浮亏加仓的位置还高，成本更好于是又开进去，想着就算再浮亏加仓也比上一单的成本好</t>
  </si>
  <si>
    <t>T108</t>
  </si>
  <si>
    <t>看到sndk在美股开盘前从1910附近下跌到1860附近后，我又开始算数，要是前面下跌前做空，这个时候又会有多少利润，于是在随后美股开盘的反弹拉升里，我又猜测会不会又是像之前那样美股开盘先拉后跌，但是并没有，而是持续上涨拉升到了新高1992，之后我在小级别下跌的过程中挂了1970做空108个sndk，挂单成功开仓后设了1933止盈，浮盈后设了1968止损，随后被打了保本损，因为币安的滑点过高，最终导致算上手续费后的保本损也亏损了。</t>
  </si>
  <si>
    <t>赌上不去整数关口，又是想舔一口就走</t>
  </si>
  <si>
    <t>T109</t>
  </si>
  <si>
    <t>上一单sndk空单被打保本损后，觉得sndk不熟悉，相对而言mu算是较为熟悉的，但是mu的走势跟sndk差不多，只不过是因为做得多才觉得熟悉，这个时候mu也是在美股开盘前从993附近下跌，在下跌到960附近后又在美股开盘后上下震荡几分钟就开始反弹拉升，最高拉到了1014后开始回调，而我也是在回调过程中在986.8做空了181.74个mu，没设止盈止损，本来想着开仓后浮盈就设保本损，但是看了一眼浮盈有几百u，于是干脆就直接设了984限价平仓了。</t>
  </si>
  <si>
    <t>又是赌不上整数关口，又是想舔一口就走，盈利后担心反弹又匆匆平仓</t>
  </si>
  <si>
    <t>T110</t>
  </si>
  <si>
    <t>上一单mu空单平空，mu最低又下跌到了977，随后又反弹，因为上一单尝到了甜头，所以在看到mu准备再次突破1000整数关口时，想到也许只是反弹到1000下方附近而已，加上当前价格990-995比上一单进场位986.8更有优势，于是在993又做空了86.22个mu，开仓后没设止盈止损，而且在开仓后看到小幅上涨后又马上设置了992保本限价平仓，最终回调触发了平仓。</t>
  </si>
  <si>
    <t>上一单平空后，又赌突破不了整数关口，又觉得位置比上一单更有优势，看到突破后又紧张得马上算上手续费后设开仓价附近平仓，而不是看到突破了止损。</t>
  </si>
  <si>
    <t>T111</t>
  </si>
  <si>
    <t>上一单浮亏加仓到总仓位6个btc、开仓均价63301的btc空单小亏平仓后，看到价格走了一个63200-63800的震荡区间后最低下跌到62800附近又反弹，于是我又在自认为的压力位63300附近的63322做空3个btc（经过多次btc空单的验证，63300并不是一个压力位，但是我习惯性的认为是），空进去之后行情持续反弹上涨，最高涨到了63929，最后又震荡下跌到63020止跌反弹，在63020止跌反弹后又持续拉升，在反弹拉升的过程中我赌又它涨不到之前两次上涨过不了的压力位64250下方，于是在64144浮亏加仓了6个btc，总仓位来到了9个btc，开仓均价63824，最后价格打到最高64362之后又急剧下跌，最终在急剧下跌的过程中，触发了我的63826保本止盈。触发了我的保本止盈后，短线行情继续下跌到最低63477，看到这个价格，我又在想，刚才干嘛不把止盈设低一点，开了这么重的仓位，扛单浮亏这么多，最终就赚几u而已。另外这一单头仓3个btc浮亏的过程中没设止损，后面在64144加仓了之后才设了68600几乎接近爆仓损，中间止盈修改了4次，在持仓头3个btc仓浮亏中也挂了12次限价空单加仓，中间也都取消了。</t>
  </si>
  <si>
    <t>在震荡上涨期间追空，做空后不担心会亏损，反而想着上涨后继续加仓拉成本，在看到急剧上涨后又恐慌</t>
  </si>
  <si>
    <t>T112</t>
  </si>
  <si>
    <t>上一单止盈后，因为在喝酒所以后面一直都没有看盘了，最后喝了通宵酒，睡醒后看到价格一直在63300-63900之间震荡，当价格再次从震荡区间突破上涨到64000上方后我又在64187挂单做空4个btc，没设止损、止盈设在了63526，这次还是赌它上不去64250压力位附近会跌下去（这个时候我没考虑到上一单空单的时候已经刺破了64250的压力位），在64187挂单成功4个btc空单后，短线行情回调64000附近但是未跌破，随后又上涨到最高64322，但是没破前高64362，看到价格在多次64300附近震荡后，我又在64332跟64433挂了两次加仓空单，但是都取消了，随后行情震荡了几个钟之后再次上涨，于是我马上又在64433挂单加仓4个btc，挂单触发成功后才设了止损，而且是爆仓价附近70000止损，加完仓后行情持续拉升，最高上涨到了64738，随后进入64358-64680之间震荡，这个时候我的总仓位来到了8个btc，开仓均价64310，在震荡期间因为浮亏我又陷入了无限的痛苦难受的情绪中，这个时候一边盯着k线跳动一边在犹犹豫豫中不断地在各个不同的位置挂单加仓8个btc空单，但是也都在犹犹豫豫中取消了挂单，而且中间总共修改了16次止盈。直到这个时候我才想起来，下跌趋势里的周末一般都会上涨，而且周末老鼠仓多，反之上涨趋势里的周末一般都会回调下跌。最后在扛单了17个钟后的6.14下午14点半睡半醒中，在开仓价附近64288平仓了，因为我这次是重仓，所以不敢算上手续费后再平，这次是亏了手续费，但是平仓后短线行情又继续下跌到最低64188，这个时候看到了又极度的难受跟恶心，因为亏了手续费，前面都浮亏了这么多，不应该亏手续费的。</t>
  </si>
  <si>
    <t>看到价格再次上涨后，又幻想着会不会像前一段行情一样上涨到压力位附近后再下去进而开仓，继续上涨又继续幻想会不会到了吉利数字附近会不会跌下去进而加仓，在平仓下跌后又后悔没有挂低一点平仓这样就不会亏手续费了</t>
  </si>
  <si>
    <t>T113</t>
  </si>
  <si>
    <t>在上一单空单平仓后，我又继续补觉了，当我睡醒后发现价格又回到了64600附近然后下跌，这个时候我又因为上一单空单平仓后跑去睡觉，导致没能在高位摸顶空的而陷入极度后悔焦虑的情绪中，但是又不敢也不想在上一单空单64310附近空。反复难过了一会后，在看盘面时发现1小时级别k线有要走m顶的形态，于是又切换到小级别k线里看，最后在小级别k线确认m顶形态成立后，在64286空了2.294个btc，没设止盈止损，空进去后不久就开始了下跌。此时发现kol胡总也开空单了，但是开的是sol跟eth，这也让我更加的有信心持仓了，同时又让我难受，觉得上一单浮亏加仓到总仓位8个btc的空单要是继续扛单就好了，现在浮盈就很多了，现在开的仓位这么小。最后在各个级别确认btc跌破并站稳m顶颈线下方后设了止损70500，在看到胡总开仓eth跟sol的点位后我也跟着在1668开了100个eth，止损1880，sol没能反弹到我挂单位置，加上不敢同时持仓过多，最终放弃开仓sol，选择跟着胡总开eth除了相信他而跟单之外还有另外个原因就是看到胡总也开了空单同时自己开的这一单btc也浮盈了，但是仓位没有上一单的大，于是就想着通过开设其他品种的仓位弥补btc仓位开得比上一单小。在持仓过程里，eth一度跌得比btc还多，最终又反弹比btc硬，我看到这种情况不对劲，小级别反弹了3根k，情况很反常，像是跌不动有反弹迹象，加之自己又害怕浮盈减少，这个时候账户资产突破50000，来到了51000上方，综合上述情况，最终决定把eth跟btc手动止盈平仓。</t>
  </si>
  <si>
    <t>除了看到有反转迹象之外，更多的是害怕浮盈减少，多重因素之下平仓的，在平仓后也后悔没在eth弱的时候平仓eth，而且最后一刻才平仓，而且在btc平仓后，看到又下跌几十块而感到不开心，看到上涨过了平仓价，心里才舒服才平衡</t>
  </si>
  <si>
    <t>T114</t>
  </si>
  <si>
    <t>ETH</t>
  </si>
  <si>
    <t>在开了btc空单后的一个小时左右持仓btc的过程中，看到kol胡总开了eth跟sol的空单，在自己已经开了btc空单以及看到kol胡总开了空单的情况下，觉得胡总开了空单也让自己开的btc空单得到了正确的确认，加上自己持有的btc空单已经浮盈，然后就觉得自己开的btc空单仓位比上一单btc空单仓位小了，于是为了弥补并跟上上一单btc的空单仓位，最终选择也跟进胡总开了eth空单，在1668的位置开100个eth空单，止损1880，开100个eth空单也是因为看到爆仓价在2000上方，开了仓之后eth一度比btc的跌幅还要大，中间想要平仓的，但是想到胡总都没平仓，最终选择不平仓，随后我在盯着两笔空单仓位浮盈情况的时候发现原本eth浮盈比btc多得多，怎么突然btc变弱而eth变强了，于是点到k线图看小级别k线形态后发现小级别3连阳，看到这种情况有点反常后，觉得也许就是反弹的迹象，于是有了平仓的想法，加之因为账户资产突破50000u在51000u上方徘徊，最终决定平仓。</t>
  </si>
  <si>
    <t>看了kol胡总的开单后跟进开单，因为看到了kol的开单，加上自己又有btc的浮盈空单之后综合决定的开单。平仓后后悔没有在下跌幅度大的时候没及时平仓，过度盯着浮盈，过度想着浮盈最大的时候，把浮盈当成自己的利润</t>
  </si>
  <si>
    <t>T115</t>
  </si>
  <si>
    <t>在上两单btc跟eth空单平仓后我就出去喝酒了，一直喝到凌晨5点，在喝酒的过程中刚开始看到btc的价格在我平仓后又下跌一百几十点，这个时候又开始有点难受了，但随后btc又反弹并越过自己的平仓价后心情又变得舒畅舒服了。不过此时在上一单平仓后，我又想着既然平仓了那就再挂个高位空单，接着我就在64548挂单8个btc空单、在1717挂单150个eth空单，不过随后我又马上取消了挂单，心想着喝酒了就不分神了也不方便拿手机出来看。之后btc行情开始小幅震荡，并在4点开始缓慢反弹到64000上方，到了5点整的时候btc从64000附近短线快速拉升到65000上方，在极速拉升的过程里，我又幻想或者说是预判会不会是测试前高64738附近然后再下跌，或者说是做个双顶？而且我也主观认为64700可能才是真的压力位，前面认为的64250不是真的压力位，于是64622就提前挂单5个btc，挂单成功后行情持续拉升，于是我又预判在64870浮亏加仓5个btc，总仓位10个比特币，均价64746，加仓后马上我就设了算上手续费又有点小盈利的64689的位置限价平仓，同时也设了爆仓价附近止损，幸运的是btc短线行情回调到最低64560后就一路上涨到最高65600，平仓后一度很庆幸也很得意没有在这么重仓的情况下被套，而且很快就解套出场了，解套后还跑去社群里吹水发出惊叹，市场涨得这么猛。</t>
  </si>
  <si>
    <t>上两单空单平仓的理由之一就是看反弹，自己却在反弹没多少的情况下，在强势反弹的过程中又再度幻想所谓的压力位，想在反弹里重仓博取利润</t>
  </si>
  <si>
    <t>T116</t>
  </si>
  <si>
    <t>上一单btc空单是喝通宵酒回来后开的，平仓结束后，我依旧在盯着各个品种的情况，看到整体市场都在强力反弹，此时btc正在处于从64800继续反弹到65600附近的过程，而我也在反弹中不断地挂btc限价空单，最终都取消了。同时也看到了xau也正在从4200附近强力反弹到4308附近，看到4300开头的价格马上就想到之前在推特上看到kol李哥对于黄金走势的看法：一个是4248做空，一个是4315做空，于是我又挂了4315限价空单做空100个xau，但随后我又取消了，具体取消的原因我不记得了，也许是因为当前所有市场都在反弹，加上又是陌生品种，也许是真的困了，熬了一个通宵，此时已经是早上8.30，之后我就睡觉了。睡醒后看到btc一直在65300-65900之间震荡，像是还要继续反弹，反弹到多少也不敢确定，毕竟已经脱离了近段时间来我做空区间的高点64250，于是就想着先不做比特币，等一等。而这个时候点进去看到xau的价格上涨突破李哥说的4315可以空的位置，且最高涨到了4336，当价格从4336下跌到4323又反弹到4330附近时我在犹豫要不要做空，挂了4330限价空单100个xau但是又取消了。后面去吃午饭回来后，打开手机看到价格从4330附近突破开始下跌，并且跌破了4320，这个时候我又开始算数了，假如刚才果断的在4330附近做空，现在又有多少收益了，而且还不会有亏损的风险，开进去后就浮盈了，现在都可以设保本损了，如果拿到跌破4000或者4200、41000又会有多少收益了，此时小级别15m像是走m顶，而当第一根15m的k线收大阴线后，在犹犹豫豫的过程里，最终选择了在4314做空了100个xau，开进去就浮盈了，没设止损，设了4291止盈，浮盈后没有设保本损是因为之前做过xau设保本损被打了之后还是会亏损手续费，加上又想着等下跌的距离远一点再设保本损，另外第一次重仓100个xau也是因为看到其他人以及kol比特肥经常用10000u的本金就可以赚几万u甚至是几十万u，所以就开始了重仓xau，也是到后面我才知道他们都是用的其他传统平台做黄金交易，而且杠杆都是500倍，开仓数都是论一手一手的。随着xau的持续下跌，看到浮盈不断增长后睡午觉了，但是因为有仓位也只是躺着闭目养神，偶尔打开手机看看价格，没多久浮盈1000u了，这个时候一度认为xau比btc还好做，还跑去社群里跟人家说，之后价格来到了4304附近后开始反弹，这个时候我依然不担心，还坚信会继续下跌到4291下方，当价格反弹到了我的开仓价314附近后，我又想会不会反弹到315就会下跌，于是又在315挂单，最后看到价格接近315时又马上取消了315的挂单，当价格继续反弹越过了4320后决定加仓，于是在不断地反弹中，在4321、4321.85、4325.75分别加仓了32.651个、18个、69.43个xau，总仓位来到了220.081个xau，开仓均价4319.42，加完仓之后，才设了止损，止损设到了爆仓价附近止损，止盈改到了4316。这时行情还是不断地反弹，且反弹破前高4336来到了4346后开始在4336-4345之间震荡，震荡了一段时间后，行情再度突破震荡区间上涨到4349后回调到最低4327，随后又开始一路反弹到最高4371，之后在4355-4366之间震荡，这个时候美股已经开盘了，我也在美股开盘后又选择了同时开设sndk的空单，在4355-4366的震荡区间里我想再次浮亏加仓，但是已经没有了更多的保证金可以加仓了，因为币安有仓位限制，如果没有仓位限制，我不知道还会浮亏加仓到多少。在我同时开设了sndk后，sndk也浮亏了，同时两个仓位浮亏扛单，随着浮亏xau的爆仓价也降低了，所以在这个过程里我也只能把原本4600的爆仓价附近止损改到了最新的4515爆仓价止损，同时在整个扛单的过程里也多次的修改了止盈，分别在4277-4338的价格之间修改了8次止盈，到了凌晨0点后xau开始慢慢在4355-4366的震荡区间不断的下跌，一度最低跌到我的开仓价附近4319.8，下跌到4319.8前我最后改的止盈是4318，看到跌到4323时想到可能不会跌破整数，于是又修改止盈到4321，随着价格接近4321，想到前面浮亏时最高浮亏了一万多u，这个时候起码不能亏手续费吧，于是又把止盈改到了4319，当看到价格跌到4319.8后又反弹，于是又把止盈改到了4320，最后下跌到4320.3又反弹，没能触发我的止盈，行情持续反弹到4330后，我受不了了，接着又把止盈改到了4329最终触发止盈。这个时候已经扛单扛了12个小时，反弹到4330时我难受到躺地板上去，在平仓没多久后行情又开始下跌，最后下跌到最低4307.4。</t>
  </si>
  <si>
    <t>1.看到比特币反弹且属于自己看不懂的行情，于是选择去做空其他品种。2.选择xau是看到价格处于之前看到的kol观点说的位置，随后开单。3.认为xau比btc好做。4.浮亏加仓。5.不断地修改止盈止损。6.扛单时难受到躺地上</t>
  </si>
  <si>
    <t>T117</t>
  </si>
  <si>
    <t>在上一单xau空单浮亏扛单的过程中，因为自己以往观察到sndk每次在美股开盘后的短线里大多数时候都是先拉后跌，这个时候在美股开盘前点进去，看到sndk的前高2150是因为币安深度低而向上插针到2150的，插针后收回来的高点2125才是真正的高点，之后就在2080-2100之间震荡，于是就猜测sndk可能会在美股开盘后先涨到前高2125附近或者2120附近再下跌，但是因为自己害怕如果挂真正的前高2125或者2120附近容易因为币安的深度低影响价格，到时候脱离真正的前高2125附近爆拉到2150附近就不划算了，因为本身就是想舔一口就走，如果价格因为币安深度低而发生意料之外的事就不好了，所以打算在2120附近挂单空也没挂。在美股开盘后果然行情如自己所预料那样在拉升到前高附近2122后就下跌了，最低下跌到了2024，下跌的过程里我又开始不断地算数，想着前面要是坚定的果断的按照自己猜测的位置进去空就好了，又一次因为不够果断而错失盈利的机会，一次又一次的错失本来应该有的利润，还整天靠着小盈利积累利润回本，还因为这样而整天熬夜，越想越难受，于是在下跌的过程中不断的抓心挠腮，也在下跌的过程里的2055、2100挂空单又撤销，最终在自己认为的合适位置2067就空了100个sndk，开进去后没设止盈止损，行情也在持续上涨，涨到2080后我开始把止损设到2180，止盈设到2026，行情在上涨到2086后回调到2070附近时，我以为会下跌了，所以依然抱着幻想可以拿到2026止盈，随后价格最低回调到我的开仓价2067下方2066.75后又再度上涨到2095附近，看到浮亏又扩大，于是我把止盈改到了前面回调的低点2066.75上方一点的2066.8，不敢再追求利润了，但是也不想亏过多的手续费，之后行情不断的小步上涨，最高上涨到了2117后开始在2081-2112之间震荡，这期间也想过浮亏加仓，并在2099-2114之间多次挂单想要浮亏加仓，但是因为同时持有xau的空单而不敢再加，浮亏的过程正也不断地计算着在某个位置加仓，开仓均价会是多少，跌到多少又可以解套，但是看到假如我加仓后的爆仓价后也不敢加仓了。xau空单平仓后的早上，实在顶不住想要睡觉了，于是就设了开仓价上方2068平仓就睡觉了，止损改到亏损一半本金2136损，最终睡醒后就发现出发止盈了。</t>
  </si>
  <si>
    <t>自以为摸清了所谓的规律，认为sndk只要美股开盘拉升就会下跌然后再反弹，每次想开sndk都会这么想，最终这次忍不住了</t>
  </si>
  <si>
    <t>T118</t>
  </si>
  <si>
    <t>早上起来发现sndk解套之后，心里已经对比特币以外的品种产生了恐惧感，再次在心里发誓一定不能碰比特币以外的品种，但是到了晚上美股开盘时看kol比特肥的直播，他提及美股、黄金、比特币今晚都会下跌，明天早上起来坐等收钱，而且直播里还重点提到了sndk跟xau，这段时间里他经常拿小仓位摸顶空sndk，说sndk跌起来就是会多头自杀式的下跌（事实后面确实如此，但是提前摸顶空确实不是好的交易），对于他的资金体量来说完全就是蚂蚁仓位，而他也是做xau的常胜将军，于是我也跟着不断地在sndk各个位置猜顶挂单又撤单，在xau的4340-4345各个位置之间不断的挂单又撤单，这个时候又看到比特币各个级别都出现了开始下跌的势头，特别是1h级别的k线形成了次高顶以及m顶，1h级别前前高是67255，1h级别次高是66956，但是我没等到1h级别的收线就切到小周期15m里看有没有机会了，在看到下跌到m顶的颈部位65300左右反弹后，于是就在65600的位置重仓空了6.325个btc，没设止盈止损，空进去后基本都在65700-65800左右徘徊，同时因为看了kol比特肥直播说到了xau一定会跌，今晚一定会跌，在我犹犹豫豫不断的在xau4340-4345之间挂空单又撤单时，xau开始从4340附近快速下跌，最低跌到了4314，看到我又因为犹豫错过了，于是在开比特币空单前一分钟马上在xau跌到4314后反弹的位置4320追空了200xau，在同时持仓的过程中，两个仓位的空单都在浮亏，一开始浮亏不大，慢慢的xau突然暴力拉升到4340上方，而btc在65700-65800之间震荡时我想不亏手续费在65533平仓的，但是价格最低只是跌到了65650附近而已，震荡了差不多2个钟后，价格从震荡区间反弹到65900附近，于是我又根据15mk线判断，拉升的高点可能会在66200左右，于是在66172挂单并成功加仓5.758个btc，总仓位来到了12.083个比特币，均价65872.86，加仓成功后我就设了保本65839限价平仓，不久行情回调触发了限价平仓，这个时候xau的空单依然还在浮亏扛单。</t>
  </si>
  <si>
    <t>又是听了直播后开单，虽然自己也想着开单，但是也是听到了直播后才敢重仓开单，重仓且浮亏加重仓</t>
  </si>
  <si>
    <t>T119</t>
  </si>
  <si>
    <t>本来在上一单xau跟sndk空单平仓结束后就在心里默默发誓，再也不碰btc以外任何的陌生品种了，但是又因为看了kol比特肥的直播，看到他赚钱，也听到他分析，于是我又开始关注这些陌生品种。这单xau空单比上面提到的btc空单开早不到1分钟，在看kol比特肥直播的时候，因为他提到了黄金今晚一定跌，明天起来就等着收钱。一边看他的直播一边看xau的盘面。看到价格从4357.75下跌到4348附近徘徊，在直播中又从4348下跌到4341-4335，最后想着在4341做空，但是想前面没看直播的时候偶尔也瞄一眼看看xau的价格（因为我习惯了在每一单结束后都会看一下该品种的后续价格走势，就像上一单xau在4329亏损平仓后会在过了一段时间后看看价格，当看到价格涨到了平仓价上方后会很舒服像是得到安慰一样），看到的价格都是在4345-4348徘徊，想着前面都没空，这次也想要要在这个位置4345-4348附近空，但是这个时候已经从该区间下跌到了4335-4340之间上下徘徊了，这个时候挂的是4345空200个xau，后面看着跌到4333的时候又怕接不到，于是又把挂单改到4341，等到了4340又改到4344，最后到了4341后又急剧下跌到最低4314，这个时候一边看直播看到已经持有xau空单的kol盈利，一边又不断地抓耳挠腮后悔取消了在4341的空单挂单，当看到最低跌到4314时，忍不住又把挂单改到了4320，这时行情处理最低4314后开始反弹，反弹时也触发了我的4320挂单，挂单成功后没设止损止盈，行情也还在持续反弹，看到还在反弹于是马上设4319止盈，但是反弹之后最低只是回调到了4323，本来看到情况不对，就想挂成本价下方4319止盈出去的，但是已经不给机会了，当价格回调到4323之后又开始反弹到4340上方，这个时候因为btc空单解套了释放了保证金，于是我在4345的时候又加仓30xau，总仓位230个xau，开仓均价4323.26，最后又是扛单熬了一夜到早上7点后，实在受不了了，而且自从资产总额到了50000u上方后，因为做了陌生品种导致又下降到了47000u附近，越想越难受，于是又安慰自己，在不熟悉品种亏个几千u就当买教训了，以后不碰就行了，在熟悉的品种里再赚回来就是，最终在回调到4328附近又拉升到4338后我就在4338平仓了。</t>
  </si>
  <si>
    <t>听了kol的直播开单。看到价格偏离自己前面偶尔看盘时的价格不愿意开仓，最后等到急剧下跌时又追空。重仓空，浮亏加仓。中间有机会跑，无视盘面信息，直到自己受不了才平仓</t>
  </si>
  <si>
    <t>T120</t>
  </si>
  <si>
    <t>在早上平仓了xau空单后，又继续看btc行情，看到价格从我上一单btc空单加完仓又触发我的保本平仓后就一直在65500-65800之间震荡，这个时候又想挂空单在66000空，但是想到熬了一晚上，现在已经熬到了早上，要睡觉了，要是睡觉期间有波动也不合适，而且睡觉前挂单也是不好的习惯，于是就睡觉了。中午睡醒后看到价格确实上涨到最高66092后又下跌，下跌后就一直在65700-65900之间震荡，在我吃完午饭准备睡午觉时看到价格又触碰到了66000开头，看到这种情况觉得可能还要反弹，于是又安心睡觉了。午觉睡醒后已经是下午16：30了，这个时候打开手机一看，行情从我睡午觉前的66000下跌跌到了65200，也就是跌破了上一单btc空单提到的1h级别的m顶颈部位65300，也相当于是跌破了支撑位，看到的时候想第一时间挂限价单进去（限价单手续便宜，现价开进去手续贵），但此时处于持续下跌中，我挂65132的限价单没能成交，而且还跌到了65000，看着价格远离了我睡醒后第一时间看到的价格，也属于心理预期的做空位，加上不想在65000整数位空，害怕空进去后浮盈了设保本损容易被打，没有在65132的位置好，于是又在等反弹，后面跌破65000行情在64800-64950震荡时，又想挂65100做空，眼看着要反弹，但是又是反弹到65040左右又下跌，这个时候心情是非常糟糕非常恶心的，又是坐立不安又是抓耳挠腮的一直期盼着先不要跌，先反弹接我上车，在等待的过程中行情也来到了64700-64900之间震荡，这个时候我不断地在64704-64888之间挂单又取消，在犹犹豫豫中，行情再度下跌，跌到了最低64525，这个时候心情也越来越糟糕越来越难受，而我也不敢在这个位置附近追空只能干等，一直看一直焦虑的等待着，随后价格又从64525反弹，当价格反弹到64800上方震荡后心里又舒服很多，接着开车出去剪头发也一直掏手机看，开车时看到价格又下跌到64600附近又开始难受了，索性就不看了，当剪完头发后发现当价格再度接近65000的时候心情瞬间又舒服了，这个时候回到办公室，决定打开电脑严阵以待，因为美股准备开盘了，加上凌晨2点有美联储利率决定会议，我也猜测大概率会是鹰派利空，打开电脑后，我决定在认为的上涨支撑位65300、现在下跌了属于压力位了的65300下方65211挂单重仓5个btc空，随后行情果然从65000反弹且触发成交了我在65211挂单的空单，成交后没设止盈止损，行情反弹后就一直在65100-65300之间震荡，当第一次上涨到65300的时候想加仓的，但是忍住了，这个时候心情还是轻松的认定了会跌，就算是上涨了我再加仓5个btc，把仓位开到10个，到时候又能变相克服不敢一次性重仓的心理，又能又更好的成本，假如能下跌破59000创新低，还能一把回本，而且这个时候的成本还比前面在62000-64000之间做空时还好，这个时候还很有心情的一边看kol直播一边看浮盈浮亏，这个时候我也画了一条1h级别的下跌趋势线，当价格再次上涨突破65400之后，我开始有了加仓的想法，于是在65487挂单5个btc，但是第一次上涨到65487只成交了1.226个btc，于是我马上把剩下的挂单取消，因为看到我加完仓后行情没有走弱，于是我又以为可能会涨到趋势线附近65700左右才会下跌，随即又在65721挂单加仓3.8个btc，加仓后行情又持续拉升，最后又在66170附近加仓1.2个btc，总仓位10个btc，均价65438，加完仓后我才设止盈止损，止损先是设了近期最高点67255上方止损，随着持续上涨我又设了爆仓价止损，行情在我加完仓后上涨到最高66400下跌，之后就一直在65800-66100震荡，这个时候浮亏扛单非常的害怕焦虑，一直盯着小级别k线看，中间一度想要再次加仓但也都取消了，这个过程里也不断地修改止盈想要逃命，眼看着就要到凌晨2点的美联储利率决议了，虽然事先也知道大概率会是鹰派利空，但是还是害怕会先涨后跌，通过观察前面的上涨反弹时的k线止盈不敢算手续费了，直接放在了可能会触及的回调低点开仓价上方的65468，最终到了凌晨2点利率决议出来，行情急剧下跌并且快速跌破65000到最低64746，同时也触发了我的止盈。</t>
  </si>
  <si>
    <t>在看到预计做空的位置挂不上单子后心情极度焦虑紧张、坐立不安，在反弹上涨后心情又变得舒服。在美联储利率决议的前主观认为会是利空，提前重仓空。浮亏扛单，浮亏加重仓。</t>
  </si>
  <si>
    <t>T121</t>
  </si>
  <si>
    <t>上一单空单在凌晨2点美联储利率决议消息面的影下触发止盈解套后，看到行情从66100附近急剧下跌到最低64746后又快速反弹到65200附近短线上下剧烈震荡，然后又觉得这次可能真的不会突破65300上方了，于是又在65300做空3.482个btc，做空3.482个比特币是自己认为是可以接受的仓位，而且还想着开得比前面一开始头仓就重仓5个btc空单小，就算上涨了加仓也没前面的仓位重，但是在开进去后没多久又上涨到66000，然后我又在下跌时在65733加仓3个btc，总仓位6.482个btc，开仓均价65500，这个时候看到开仓均价是65500觉得起码比前面的10个比特币空单65438的开仓价高，本来想着就拿着不动了，但是随后又继续上涨到66000左右，这个时候又想着先平掉，平掉后等更高位置再继续空，随后行情触及66000后再次下跌时在65336的位置限价平仓了。</t>
  </si>
  <si>
    <t xml:space="preserve">在消息落地后，又在2.30美联储主席讲话前冲进去做空，也相当于还没落地。在急剧下跌反弹后自认为不会突破所谓的压力位。轻仓追空为了后续上涨浮亏加仓没那么危险，且认为这样成本也会更好，既不会错过行情有了仓位，又能加仓不会重。加仓后下跌的过程中又觉得先平仓，等反弹更好更高的位置空这样会更好。</t>
  </si>
  <si>
    <t>T122</t>
  </si>
  <si>
    <t>在平仓了上一单btc空单后，想等着反弹更高再空的，于是在等待的过程中一直盯着短线波动，以为会再次上涨到自己认为的合适的且有安全感的位置66000下方65800左右，然后自己再做空，谁知道上一单在65336平仓后，再反弹到65600就又下跌，到65000附近，这个时候再度反弹到65360附近，想着要不要在65360这里就空，转念又想到上一单65500均价的空单都平了，而且还是在65336平仓的，如果在这里65300附近空感觉又舒服，前面在更高的位置重仓都没拿住，这个时候又空进去，越想越不爽，于是又继续等，最后等来的却是急剧下跌且跌破了前面因为凌晨2点利率决议消息出来后下跌的低点64746，眼看跌破了64746来到了最低64554.8，本来还想等反弹到64900附近做空的，想到再犹豫的话又要下跌了，于是挂了64630做空3.6个btc，空进去后果然反弹到了最高64928，不过随之就下跌到64000-64460之间震荡，这时看到浮盈我才设了71000止损，63911止盈，不过之后又把止盈改到了61668止盈，修改后没多久行情一度跌到了最低63882，要是我没改止盈的话就已经触发了止盈。到了7点钟左右我有事回村里处理事情，中间有空时拿手机看价格，看到又反弹到64700左右，这个时候我又想加仓不过又忍住了，这个时候我对于这一单空单也有信心，最后到了下午行情再次跌破64000，下跌到了上涨趋势线附近63660后又反弹到64000上方震荡，这个时候我把最初设定的61668止盈改到了62448止盈，因为想到之前62300附近是支撑。不久我又看社群消息，看到有群友说当天胡总直播说最低看跌到63600附近，但是这个时候价格已经回到了64200-64600震荡，本来技术面以及消息面的加持下，我是有信心可以拿到62448止盈的，但是看到社群消息后我又设了63716止盈，因为这个时候有了想来回做单的想法，想着要是前面看到社群的消息或者看到直播的话，我就在63660附近平仓，然后等反弹到这一单的开仓价后又再开一单，这样利润就更多了，到了晚上美股开盘后，行情开始跌破64000震荡，最终在开盘后的40分钟触发止盈，触发止盈后不到半个钟，又继续下跌，最低下跌到了62200，同时在触发止盈前美股开盘后我又开了一单sndk空单，如果没有看社群消息有了来回做单的的想法就会拿到62448止盈，如果没有来回做单的想法就不会产生没有赚更多的想法，如果没有产生赚更多的想法就不会有因为没看直播而导致没能拿更多的利润的想法，也都因为各种想法导致了这一单没有拿到自己设定的止盈位，也导致了开sndk空单的想法。</t>
  </si>
  <si>
    <t>在下跌后又想等更高的位置做空。想在跌破位做空后，又觉得位置比上一单空单的开仓位低，于是又只能在更低的位置追单。修改止盈，听社群消息后把自己的止盈修改掉</t>
  </si>
  <si>
    <t>T123</t>
  </si>
  <si>
    <t>在社群看到群友说的kol看跌到上涨趋势线63600附近后，想到64630开的btc空单因为没看kol直播，导致自己没能在第一次下跌到63600附近的时候平仓，转念一想要是自己在63600平仓后又再次在64600附近做空，这样不就能多赚3000多u。想着错失了所谓的3000多u后，又想赚回来，于是在美股开盘前想到了前2天发生的事情：当时是2026.6.16美股开盘前，看着kol比特肥的直播，他也是在用小仓位在sndk2050左右的位置做空，当是当时sndk基本都是在我上一单sndk空单做空时的行情震荡，价格在我上一单sndk平仓后，再次上涨突破2125附近的前高并突破新高到2165，之后在2130-2165之间震荡后下跌，之后又在2112-2140之间震荡，到了美股开盘前想要再次尝试赌sndk开盘后先拉后跌，于是又想着挂新高附近2162做空，但是看到在前面新高2165附近因为币安深度低的问题，sndk插针打到一个假的新高2173，于是把本来想要在2162做空的挂单挂到了2187做空，想着要么插一针要么真的创新高到吉利数字2188再下跌，但是美股开盘后价格涨到6164就快速跌下去了，而且还跌破了我上一单sndk空单开仓价2067，之后接着跌破2000整数大关，到了后面行情基本就是多次在涨到2050-2080之间后又下跌到1950左右，也因此我没能在预计2162高位做空的情况下，看到跌这么多心情肯定也是难受的，真的要做空的时候不跌，当犹豫的时候又跌这么多。有了前面这些事情的影响下，在美股开盘前，我从外面吃饭回来，看到sndk的价格走势又有了舔一口的想法，也有了想通过sndk把所谓的没能在btc上来回做而失去的利润拿回来的想法，这个时候sndk从低点1950左右反弹到2000上方后，就一直在小步反弹，并且在美股开盘前从2030反弹到2060左右，这个时候我又想sndk会不会像之前多次在美股开盘时拉升然后下跌？于是看了过往的历史k线后，又通过猜测打算在2110挂单空，美股开盘后sndk先是反弹到2072然后下跌到2032，这个时候我心里很急，想着干嘛把空单挂那么高，前面sndk都跌破2000了，反弹也不会反弹到2100整数上方的，于是我又把2110的挂单改到2090，这个时候行情跌到2032低点后开始反弹，当反弹到2085时我又把2090的挂单改到了2095，刚改到2095空100个sndk马上就成交了，没设止损，设了2068止盈，空进去后价格持续拉升到2099，看到这种情况感觉不妙，于是把止盈改到了2094，当看到价格快接近2094时又马上取消了止盈，这个时候最低下跌到了2091后行情再度持续反弹，之后最低只是回调到2101就再也没有回头，看着还未触发止盈的btc空单浮盈3000u左右，但是sndk浮亏了2000u了，心想着好不容易终于有一单赚钱了，不能让好不容易赚到的钱亏掉，当价格上涨到2135的时候，我又加仓了100sndk，总仓位200sndk，均价2115。加仓后，btc的空单也触发止盈了，触发止盈后我的账户资产也回到了50000上方，看着资产回到了50000上方，加上好不容易赚一笔钱，这个时候还是舍不得止损，当浮亏到了8000u的时候想着要是浮亏10000u就平仓，但是当真正浮亏10000u的时候还是舍不得，止损我又放到了爆仓价附近，最后价格上涨到2188后又下跌到2150附近，这个时候心里相对舒服多了，没那么紧张了，但是没多久又开始拉升，这个时候已经是非常累非常困了，但是一眯眼又吓醒，当价格再度拉升到2180上方时我挂了6次限价单想再次浮亏加仓，但是计算了加仓后的爆仓价后又害怕，于是想着那就亏10000u以下平，于是又挂了2162附近平仓，把止损从爆仓价附近改到了亏损本金一半平仓，刚改完没多久就被触发了止损，点进去k线一看，又是币安交易所搞鬼，一根分钟k极速上涨到2242又极速跌回正常价格2180，这个时候内心极度的痛苦，本来不应该发生的事情，就因为在币安交易所，就因为币安的深度低导致无辜的被打损，被打损后价格也回到了我设置的2162平仓价，这个时候的心情更加的无言，在经历这件事后，再看到账户从50000u变成了27000u，瞬间一股无力感来袭，最后跟币安客服交涉也没用。</t>
  </si>
  <si>
    <t>1.受社群消息影响2.幻想可以来回反复做空，把没有的利润当做是自己的利润3.想在陌生品种舔一口4.看到陌生品种把其他品种赚到的钱亏掉而不甘心止损5.想着亏10000u就止损，最后又做不到6.在上涨过程中的回调里依旧不舍得止损7.在深度低的交易所交易流动性低的品种</t>
  </si>
  <si>
    <t>T124</t>
  </si>
  <si>
    <t>上一单sndk空单浮亏扛单时，看到btc最低跌到了62232，这个时候又想到了上一单btc本来预计在62448止盈的，但是因为各种想法各种操作导致提前止盈了，于是在sndk浮亏时同样也不甘心的想在更熟悉的品种重新空进去，中间不断地在62709-63660之间挂了7次空单限价单，挂单仓位都在5-10个btc之间，因为这个时候价格都是在62300-62700之间震荡，觉得位置太低，最终都取消了。在上一单sndk被打损后4分钟，不甘心就这么被无辜的打损，于是又继续看btc，这时点进去kol胡总的带单看仓位，在看到他在62600附近做空后，也不管盘面怎么样，也是只看价格，看到价格一直在62660附近徘徊，于是就挂62708做空10个btc，这个时候还想着我在62708做空成本比kol胡总还好一点，所以也都没去看盘面，做空进去后，接着小级别就反弹了一根阳线到62900附近，看到这种情况后，马上我就设了止损在爆仓价附近，接着行情又从62900附近下跌，这时我马上设了62668限价平仓，想着等反弹到更高的位置后再空，但是当价格下跌到开仓价62708时我又取消了止盈，取消止盈后价格跌到了最低62600后又开始反弹，之后就在63000-63200之间震荡了，这个时候我又把止盈设到了62668限价平仓，同时又不断地在63200-63300之间不断地挂单想要浮亏加仓，最终都取消了。最后熬了一晚上依然还是在63000附近震荡，到了早上8点实在顶不住想要睡觉，于是把止损改到了下跌趋势线上方的64333后就睡觉了，到了中午睡醒起来看到已经触发了止盈，看到相关新闻跟社群才知道原来是以色列跟黎巴嫩又打仗的消息导致下跌，所以又是幸运的逃生了。</t>
  </si>
  <si>
    <t xml:space="preserve">1.在大亏后马上报复性追空2.看到kol做空的开仓价比现价低，觉得现价做空成本比kol有优势而更有信心的追空3.不看盘面，只看kol，只想着快速回本4.想靠重仓回本</t>
  </si>
  <si>
    <t>T125</t>
  </si>
  <si>
    <t>上一单重仓btc的空单平仓后，睡醒看到触发止盈平仓后依然下跌到最低62237，于是又陷入懊恼，要是自己不睡觉不就可以盈利几千u了吗，懊恼过后看到btc又从我睡醒后看到的价格62700附近下跌到62300附近，这个时候内心又开始焦虑、焦躁、抓耳挠腮了，后面不管做什么都要拿着手机看，总是在祈祷着不要下跌，最后在看到价格从62300上涨到62600上方又舒服了，这时候价格在62650附近徘徊，想着要不要在这里就空进去，但是想到上一单btc触发了止盈平仓后跌到最低62237时又反弹，反弹到最高62880后又下跌到62400附近又反弹到62700上方，于是想着起码要在这两个高点附近空，这样也安心一点，还有一点就是上一单开仓价是62708，想着起码也要比上一单的开仓价高，就这样又不断地在62700-62800之间挂单，加上此时的价格在62650左右徘徊，想着只要上去一点就能触发限价空单挂单了，这个时候kol胡总开始了直播，我进去看直播又听到他讲行情可能会下跌，加之刚好他讲的时候btc从62650左右突然跌到了62550附近，这个时候心情又突然非常焦虑非常的懊恼自己前面在62650左右时干嘛不做空，于是又把挂单改到62635空，在坐立不安的情绪影响下，当价格再次从下跌到62460后又反弹时，马上又把62635的挂单改到62509重仓空10个btc，改好之后接着就挂单成功了，空进去没多久开始下跌到62400-62550之间震荡，当价格再次下跌到62315后，行情突然开始爆拉，当反弹到62622的时候我马上加仓了5个btc，总仓位来到了15个btc，开仓均价62546，想着这样成本更好了，但是加进去后行情继续上涨，最高涨到62977，这个时候我已经害怕了，想挂62506平仓，但是回调到最低62629就接着反弹，且反弹破了前高63200，之后行情开始在62900-63380之间反复震荡，中间最低插针到62836后又迅速反弹，这波反弹是受到以色列跟黎巴嫩停战影响拉升的，在扛单的过程中，依然是时刻手机不离手，我开始反复查看各个社群，各个kol发文，各种直播，到了2026.6.20早上，以为btc最多只是会涨到63600下跌趋势线附近就会下跌，所以最开始的止损是想设在63600附近的，但是又怕打一针上去又下来，最后又是设了爆仓价附近止损，谁知又涨到最高63894，涨到63894后又下跌，但是最低跌到63555又开始小步慢涨，这时候感觉情况不对劲，于是我在63716平仓了一半7.5个btc，剩下的7.5个btc空单继续持有，持有的过程中最高涨到了64370，涨到64370后又迅速收回到64180，之后下跌最低插针到63661后又小步慢涨反弹，这时候我发现在小级别15k又有了走三角收敛的趋势，在小幅度突破三角收敛来到64000上方想平仓了又看到下跌到63900，于是又有了侥幸心理没平仓，当价格再次上涨到64000上方时我没手动平仓，而且不断地挂限价单平仓，因为限价单平仓手续费便宜，每挂一次就上涨一点，之后不断地挂限价单止盈，挂了几次几个位置之后，最后在64256限价平仓了。最终整个单子开仓均价62546，平仓均价63984。</t>
  </si>
  <si>
    <t xml:space="preserve">1.上一单扛单的单子平仓后因为价格最终越过了平仓位而后悔没有拿到最低点。2.在价格上涨再下跌时，因为自己没仓位而感到极度的焦虑极度的难受。3.看了kol直播后因为没能在看到直播前更高的价格做空而敢到难受懊悔。4.看了kol直播后忍不住马上冲进去开单5.想要重仓一次性回本。6.重仓后，价格上涨又想加仓优化成本7.看到强势阳线的反弹信号后不及时止损，还带有侥幸心理。8.不断地修改止损9.在看到延续上涨时不果断止损，导致亏损扩大</t>
  </si>
  <si>
    <t>T126</t>
  </si>
  <si>
    <t>上一单大亏的btc空单在6.21早上平仓后仅剩下本金6000u左右，于是就想着这一次一定一定好好学习好好复盘再做交易了（虽然之前也有过很多很多次爆仓后也是这么想的，包括扛单时也想过，但是这次真的到顶了，已经没有多余的资金重新入金了），接着就把手机上的下单app币安卸载掉，防止自己再习惯性的看到价格、新闻推送、社群消息、kol消息等等情况冲动交易，但是在6.22的早上起床后打开电脑看到btc从64000上方不断地下跌，最终小级别里15m出现了空头信号（看着像m顶）后价格来到了63600附近，当时还没想过要做单，过了一会价格再下跌到63300附近的时候就忍不住又在63369空了0.99个btc，止损设在了64700，一开始还很有信心，不过当短线反弹到63600附近时还是忍不住在63680浮亏加仓了0.908个btc，加仓后我打开不能下单的其他行情app不断地查看价格，随后行情又再度猛烈拉到64000上方，这个时候开始恐慌了，不是想着盈利了，又是想着回本，这个时候在洗澡，于是马上又把币安app下载回来，想着先把止损撤掉，撤掉后先加仓，于是下载回来后第一时间挂单在64449又加仓1.19个btc，总仓位来到了3.088个btc，开仓均价64727，但是设的64700止损忘记撤掉了，加仓后马上就在64700被打损了。</t>
  </si>
  <si>
    <t xml:space="preserve">1.发誓要好好珍惜剩下的6000u却做不到。2.发誓要好好学习好好复盘做不到。3.下决心只在电脑下单，卸载手机下单软件没做到。4.重仓，浮亏加仓。5.行为上依然是报复性交易6.在浮亏时已经不是个正常人了，连想好的撤止损都没做到。7.想改止损。</t>
  </si>
  <si>
    <t>T127</t>
  </si>
  <si>
    <t>上一单btc空单被打损后，价格最高触及到64788就又下跌了，想到本来就剩下6000u出头的本金而已了，刚刚下定决心不再继续交易，先好好学习好好复盘后再慢慢重新做交易，现在又亏这么多，于是又冒出想法把刚刚亏掉的赚回来，之后一定好好学习好好复盘，于是又在下跌到64400附近时挂了2次64288做多2.5个btc，但是看到爆仓价很近之后又取消了，最后在价格下跌到最低64338又反弹到64600附近震荡时，又选择在64508再次做空，这次开了1.76个btc，止盈设了62666，止损设在爆仓价附近损，开进去行情开始下跌，最低跌到了63857之后又反弹到最高64400附近，接着又下跌到最低63833后又反弹到64200附近震荡，最终忍不住在64216限价平仓了。</t>
  </si>
  <si>
    <t xml:space="preserve">1.又是上一单亏损平仓后短期内又马上开仓。2.严格意义上讲也属于追单、报复单。</t>
  </si>
  <si>
    <t>T128</t>
  </si>
  <si>
    <t>上一单btc空单平仓后我就没有再做交易了，在冷静后开始找chatgpt聊天，也就是从2026.6.22下午17点开始聊天的，在聊天前我就决心一定要好好学习好好复盘后再做交易了，但是在跟chatgpt聊天的过程中依然开了这一单，开这一单是沿用了之前听来的“正态分布”这个所谓的思维，在看到1h级别形态上走了个不太标准的头肩顶，上一单提到的高点64788是左肩，然后上一单持仓过程里的震荡区间走了个小平台，之后持续反弹上去到最高65597后下跌，下跌到64200后又反弹到64600附近，这个属于右肩，当从右肩下跌跌破前低63833又反弹收针时忍不住又在63968追空了1个btc，最后选择在64033亏损平仓是主动平仓，因为这一单属于自己在跟chatgpt聊天后，发誓要好好学习好好复盘再做的第一单，平仓后我也跟chatgpt说过我主动亏90u平仓，因为这一单是错误单。</t>
  </si>
  <si>
    <t>这一单是跟chatgpt聊天后做的第一单，也是跟chatgpt说过这单是我做的错误单，我主动亏损平仓，所以不做过多解释。</t>
  </si>
  <si>
    <t>T129</t>
  </si>
  <si>
    <t>跟chatgpt聊天后，决心把上一单的错误单结束后就不开单了，直到自己把历史交易中所犯的错误改掉并建立好交易系统后才交易，但是在上一单主动亏损平仓后，看到平仓后行情反弹到64200附近就再次下跌，且1h级别下跌的第三根阴线几乎把前面第一第二阶段上涨的大阳线都跌破了，但是我没有等第三根阴线收线再进去，而是收线前就在63460空进去了，在63460空了0.615个btc后，第三根阳线收跌后，我在第四根继续下跌时又在63133浮盈加仓，接着行情持续下跌到最低，62532后又反弹，反弹到62898时再度浮盈加仓0.405个btc，总仓位来到了1.518个btc，开仓均价63283，随后行情在62880-63050之间震荡，最后忍不住在62862平仓了。有趣的是平仓一个小时后行情下跌跌破了62000。</t>
  </si>
  <si>
    <t xml:space="preserve">最大的问题就是下定决心先不交易还是交易了</t>
  </si>
  <si>
    <t>T130</t>
  </si>
  <si>
    <t>在上一单平仓后，看到行情涨不上有走弱的迹象，这个时候价格在62850-62980之间震荡，震荡的过程里多次在62960-63141之间挂单想再做空，但是因为又想到上一单相对高位的空单没拿住，现在又去追，感觉心里不舒服，就算追进去后面浮盈心里也不好受，加上上一单是在相对高位开了头仓后不断地浮盈加仓的，仓位相对当时的本金来说是大仓位，现在这个位置也不敢一下子开这么大，没有了勇气开，如果开小了又不甘心，加上这个时候于是一边后悔一边祈祷着不要再跌了，但是行情最终还是在我不断地懊悔跌破了震荡区间来到了62600开头，于是我马上又在62606挂空单想要做空，但是又因为情绪混乱想太多而取消了挂单，取消挂单后行情急剧下跌，并跌破62000后最低触及61870，于是在急剧下跌到最低61870又反弹时在62196追空了2.062个btc，在反弹了10分钟后，接着又在62200整数加仓了1.04个btc，总仓位3.102个btc，开仓均价62197，加完仓后我才设止损，止损设在了爆仓价附近，之后行情开始在62300-62500之间震荡，之后最低跌到62210附近后又反弹，这个时候我是想止损平仓的，但是我还是不想小亏，连手续费也不想亏，于是又继续扛单，随后行情再度反弹到62600附近才再度下跌，而这个时候我已经不想再扛单了，很难受很痛苦，于是在下跌的过程里选择在62290亏损限价平仓了。</t>
  </si>
  <si>
    <t>1.这是下定决心要改变，要好好学习好好复盘后再开单之后忍不住开的第三单，也是跟chatgpt开始聊天后的第三单。2.在看到价格跌破62000后极度的fomo，且又是想着上一单的仓位，而不敢空，而是fomo后低位追空。</t>
  </si>
  <si>
    <t>T131</t>
  </si>
  <si>
    <t xml:space="preserve">在上一单平仓后，行情持续在62100-62800之间震荡，当价格第三次触及到62800附近时，决定做空，于是又在62780做空了0.579个btc，开进之后行情持续反弹，最高反弹到了63000附近后开始震荡下跌，在下跌过程中计算上手续费后在62711限价平仓了。</t>
  </si>
  <si>
    <t xml:space="preserve">1.说好的学习后再交易，最终还是被行情吸引了</t>
  </si>
  <si>
    <t>T132</t>
  </si>
  <si>
    <t>我上一单btc空单平仓后，行情下跌到62500附近后又反弹到插针到63050，之后又下跌到62200后反弹，在反弹时在62500空了0.293个btc，因为看不懂，又想做空一下，所以轻仓做空，止损放在了63050上方的63200，但是在我开进去12分钟后，行情快速上涨到最高63210打了我的止损后就又快速下跌到62800附近震荡，其实被打损前想取消止损的，但是来不及了，这个时候我想再度做空，但是想想刚刚被打损，于是又放弃了。</t>
  </si>
  <si>
    <t xml:space="preserve">1.空单被打损后马上又冒出了马上开空的想法。</t>
  </si>
  <si>
    <t>T133</t>
  </si>
  <si>
    <t>上一单btc空单平仓后我就睡觉了，但是到了凌晨0：50分就被手机设置的价格警报吵醒了，因为之前听很多kol说过，如果价格再次跌破60000整数关口就会大跌，因为上一次跌破60000整数关口之后有天量的多头成交量支撑，如果再次跌破60000整数关口肯定会大跌，60000整数关口也是很多空头加仓的位置，所以听到警报后的第一时间我马上冲到电脑前，在我冲到电脑的时候打开看到价格是69700左右，于是我直接在反弹到59830的时候就做空了1.157个btc，这个时候我已经因为之前听到这么多kol讲跌破6万整数关口会大跌，所以有了要滚仓的想法，有了滚仓的想法后我在反弹到60000的时候浮亏加仓了0.5个btc，这个时候我已经不看大级别了，就是想在小级别里及时抓住滚仓的机会，在下跌到59300附近反弹时我又在59589加仓0.736个btc，最后在确认破新低跌到59030反弹后，又在59443加仓0.5个btc，总仓位2.893个btc，开仓均价59731，爆仓价60800，我设了60800爆仓价附近止损，之后不久行情又在59500-59700附近震荡，在震荡一段时间后突破了60000关口，这个时候我依然抱着幻想只是小反弹后再跌，随后因为mu美光在美股收盘后发布了财报，在财报利好的情况下，美光急剧拉升同时也影响了其他股票的跟涨，btc也跟着美股反弹，这时候btc急剧拉升到了60700附近，随后我在60676手动平仓了0.694个btc，爆仓价随后也到了61000上方，接着把止损又改到爆仓价附近，这时行情在跌到60600附近后再度上涨，最后还是在上涨到61000附近后设了限价单60811平仓，幸运的是最终触发了平仓。</t>
  </si>
  <si>
    <t>1.过度的相信kol的观点。2.在跌破6万大关口后不是等待弱反弹空，而是追空。3.相信会跌破6万后直接直线下跌。</t>
  </si>
  <si>
    <t>T134</t>
  </si>
  <si>
    <t>在btc空单平仓后，因为本来就剩下4000u左右而已了，所以想到一下子又亏掉3132.37u，在这种极度想要回本的情绪驱动下，在btc平仓的2分钟后，于是马上又追多有财报利好的mu，我在追的时候mu已经从跌转涨并且是已经大幅反弹了，因为我是追多的，也没有等回调，所以也拿不住，最后开进去浮盈后就算上手续费后平仓了。</t>
  </si>
  <si>
    <t>1.上一单大亏后2分钟就马上追单。2.追单热门陌生品种。3.复仇心理加不甘心的驱动下追单。</t>
  </si>
  <si>
    <t>T135</t>
  </si>
  <si>
    <t>上一单mu多单平掉后，因为还是觉得不应该做陌生品种，这时候看到btc涨到61200附近又回调60600附近，于是忍不住又在60775空了0.563个btc，设了55777止盈，61300止损，空进去后没继续下跌反而又继续反弹，幸运的是行情最高只反弹到了61256，这时我马上把止盈改到了60775限价平仓，之后行情在60800-61150震荡了一段时间后下跌触发了我的限价平仓。</t>
  </si>
  <si>
    <t>1.做空大亏后继续选择做空2.熬夜大亏后头脑已经不理智了</t>
  </si>
  <si>
    <t>T136</t>
  </si>
  <si>
    <t>自从2026.6.25之后就一直不怎么关注交易市场了，包括kol直播、社群、等等都不看了。只是偶尔打开看看btc的价格，看到都是最低跌到58000后就一直在58300-60700之间上下大幅震荡，而我的账户在近期也有一笔600多u的返佣打进来，所以账户总额也从仅剩的800u左右增加到了1400多u，但是我心想着一定要好好学习好好复盘后再交易，一定要珍惜这1400多u。之后出去玩了几天后，在2026.7.1的早上9点15分左右，看到新闻推送过来比特币跌破58000的消息后，马上又打开电脑看到最低跌到了57750左右，同时也看到了kol胡总的直播标题“死一死吧”，我就预判他可能是做空了，随即打开他的带单看，发现他在58400做空了btc，于是我马上在58072做空0.762个btc，但是空进去后还是继续反弹，于是我在58287加仓了0.226个btc，总仓位0.988个btc，开仓均价58121，止损设在了爆仓价附近损。这个时候我想着的不是及时止损，而是继续加仓并且还扛单，是因为我想着仅剩下的1400u而已了，不能继续亏了，而且最近后续做的交易都是亏损的，不能再亏了。最终在看到小时线收针收阳后，且价格准备反弹回到59000时，加上又看到资产仅剩下600u出头而已了，无奈之下还是选择了平仓。</t>
  </si>
  <si>
    <t>1.最大的问题依然是发誓要好好学习好好复盘再交易，但是依然做不到。2.冷静了几天后，看到行情波动依然会被勾引。3.在看到kol也做空的情况下，更加的相信跌破后会继续跌。4.在知道要反弹的情况下，因为觉得最近都是亏损，且账户所剩不多的珍贵资产情况下，不舍得止损。</t>
  </si>
  <si>
    <t>资金变动编号</t>
  </si>
  <si>
    <t>日期时间</t>
  </si>
  <si>
    <t>变动类型</t>
  </si>
  <si>
    <t>金额（USDT）</t>
  </si>
  <si>
    <t>是否属于交易盈亏</t>
  </si>
  <si>
    <t>说明</t>
  </si>
  <si>
    <t>F001</t>
  </si>
  <si>
    <t>期初账户余额</t>
  </si>
  <si>
    <t>2026-05-26 17:43:29第一次入金前的交易所账户资产余额。</t>
  </si>
  <si>
    <t>F002</t>
  </si>
  <si>
    <t>入金</t>
  </si>
  <si>
    <t>本轮复盘开始前的第一次入金；复盘明细中的第一笔交易，也是本次入金后开始的第一笔交易。</t>
  </si>
  <si>
    <t>F003</t>
  </si>
  <si>
    <t>第二次外部资金入金。</t>
  </si>
  <si>
    <t>F004</t>
  </si>
  <si>
    <t>第三次外部资金入金。</t>
  </si>
  <si>
    <t>F005</t>
  </si>
  <si>
    <t>返佣</t>
  </si>
  <si>
    <t>交易所返佣资金流入，不属于单笔交易盈亏。</t>
  </si>
  <si>
    <t>汇总-01</t>
  </si>
  <si>
    <t>确认的外部资金流入合计</t>
  </si>
  <si>
    <t>不适用</t>
  </si>
  <si>
    <t>仅统计三次入金和返佣，不包含期初账户余额35 USDT。</t>
  </si>
  <si>
    <t>汇总-02</t>
  </si>
  <si>
    <t>期初余额＋确认的外部资金流入</t>
  </si>
  <si>
    <t>包含期初余额35 USDT、三次入金和返佣；不代表交易最终账户权益。</t>
  </si>
  <si>
    <t>编号</t>
  </si>
  <si>
    <t>字段／主题</t>
  </si>
  <si>
    <t>01</t>
  </si>
  <si>
    <t>复盘目的</t>
  </si>
  <si>
    <t>本表用于还原136笔个人主动交易的开仓动机、操作过程、风险管理、最终结果及连续交易链条。复盘重点不是证明某笔交易原本能够赚多少钱，而是识别反复出现的错误行为、风险暴露、错误盈利强化及账户失控过程。</t>
  </si>
  <si>
    <t>02</t>
  </si>
  <si>
    <t>复盘范围</t>
  </si>
  <si>
    <t>本表以每一条实际开仓记录为基本单位。每条记录可能是一笔完整交易，也可能与同品种或其他品种的仓位发生时间重叠。后续分析不得默认一行必然对应一个完全独立、互不关联的交易过程。</t>
  </si>
  <si>
    <t>03</t>
  </si>
  <si>
    <t>全局风险背景</t>
  </si>
  <si>
    <t>用户在本次复盘期间整体上尚未形成稳定、可执行的交易计划和止损纪律。即使部分交易设置了阶段高低点止损，也不能仅凭止损价格存在，就推定该止损一定能够执行。若行情未先按预期运行，多数交易均存在较高概率出现改止损、扩大止损、浮亏加仓、扛单、等待回本或情绪化退出等情况。</t>
  </si>
  <si>
    <t>04</t>
  </si>
  <si>
    <t>全局风险与单笔事实</t>
  </si>
  <si>
    <t>全局上的高概率失控风险，不等于每一笔交易中已经实际发生了相同行为。逐笔字段应优先记录该笔交易实际发生的操作。对未发生情况的推测，只有在该笔原文或明确记忆存在具体证据时，才可标记为潜在风险，不得把全局行为模式机械复制到全部交易。</t>
  </si>
  <si>
    <t>05</t>
  </si>
  <si>
    <t>盈利与交易正确性</t>
  </si>
  <si>
    <t>盈利不等于正确交易。无计划、追单、重仓、无真实止损、浮亏加仓、扛单、扩大止损或依赖行情回到成本附近产生的盈利，仍可能属于错误盈利。</t>
  </si>
  <si>
    <t>06</t>
  </si>
  <si>
    <t>亏损与交易正确性</t>
  </si>
  <si>
    <t>亏损不等于错误交易。如果一笔交易有明确计划、可承受仓位、真实可执行的止损，并总体按计划执行，即使最终亏损，也可以属于正确亏损。</t>
  </si>
  <si>
    <t>07</t>
  </si>
  <si>
    <t>正确交易最低条件</t>
  </si>
  <si>
    <t>正确盈利、正确保本和正确亏损至少要求：开仓前有相对明确的交易逻辑；仓位风险可承受；存在明确且真实可执行的退出边界；没有通过扩大止损、浮亏加仓或扛单逃避退出；交易过程总体按照原计划执行。</t>
  </si>
  <si>
    <t>08</t>
  </si>
  <si>
    <t>错误交易判断</t>
  </si>
  <si>
    <t>如果无计划、追单、重仓、无真实止损、止损不可确认执行、爆仓价附近止损、扩大止损、原止损未执行、浮亏加仓、实际扛单、报复性交易或外部观点直接驱动等因素，对该笔交易产生了实质影响，一般应判定为错误交易。</t>
  </si>
  <si>
    <t>09</t>
  </si>
  <si>
    <t>非BTC与外部影响</t>
  </si>
  <si>
    <t>非BTC交易、KOL／新闻／社群影响以及睡眠饮食受影响，均应结合其是否实质改变该笔交易的开仓、仓位、持仓或退出进行判断，不能仅凭字段存在机械判定。但是，如果用户当时的既定交易范围仅为BTC，陌生品种交易属于偏离交易范围的重要风险。</t>
  </si>
  <si>
    <t>10</t>
  </si>
  <si>
    <t>“开仓原因”主要记录用户对当时行情判断、开仓动机、操作过程、情绪变化以及事后回忆的综合叙述，是逐笔理解交易的主要原始材料。</t>
  </si>
  <si>
    <t>11</t>
  </si>
  <si>
    <t>开仓原因的内容拆分</t>
  </si>
  <si>
    <t>“开仓原因”中可能同时包含当时真实想法、实际发生的操作、复盘时的事后评价、对未发生情况的假设、当前对过去行为的批评以及记忆不确定内容。后续分析必须分别识别，不能混为同一种事实。</t>
  </si>
  <si>
    <t>12</t>
  </si>
  <si>
    <t>“用户事后判断的主要问题”记录用户在复盘后认为该笔交易最主要的问题，属于事后判断，不属于当时已经存在的想法或客观交易事实。后续AI应先独立分析原始交易过程，再将分析结果与该字段进行对照，不得使用该字段直接替代独立判断。</t>
  </si>
  <si>
    <t>13</t>
  </si>
  <si>
    <t>结构化分类字段</t>
  </si>
  <si>
    <t>“盈利来源／出场方式”“止损类型”“交易类型”“扛单类型”属于根据原始记录、历史委托、用户记忆和复盘内容形成的结构化分类。后续AI必须结合原始开仓原因及实际时间记录核验，不得只读取分类字段而忽略原始叙述。</t>
  </si>
  <si>
    <t>14</t>
  </si>
  <si>
    <t>证据强度</t>
  </si>
  <si>
    <t>历史委托、成交记录和明确时间数据属于较强客观证据；用户对当时过程的清晰记忆属于回忆证据；用户对“如果当时继续浮亏，我可能会怎样”的判断属于反事实或事后风险判断；模型根据多笔交易形成的解释属于推断。</t>
  </si>
  <si>
    <t>15</t>
  </si>
  <si>
    <t>无法确认原则</t>
  </si>
  <si>
    <t>当历史记录、开仓原因和记忆不足以确认某项事实时，应使用“无法确认”或保留空缺，不得为了完成分类而强行猜测。无法确认不等于没有发生，也不等于已经发生。</t>
  </si>
  <si>
    <t>16</t>
  </si>
  <si>
    <t>交易编号用于唯一识别、引用和纠错，不必然代表真实开仓先后顺序，也不代表相邻编号之间必然存在因果关系。</t>
  </si>
  <si>
    <t>17</t>
  </si>
  <si>
    <t>行顺序与真实时间轴</t>
  </si>
  <si>
    <t>明细表中的行顺序不保证严格按照开仓日期时间排列。部分交易可能存在跨日期持仓、同时持仓、不同品种重叠持仓，或者记录顺序与真实开平仓顺序不完全一致。</t>
  </si>
  <si>
    <t>18</t>
  </si>
  <si>
    <t>时间轴分析规则</t>
  </si>
  <si>
    <t>后续AI分析必须根据“开仓日期时间”和“平仓日期时间”重新建立真实时间轴，不得仅凭交易编号大小、相邻行位置或表格上下顺序判断交易先后，也不得只因两条记录相邻就强行建立因果关系。</t>
  </si>
  <si>
    <t>19</t>
  </si>
  <si>
    <t>重叠持仓</t>
  </si>
  <si>
    <t>如果某笔交易开仓时上一笔交易尚未平仓，应标记为重叠持仓。相同时间开仓但品种不同，不应自动视为重复记录。</t>
  </si>
  <si>
    <t>20</t>
  </si>
  <si>
    <t>盈亏金额单位</t>
  </si>
  <si>
    <t>“盈亏金额（USDT）”字段统一以USDT计价。单元格中只保存可计算的数值，不写入“u”“USDT”“盈利”“亏损”或汉字“负”。</t>
  </si>
  <si>
    <t>21</t>
  </si>
  <si>
    <t>盈亏金额正负规则</t>
  </si>
  <si>
    <t>盈亏金额为正数表示盈利，负数表示亏损，0表示实际保本或接近保本。例如379.82表示盈利379.82 USDT，-104.36表示亏损104.36 USDT。</t>
  </si>
  <si>
    <t>22</t>
  </si>
  <si>
    <t>账户资产限制</t>
  </si>
  <si>
    <t>单笔盈亏金额、期初余额及资金变动记录可以用于重建已实现资金变化。若手续费、资金费率、未实现盈亏、账户间划转或其他资金变化未被完整记录，则不得声称已经百分之百还原每个时点的真实账户权益。</t>
  </si>
  <si>
    <t>资金-01</t>
  </si>
  <si>
    <t>复盘起始资金背景</t>
  </si>
  <si>
    <t>复盘明细中的第一笔交易，是2026-05-26 17:43:29第一次入金14500 USDT后开始的第一笔交易。第一次入金前，交易所账户资产余额为35 USDT。</t>
  </si>
  <si>
    <t>资金-02</t>
  </si>
  <si>
    <t>确认的资金来源</t>
  </si>
  <si>
    <t>本轮复盘期初账户资产余额为35 USDT。此后确认的非交易资金流入包括：2026-05-26 17:43:29入金14500 USDT；2026-06-02 23:04:16入金29000 USDT；2026-06-03 16:36:17入金30000 USDT；2026-06-29 13:49:36返佣642 USDT。确认的外部资金流入合计为74142 USDT；期初余额加外部资金流入合计为74177 USDT。</t>
  </si>
  <si>
    <t>资金-03</t>
  </si>
  <si>
    <t>外部资金与交易盈亏分离</t>
  </si>
  <si>
    <t>入金、出金、返佣、账户间转账等非交易资金变化，必须与单笔交易盈亏分开计算。后续AI不得把账户余额因入金或返佣增加误判为交易盈利，也不得仅凭账户余额变化反推某笔交易的盈亏。</t>
  </si>
  <si>
    <t>资金-04</t>
  </si>
  <si>
    <t>资金阶段分析</t>
  </si>
  <si>
    <t>后续分析应把三次入金视为重要资金节点，分别检查入金前后的仓位、交易频率、重仓程度、亏损后的行为、回本冲动及风险升级情况，但不得仅因发生入金就自动认定后续交易属于报复性交易或回本交易。</t>
  </si>
  <si>
    <t>23</t>
  </si>
  <si>
    <t>品种代码规则</t>
  </si>
  <si>
    <t>“品种”字段统一使用标准英文大写代码。开仓原因中可能使用英文代码、中文正式名称或口语简称，后续AI应按照品种别名映射识别为同一品种。</t>
  </si>
  <si>
    <t>品种-01</t>
  </si>
  <si>
    <t>可能使用的名称：BTC、比特币、大饼。</t>
  </si>
  <si>
    <t>品种-02</t>
  </si>
  <si>
    <t>可能使用的名称：MU、美光。</t>
  </si>
  <si>
    <t>品种-03</t>
  </si>
  <si>
    <t>可能使用的名称：XAU、黄金。</t>
  </si>
  <si>
    <t>品种-04</t>
  </si>
  <si>
    <t>可能使用的名称：SNDK、闪迪。</t>
  </si>
  <si>
    <t>品种-05</t>
  </si>
  <si>
    <t>可能使用的名称：BNB。</t>
  </si>
  <si>
    <t>品种-06</t>
  </si>
  <si>
    <t>可能使用的名称：ETH、以太、以太坊。</t>
  </si>
  <si>
    <t>品种-07</t>
  </si>
  <si>
    <t>可能使用的名称：HYPE。</t>
  </si>
  <si>
    <t>品种-08</t>
  </si>
  <si>
    <t>可能使用的名称：INTC、英特尔。</t>
  </si>
  <si>
    <t>品种-09</t>
  </si>
  <si>
    <t>可能使用的名称：MRVL、迈威尔。</t>
  </si>
  <si>
    <t>品种-10</t>
  </si>
  <si>
    <t>可能使用的名称：WLD。</t>
  </si>
  <si>
    <t>品种-11</t>
  </si>
  <si>
    <t>可能使用的名称：XRP。</t>
  </si>
  <si>
    <t>品种-12</t>
  </si>
  <si>
    <t>可能使用的名称：ZEC。</t>
  </si>
  <si>
    <t>24</t>
  </si>
  <si>
    <t>品种别名使用限制</t>
  </si>
  <si>
    <t>品种别名映射只用于确认交易品种，不得仅根据用户使用中文名称、简称或英文代码，额外推断交易动机、心理状态或外部信息影响。</t>
  </si>
  <si>
    <t>25</t>
  </si>
  <si>
    <t>外部影响—是</t>
  </si>
  <si>
    <t>“是”表示KOL观点、新闻推送、社群讨论或群友意见，直接触发或明显改变了该笔交易的开仓、平仓、撤单、加仓、方向判断或原计划。</t>
  </si>
  <si>
    <t>26</t>
  </si>
  <si>
    <t>外部影响—间接影响</t>
  </si>
  <si>
    <t>“间接影响”表示该笔交易不是当下直接跟随外部观点开仓，但品种选择、方向信心、交易冲动、持仓信念或继续交易的理由，受到此前外部信息的延续影响。</t>
  </si>
  <si>
    <t>27</t>
  </si>
  <si>
    <t>外部影响—否</t>
  </si>
  <si>
    <t>“否”表示没有明显外部信息影响，交易主要来自自己提前制定的计划、独立结构判断或已经形成的交易系统。</t>
  </si>
  <si>
    <t>28</t>
  </si>
  <si>
    <t>外部影响—不确定</t>
  </si>
  <si>
    <t>“不确定”表示现有记录和记忆不足以确认该笔交易是否受到KOL、新闻或社群信息影响。</t>
  </si>
  <si>
    <t>29</t>
  </si>
  <si>
    <t>陌生品种的外部影响</t>
  </si>
  <si>
    <t>陌生品种第一笔如果由外部信息直接触发，通常标记为“是”；后续交易如果仍延续此前外部信息形成的品种关注、方向信心或交易冲动，可标记为“间接影响”。</t>
  </si>
  <si>
    <t>30</t>
  </si>
  <si>
    <t>外部影响终止条件</t>
  </si>
  <si>
    <t>某个品种最初由KOL、新闻或社群介绍，不代表以后所有交易永久属于间接影响。如果后来已经形成独立、明确，并且在没有原外部信息时仍会产生的交易计划，外部影响可以终止。</t>
  </si>
  <si>
    <t>31</t>
  </si>
  <si>
    <t>睡眠／饮食影响</t>
  </si>
  <si>
    <t>“是否影响睡眠／饮食=是”包括死盯盘、熬夜、通宵、睡不着、吃不下、情绪持续紧绷、猛抽烟、睡醒立即看盘以及持仓期间无法正常生活等情况。</t>
  </si>
  <si>
    <t>退出-00</t>
  </si>
  <si>
    <t>盈利来源／出场方式—总则</t>
  </si>
  <si>
    <t>该字段只记录交易最终通过什么方式退出，不负责评价交易正确或错误。选择时以实际最终退出路径为主。</t>
  </si>
  <si>
    <t>退出-01</t>
  </si>
  <si>
    <t>计划止盈</t>
  </si>
  <si>
    <t>开仓前已有明确止盈逻辑或目标，并且最终按照该计划盈利退出。</t>
  </si>
  <si>
    <t>退出-02</t>
  </si>
  <si>
    <t>浮盈后保本止损退出</t>
  </si>
  <si>
    <t>交易先进入浮盈，之后设置保本止损，最终因价格从盈利区域回落触发保本止损退出。</t>
  </si>
  <si>
    <t>退出-03</t>
  </si>
  <si>
    <t>浮盈后小赚保护止损退出</t>
  </si>
  <si>
    <t>交易先进入浮盈，之后设置高于实际成本和手续费的小赚保护止损，最终触发该保护止损退出。</t>
  </si>
  <si>
    <t>退出-04</t>
  </si>
  <si>
    <t>浮亏扛回保本／小赚退出</t>
  </si>
  <si>
    <t>交易实际经历浮亏，并且没有按照原风险边界退出，而是以等待价格回到成本附近为主要处理方式，最终保本或小赚退出。</t>
  </si>
  <si>
    <t>退出-05</t>
  </si>
  <si>
    <t>浮亏加仓后保本／小赚退出</t>
  </si>
  <si>
    <t>交易浮亏后继续加仓，并按照加仓后的综合持仓成本等待价格回来，最终保本或小赚退出。</t>
  </si>
  <si>
    <t>退出-06</t>
  </si>
  <si>
    <t>保本主动／限价退出</t>
  </si>
  <si>
    <t>交易最终在成本附近通过主动平仓或限价单退出，但现有证据不足以确认是否属于实际扛单回本。若能够确认经历了扛单等待，应优先选择“浮亏扛回保本／小赚退出”。</t>
  </si>
  <si>
    <t>退出-07</t>
  </si>
  <si>
    <t>未按计划提前盈利退出</t>
  </si>
  <si>
    <t>交易尚未达到原计划目标，因为害怕利润回吐、拿不住、临盘改变判断或其他非计划原因而提前盈利退出。</t>
  </si>
  <si>
    <t>退出-08</t>
  </si>
  <si>
    <t>无明确计划盈利退出</t>
  </si>
  <si>
    <t>无法确认该笔交易存在明确的盈利退出逻辑，只能确认最终以盈利方式退出。</t>
  </si>
  <si>
    <t>退出-09</t>
  </si>
  <si>
    <t>亏损止损单退出</t>
  </si>
  <si>
    <t>交易最终因止损订单被触发而以亏损方式退出。是否属于正确亏损，仍需由“交易类型”结合计划和执行情况判断。</t>
  </si>
  <si>
    <t>退出-10</t>
  </si>
  <si>
    <t>亏损手动退出</t>
  </si>
  <si>
    <t>交易最终由用户主动手动平仓并以亏损结束，而不是由既定止损订单自动触发。</t>
  </si>
  <si>
    <t>退出-11</t>
  </si>
  <si>
    <t>爆仓／强平退出</t>
  </si>
  <si>
    <t>交易最终因交易所强制平仓、爆仓或账户风险达到强平条件而结束。</t>
  </si>
  <si>
    <t>退出-12</t>
  </si>
  <si>
    <t>无法确认</t>
  </si>
  <si>
    <t>现有记录和记忆不足以判断该笔交易最终通过何种方式退出。</t>
  </si>
  <si>
    <t>退出-13</t>
  </si>
  <si>
    <t>该笔记录在特殊情况下不适合使用现有出场方式分类时使用，不得作为普通不确定情况的替代项。</t>
  </si>
  <si>
    <t>止损-00</t>
  </si>
  <si>
    <t>止损类型—总则</t>
  </si>
  <si>
    <t>该字段记录整笔交易中最有风险诊断价值的实际止损状态，不只记录最后一个止损订单。如果同一笔交易同时符合多个止损类型，应优先选择实际发生且风险问题最严重、最能代表真实风险管理状态的类型。</t>
  </si>
  <si>
    <t>止损-01</t>
  </si>
  <si>
    <t>计划止损</t>
  </si>
  <si>
    <t>止损在开仓前已经明确，具有结构依据，风险金额可承受，并且用户当时真实准备按照该止损执行。</t>
  </si>
  <si>
    <t>止损-02</t>
  </si>
  <si>
    <t>计划内移动止损</t>
  </si>
  <si>
    <t>开仓前已明确初始止损和移动触发条件，后续只在原计划条件满足后，向减少风险的方向移动止损。</t>
  </si>
  <si>
    <t>止损-03</t>
  </si>
  <si>
    <t>无止损</t>
  </si>
  <si>
    <t>开仓时没有明确的风险退出位置。成交后再临时看行情决定止损，不改变开仓时缺乏止损计划的事实。</t>
  </si>
  <si>
    <t>止损-04</t>
  </si>
  <si>
    <t>止损存在但不可确认执行</t>
  </si>
  <si>
    <t>虽然设置了止损价格，但复盘时无法确认当时会严格执行，或者仓位、亏损金额及后续处理方式使该止损缺乏真实可执行性。</t>
  </si>
  <si>
    <t>止损-05</t>
  </si>
  <si>
    <t>大亏止损</t>
  </si>
  <si>
    <t>止损所对应的亏损金额已经明显超出正常单笔风险或用户当时能够承受的范围。</t>
  </si>
  <si>
    <t>止损-06</t>
  </si>
  <si>
    <t>爆仓价附近止损</t>
  </si>
  <si>
    <t>止损被设置在强平价附近或非常接近账户爆仓风险的位置。只有历史委托、仓位关系或清晰记忆能够确认时才使用；仅能确认止损很宽但无法确认强平关系时，不应强行归入本项。</t>
  </si>
  <si>
    <t>止损-07</t>
  </si>
  <si>
    <t>止损扩大</t>
  </si>
  <si>
    <t>行情浮亏后，将原止损向更大亏损方向移动，使最大风险高于开仓时的原定风险。</t>
  </si>
  <si>
    <t>止损-08</t>
  </si>
  <si>
    <t>频繁改止损</t>
  </si>
  <si>
    <t>没有预先确定的修改规则，而是随价格波动、情绪变化或临盘判断多次调整止损位置。</t>
  </si>
  <si>
    <t>止损-09</t>
  </si>
  <si>
    <t>原止损未执行</t>
  </si>
  <si>
    <t>原定止损条件或价格已经达到，但实际没有按照该止损退出，而是继续持仓、扩大止损、加仓或等待回本。</t>
  </si>
  <si>
    <t>止损-10</t>
  </si>
  <si>
    <t>临盘浮盈后改保本损</t>
  </si>
  <si>
    <t>开仓前没有明确的移动止损规则，交易进入浮盈后，因为害怕利润回吐或重新亏损，临时把止损移动到成本附近。</t>
  </si>
  <si>
    <t>止损-11</t>
  </si>
  <si>
    <t>临盘浮盈后改小赚保护损</t>
  </si>
  <si>
    <t>开仓前没有明确的移动止损规则，交易进入浮盈后，临时把止损移动到高于成本、能够保留小额利润的位置。</t>
  </si>
  <si>
    <t>止损-12</t>
  </si>
  <si>
    <t>现有历史委托、开仓原因和记忆不足以判断该笔交易的真实止损状态。</t>
  </si>
  <si>
    <t>止损-13</t>
  </si>
  <si>
    <t>该笔记录在特殊情况下不适合使用现有止损类型分类时使用，不得用来替代普通的不确定情况。</t>
  </si>
  <si>
    <t>止损-14</t>
  </si>
  <si>
    <t>多重止损状态选择原则</t>
  </si>
  <si>
    <t>如果一笔交易先有宽止损，随后扩大止损，再改到爆仓价附近，最后又因浮盈设置保本损，止损类型应优先记录“爆仓价附近止损”；最终如何退出则由“盈利来源／出场方式”记录，不应让最后的保本损掩盖此前更严重的风险状态。</t>
  </si>
  <si>
    <t>类型-00</t>
  </si>
  <si>
    <t>交易类型—总则</t>
  </si>
  <si>
    <t>该字段同时记录交易最终结果和交易行为是否合格。不能只依据盈利、亏损或保本结果判断正确与错误。</t>
  </si>
  <si>
    <t>类型-01</t>
  </si>
  <si>
    <t>正确盈利</t>
  </si>
  <si>
    <t>交易有相对明确的计划、可承受仓位、真实可执行的风险边界，并且总体按照计划执行后盈利。</t>
  </si>
  <si>
    <t>类型-02</t>
  </si>
  <si>
    <t>错误盈利</t>
  </si>
  <si>
    <t>交易虽然最终盈利，但开仓、仓位、止损或持仓过程中存在实质性错误，例如无计划、追单、重仓、止损不可执行、扩大止损、浮亏加仓或扛单等。</t>
  </si>
  <si>
    <t>类型-03</t>
  </si>
  <si>
    <t>正确保本</t>
  </si>
  <si>
    <t>交易具备合格计划和风险控制，最终依据合理的计划或结构条件在接近成本的位置退出。</t>
  </si>
  <si>
    <t>类型-04</t>
  </si>
  <si>
    <t>错误保本</t>
  </si>
  <si>
    <t>交易最终虽然接近保本，但过程存在无计划、重仓、无真实止损、改止损、浮亏加仓、扛单或等待价格回来等实质性错误。</t>
  </si>
  <si>
    <t>类型-05</t>
  </si>
  <si>
    <t>正确亏损</t>
  </si>
  <si>
    <t>交易有明确计划、可承受仓位和真实可执行的止损，最终亏损发生在原计划和风险范围之内。</t>
  </si>
  <si>
    <t>类型-06</t>
  </si>
  <si>
    <t>错误亏损</t>
  </si>
  <si>
    <t>交易最终亏损，并且在开仓、仓位、止损或执行过程中存在无计划、追单、重仓、浮亏加仓、扛单、扩大止损、未执行止损或报复性交易等问题。</t>
  </si>
  <si>
    <t>类型-07</t>
  </si>
  <si>
    <t>爆仓／强平</t>
  </si>
  <si>
    <t>交易最终因爆仓或交易所强制平仓结束。该选项本身已经表明风险控制发生严重失效。</t>
  </si>
  <si>
    <t>类型-08</t>
  </si>
  <si>
    <t>无法判定</t>
  </si>
  <si>
    <t>现有记录不足以同时判断该笔交易的真实结果性质及行为是否合格。</t>
  </si>
  <si>
    <t>扛单-00</t>
  </si>
  <si>
    <t>扛单类型—总则</t>
  </si>
  <si>
    <t>该字段主要记录该笔交易实际发生的浮亏扛单程度。普通短暂浮亏不等于扛单；判断重点是浮亏后是否开始逃避原风险边界、等待回本、扩大止损或通过加仓延后退出。</t>
  </si>
  <si>
    <t>扛单-01</t>
  </si>
  <si>
    <t>无实际扛单</t>
  </si>
  <si>
    <t>虽然交易可能短暂浮亏，但没有逃避原风险边界、扩大止损、以回本为主要目标等待或进行浮亏加仓。</t>
  </si>
  <si>
    <t>扛单-02</t>
  </si>
  <si>
    <t>潜在扛单风险</t>
  </si>
  <si>
    <t>该笔交易没有实际进入明显扛单阶段，但该笔原文或明确记忆存在具体证据，能够确认当时已经准备在浮亏后加仓、扩大止损、等待回本、继续扛单或以强平代替正常止损。</t>
  </si>
  <si>
    <t>扛单-03</t>
  </si>
  <si>
    <t>轻微浮亏扛单</t>
  </si>
  <si>
    <t>浮亏金额、持续时间或心理压力相对较小，但已经开始逃避原退出规则，并以等待价格回来作为主要处理方式。</t>
  </si>
  <si>
    <t>扛单-04</t>
  </si>
  <si>
    <t>明显浮亏扛单</t>
  </si>
  <si>
    <t>浮亏金额、持续时间、仓位压力或生活影响已经明显，并持续以等待回本、保本或小赚退出作为主要处理方式。</t>
  </si>
  <si>
    <t>扛单-05</t>
  </si>
  <si>
    <t>扛到大亏</t>
  </si>
  <si>
    <t>交易通过持续持有、扩大止损或其他方式，将亏损发展到明显超出原计划或正常可承受范围。</t>
  </si>
  <si>
    <t>扛单-06</t>
  </si>
  <si>
    <t>扛到接近爆仓</t>
  </si>
  <si>
    <t>交易浮亏已经接近强平、爆仓或账户难以继续承受的风险程度，但最终未发生实际强平。</t>
  </si>
  <si>
    <t>扛单-07</t>
  </si>
  <si>
    <t>扛到爆仓／强平</t>
  </si>
  <si>
    <t>交易持续扛单直至最终被交易所强制平仓或爆仓。</t>
  </si>
  <si>
    <t>扛单-08</t>
  </si>
  <si>
    <t>现有开仓原因、历史委托和记忆不足以判断该笔交易是否实际发生扛单或扛单程度。</t>
  </si>
  <si>
    <t>扛单-09</t>
  </si>
  <si>
    <t>潜在扛单使用限制</t>
  </si>
  <si>
    <t>不能仅根据整个30天复盘期间普遍存在扛单倾向，就把所有未经历明显浮亏的交易机械标记为“潜在扛单风险”。必须有该笔交易自身的原文或明确记忆证据。</t>
  </si>
  <si>
    <t>扛单-10</t>
  </si>
  <si>
    <t>浮亏加仓的记录位置</t>
  </si>
  <si>
    <t>是否实际发生浮亏加仓，由“是否浮亏加仓”字段单独记录；最终如何退出，由“盈利来源／出场方式”记录；扛单类型只记录浮亏扛单的程度，避免同一信息在多个字段中重复。</t>
  </si>
  <si>
    <t>AI-01</t>
  </si>
  <si>
    <t>事实与推断分离</t>
  </si>
  <si>
    <t>后续AI分析必须区分：客观记录能够确认的事实、用户当时明确写出的想法、用户复盘时的事后判断、对未发生情况的假设，以及模型根据前后交易作出的推断。</t>
  </si>
  <si>
    <t>AI-02</t>
  </si>
  <si>
    <t>禁止反事实冒充事实</t>
  </si>
  <si>
    <t>不得把“如果先浮亏，我可能会加仓或扛单”写成已经实际加仓或扛单，也不得因为该用户此前经常扛单，就自动认定后续每一笔交易都发生了扛单。</t>
  </si>
  <si>
    <t>AI-03</t>
  </si>
  <si>
    <t>禁止标签污染</t>
  </si>
  <si>
    <t>分析后续交易时，不得因为前面多笔交易被判定为追单、重仓、扛单或错误交易，就在证据不足时把相同标签自动套用到后续交易。</t>
  </si>
  <si>
    <t>AI-04</t>
  </si>
  <si>
    <t>单笔独立分析</t>
  </si>
  <si>
    <t>每一笔交易应先根据该笔自身的开仓原因、时间、字段和历史记录进行独立理解，再进入前后交易关联分析。</t>
  </si>
  <si>
    <t>AI-05</t>
  </si>
  <si>
    <t>交易链因果要求</t>
  </si>
  <si>
    <t>两笔交易时间接近或表格位置相邻，不等于存在直接因果。认定上一笔影响下一笔时，应有用户原文、时间变化、仓位变化、方向变化、品种变化或资金变化等证据支持。</t>
  </si>
  <si>
    <t>AI-06</t>
  </si>
  <si>
    <t>交易链引用</t>
  </si>
  <si>
    <t>后续识别连续交易链时，必须引用具体交易编号，明确链条起点、变化过程、风险升级点和结束点，不得只输出没有交易编号支持的抽象故事。</t>
  </si>
  <si>
    <t>AI-07</t>
  </si>
  <si>
    <t>反证检查</t>
  </si>
  <si>
    <t>总结某种错误模式时，必须同时检查是否存在反例，例如有计划交易、正确亏损、没有追单、没有扛单或按计划止损的交易，避免只寻找符合既有负面判断的证据。</t>
  </si>
  <si>
    <t>AI-08</t>
  </si>
  <si>
    <t>结论可回溯</t>
  </si>
  <si>
    <t>后续所有重要结论应能够回溯到具体交易编号、开仓原因原文、字段、时间记录和盈亏金额。证据不足时必须明确说明限制，不得为了形成完整故事自行补充心理活动。</t>
  </si>
  <si>
    <t>AI-09</t>
  </si>
  <si>
    <t>重点分析链条</t>
  </si>
  <si>
    <t>后续分析重点包括：无计划开仓、追单、重仓、止损不可执行、扩大止损、浮亏加仓、扛单、等待回本、错误盈利强化、报复性交易、陌生品种扩散、外部观点影响，以及仓位对睡眠、饮食和下一笔交易的影响。</t>
  </si>
  <si>
    <t>AI-10</t>
  </si>
  <si>
    <t>主表读取顺序</t>
  </si>
  <si>
    <t>后续AI应先读取客观事实与原始叙述，再核验行为分类，最后才读取“用户事后判断的主要问题”和“交易类型”。不得先用事后结论反推原始交易过程。</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</si>
</sst>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 numFmtId="177" formatCode="0.00_ "/>
  </numFmts>
  <fonts count="22">
    <font>
      <sz val="11"/>
      <color theme="1"/>
      <name val="宋体"/>
      <charset val="134"/>
      <scheme val="minor"/>
    </font>
    <font>
      <sz val="10.5"/>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Carlito"/>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Border="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xf numFmtId="0" fontId="21" fillId="0" borderId="0" applyBorder="0"/>
  </cellStyleXfs>
  <cellXfs count="7">
    <xf numFmtId="0" fontId="0" fillId="0" borderId="0" xfId="0">
      <alignment vertical="center"/>
    </xf>
    <xf numFmtId="176" fontId="0" fillId="0" borderId="0" xfId="0" applyNumberFormat="1">
      <alignment vertical="center"/>
    </xf>
    <xf numFmtId="177" fontId="0" fillId="0" borderId="0" xfId="0" applyNumberFormat="1">
      <alignment vertical="center"/>
    </xf>
    <xf numFmtId="176" fontId="0" fillId="0" borderId="0" xfId="0" applyNumberFormat="1" applyAlignment="1">
      <alignment horizontal="center" vertical="center"/>
    </xf>
    <xf numFmtId="46" fontId="0" fillId="0" borderId="0" xfId="0" applyNumberFormat="1" applyAlignment="1">
      <alignment horizontal="center" vertical="center"/>
    </xf>
    <xf numFmtId="0" fontId="1" fillId="0" borderId="0" xfId="0" applyFont="1" applyAlignment="1">
      <alignment horizontal="justify" vertical="center"/>
    </xf>
    <xf numFmtId="0" fontId="0" fillId="0" borderId="0" xfId="0" applyAlignment="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37"/>
  <sheetViews>
    <sheetView zoomScale="72" zoomScaleNormal="72" topLeftCell="A86" workbookViewId="0">
      <selection activeCell="K88" sqref="K88"/>
    </sheetView>
  </sheetViews>
  <sheetFormatPr defaultColWidth="9.64423076923077" defaultRowHeight="16.8"/>
  <cols>
    <col min="1" max="1" width="11.8557692307692" customWidth="1"/>
    <col min="2" max="2" width="17.4615384615385" style="3" customWidth="1"/>
    <col min="3" max="3" width="19.0576923076923" style="3" customWidth="1"/>
    <col min="4" max="4" width="19.0576923076923" style="4" customWidth="1"/>
    <col min="7" max="7" width="46.9711538461538" customWidth="1"/>
    <col min="8" max="8" width="17.1442307692308" customWidth="1"/>
    <col min="9" max="9" width="14.4134615384615" customWidth="1"/>
    <col min="10" max="10" width="12.9807692307692" customWidth="1"/>
    <col min="11" max="11" width="15.6923076923077" customWidth="1"/>
    <col min="12" max="12" width="19.3846153846154" customWidth="1"/>
    <col min="13" max="13" width="29.0673076923077" customWidth="1"/>
    <col min="14" max="14" width="22.4326923076923" customWidth="1"/>
    <col min="15" max="15" width="13.1346153846154" customWidth="1"/>
    <col min="16" max="16" width="30.125" customWidth="1"/>
    <col min="17" max="17" width="20.1538461538462" customWidth="1"/>
    <col min="18" max="18" width="30.8942307692308" customWidth="1"/>
    <col min="19" max="19" width="17.8557692307692" customWidth="1"/>
    <col min="20" max="20" width="17.1730769230769" customWidth="1"/>
  </cols>
  <sheetData>
    <row r="1" ht="32" spans="1:20">
      <c r="A1" t="s">
        <v>0</v>
      </c>
      <c r="B1" s="3" t="s">
        <v>1</v>
      </c>
      <c r="C1" s="3" t="s">
        <v>2</v>
      </c>
      <c r="D1" s="4" t="s">
        <v>3</v>
      </c>
      <c r="E1" s="5" t="s">
        <v>4</v>
      </c>
      <c r="F1" s="5" t="s">
        <v>5</v>
      </c>
      <c r="G1" s="5" t="s">
        <v>6</v>
      </c>
      <c r="H1" s="5" t="s">
        <v>7</v>
      </c>
      <c r="I1" s="5" t="s">
        <v>8</v>
      </c>
      <c r="J1" s="5" t="s">
        <v>9</v>
      </c>
      <c r="K1" s="5" t="s">
        <v>10</v>
      </c>
      <c r="L1" s="5" t="s">
        <v>11</v>
      </c>
      <c r="M1" t="s">
        <v>12</v>
      </c>
      <c r="N1" t="s">
        <v>13</v>
      </c>
      <c r="O1" s="5" t="s">
        <v>14</v>
      </c>
      <c r="P1" s="5" t="s">
        <v>15</v>
      </c>
      <c r="Q1" t="s">
        <v>16</v>
      </c>
      <c r="R1" s="5" t="s">
        <v>17</v>
      </c>
      <c r="S1" s="5" t="s">
        <v>18</v>
      </c>
      <c r="T1" s="5" t="s">
        <v>19</v>
      </c>
    </row>
    <row r="2" ht="252" spans="1:16">
      <c r="A2" t="s">
        <v>20</v>
      </c>
      <c r="B2" s="3">
        <v>46169.0083333333</v>
      </c>
      <c r="C2" s="3">
        <v>46169.0548611111</v>
      </c>
      <c r="D2" s="4">
        <f t="shared" ref="D2:D6" si="0">C2-B2</f>
        <v>0.0465277777984738</v>
      </c>
      <c r="E2" t="s">
        <v>21</v>
      </c>
      <c r="F2" t="s">
        <v>22</v>
      </c>
      <c r="G2" s="6" t="s">
        <v>23</v>
      </c>
      <c r="H2" t="s">
        <v>24</v>
      </c>
      <c r="I2" t="s">
        <v>24</v>
      </c>
      <c r="J2" t="s">
        <v>24</v>
      </c>
      <c r="K2" t="s">
        <v>24</v>
      </c>
      <c r="L2" t="s">
        <v>24</v>
      </c>
      <c r="M2" t="s">
        <v>25</v>
      </c>
      <c r="N2" t="s">
        <v>26</v>
      </c>
      <c r="O2">
        <v>16.76</v>
      </c>
      <c r="P2" s="6" t="s">
        <v>27</v>
      </c>
    </row>
    <row r="3" ht="202" spans="1:16">
      <c r="A3" t="s">
        <v>28</v>
      </c>
      <c r="B3" s="3">
        <v>46169.9097222222</v>
      </c>
      <c r="C3" s="3">
        <v>46169.9138888889</v>
      </c>
      <c r="D3" s="4">
        <f t="shared" si="0"/>
        <v>0.00416666670207633</v>
      </c>
      <c r="E3" t="s">
        <v>29</v>
      </c>
      <c r="F3" t="s">
        <v>30</v>
      </c>
      <c r="G3" s="6" t="s">
        <v>31</v>
      </c>
      <c r="H3" t="s">
        <v>24</v>
      </c>
      <c r="I3" t="s">
        <v>26</v>
      </c>
      <c r="J3" t="s">
        <v>26</v>
      </c>
      <c r="K3" t="s">
        <v>24</v>
      </c>
      <c r="L3" t="s">
        <v>24</v>
      </c>
      <c r="M3" t="s">
        <v>26</v>
      </c>
      <c r="N3" t="s">
        <v>26</v>
      </c>
      <c r="O3">
        <v>379.82</v>
      </c>
      <c r="P3" s="6" t="s">
        <v>32</v>
      </c>
    </row>
    <row r="4" ht="269" spans="1:16">
      <c r="A4" t="s">
        <v>33</v>
      </c>
      <c r="B4" s="3">
        <v>46169.9215277778</v>
      </c>
      <c r="C4" s="3">
        <v>46169.9819444444</v>
      </c>
      <c r="D4" s="4">
        <f t="shared" si="0"/>
        <v>0.0604166666016681</v>
      </c>
      <c r="E4" t="s">
        <v>34</v>
      </c>
      <c r="F4" t="s">
        <v>30</v>
      </c>
      <c r="G4" s="6" t="s">
        <v>35</v>
      </c>
      <c r="H4" t="s">
        <v>24</v>
      </c>
      <c r="I4" t="s">
        <v>26</v>
      </c>
      <c r="J4" t="s">
        <v>24</v>
      </c>
      <c r="K4" t="s">
        <v>24</v>
      </c>
      <c r="L4" t="s">
        <v>24</v>
      </c>
      <c r="M4" t="s">
        <v>26</v>
      </c>
      <c r="N4" t="s">
        <v>26</v>
      </c>
      <c r="O4">
        <v>105</v>
      </c>
      <c r="P4" s="6" t="s">
        <v>36</v>
      </c>
    </row>
    <row r="5" ht="269" spans="1:16">
      <c r="A5" t="s">
        <v>37</v>
      </c>
      <c r="B5" s="3">
        <v>46170.1020833333</v>
      </c>
      <c r="C5" s="3">
        <v>46170.1104166667</v>
      </c>
      <c r="D5" s="4">
        <f t="shared" si="0"/>
        <v>0.0083333333968767</v>
      </c>
      <c r="E5" t="s">
        <v>29</v>
      </c>
      <c r="F5" t="s">
        <v>30</v>
      </c>
      <c r="G5" s="6" t="s">
        <v>38</v>
      </c>
      <c r="H5" t="s">
        <v>24</v>
      </c>
      <c r="I5" t="s">
        <v>26</v>
      </c>
      <c r="J5" t="s">
        <v>24</v>
      </c>
      <c r="K5" t="s">
        <v>24</v>
      </c>
      <c r="L5" t="s">
        <v>24</v>
      </c>
      <c r="M5" t="s">
        <v>39</v>
      </c>
      <c r="N5" t="s">
        <v>26</v>
      </c>
      <c r="O5">
        <v>45.52</v>
      </c>
      <c r="P5" t="s">
        <v>40</v>
      </c>
    </row>
    <row r="6" ht="100" customHeight="1" spans="1:15">
      <c r="A6" t="s">
        <v>41</v>
      </c>
      <c r="B6" s="3">
        <v>46170.1291666667</v>
      </c>
      <c r="C6" s="3">
        <v>46170.1319444444</v>
      </c>
      <c r="D6" s="4">
        <f t="shared" si="0"/>
        <v>0.00277777769952081</v>
      </c>
      <c r="E6" t="s">
        <v>29</v>
      </c>
      <c r="F6" t="s">
        <v>30</v>
      </c>
      <c r="G6" s="6" t="s">
        <v>42</v>
      </c>
      <c r="H6" t="s">
        <v>24</v>
      </c>
      <c r="I6" t="s">
        <v>26</v>
      </c>
      <c r="J6" t="s">
        <v>24</v>
      </c>
      <c r="K6" t="s">
        <v>24</v>
      </c>
      <c r="L6" t="s">
        <v>24</v>
      </c>
      <c r="M6" t="s">
        <v>39</v>
      </c>
      <c r="N6" t="s">
        <v>26</v>
      </c>
      <c r="O6">
        <v>44.7</v>
      </c>
    </row>
    <row r="7" ht="135" spans="1:16">
      <c r="A7" t="s">
        <v>43</v>
      </c>
      <c r="B7" s="3">
        <v>46170.1368055556</v>
      </c>
      <c r="C7" s="3">
        <v>46170.15</v>
      </c>
      <c r="D7" s="4">
        <f t="shared" ref="D7:D38" si="1">C7-B7</f>
        <v>0.0131944444001419</v>
      </c>
      <c r="E7" t="s">
        <v>29</v>
      </c>
      <c r="F7" t="s">
        <v>30</v>
      </c>
      <c r="G7" s="6" t="s">
        <v>44</v>
      </c>
      <c r="H7" t="s">
        <v>24</v>
      </c>
      <c r="I7" t="s">
        <v>26</v>
      </c>
      <c r="J7" t="s">
        <v>24</v>
      </c>
      <c r="K7" t="s">
        <v>24</v>
      </c>
      <c r="L7" t="s">
        <v>24</v>
      </c>
      <c r="M7" t="s">
        <v>39</v>
      </c>
      <c r="N7" t="s">
        <v>26</v>
      </c>
      <c r="O7">
        <v>80.28</v>
      </c>
      <c r="P7" s="6" t="s">
        <v>45</v>
      </c>
    </row>
    <row r="8" ht="135" spans="1:16">
      <c r="A8" t="s">
        <v>46</v>
      </c>
      <c r="B8" s="3">
        <v>46170.1604166667</v>
      </c>
      <c r="C8" s="3">
        <v>46170.1645833333</v>
      </c>
      <c r="D8" s="4">
        <f t="shared" si="1"/>
        <v>0.00416666660021292</v>
      </c>
      <c r="E8" t="s">
        <v>29</v>
      </c>
      <c r="F8" t="s">
        <v>30</v>
      </c>
      <c r="G8" s="6" t="s">
        <v>47</v>
      </c>
      <c r="H8" t="s">
        <v>24</v>
      </c>
      <c r="I8" t="s">
        <v>26</v>
      </c>
      <c r="J8" t="s">
        <v>24</v>
      </c>
      <c r="K8" t="s">
        <v>24</v>
      </c>
      <c r="L8" t="s">
        <v>24</v>
      </c>
      <c r="M8" t="s">
        <v>39</v>
      </c>
      <c r="N8" t="s">
        <v>26</v>
      </c>
      <c r="O8">
        <v>63.23</v>
      </c>
      <c r="P8" s="6" t="s">
        <v>36</v>
      </c>
    </row>
    <row r="9" ht="84" spans="1:16">
      <c r="A9" t="s">
        <v>48</v>
      </c>
      <c r="B9" s="3">
        <v>46170.1694444444</v>
      </c>
      <c r="C9" s="3">
        <v>46170.1701388889</v>
      </c>
      <c r="D9" s="4">
        <f t="shared" si="1"/>
        <v>0.000694444497639779</v>
      </c>
      <c r="E9" t="s">
        <v>29</v>
      </c>
      <c r="F9" t="s">
        <v>30</v>
      </c>
      <c r="G9" s="6" t="s">
        <v>49</v>
      </c>
      <c r="H9" t="s">
        <v>24</v>
      </c>
      <c r="I9" t="s">
        <v>26</v>
      </c>
      <c r="J9" t="s">
        <v>24</v>
      </c>
      <c r="K9" t="s">
        <v>24</v>
      </c>
      <c r="L9" t="s">
        <v>24</v>
      </c>
      <c r="M9" t="s">
        <v>39</v>
      </c>
      <c r="N9" t="s">
        <v>26</v>
      </c>
      <c r="O9">
        <v>48.18</v>
      </c>
      <c r="P9" s="6" t="s">
        <v>50</v>
      </c>
    </row>
    <row r="10" ht="202" spans="1:16">
      <c r="A10" t="s">
        <v>51</v>
      </c>
      <c r="B10" s="3">
        <v>46170.2194444444</v>
      </c>
      <c r="C10" s="3">
        <v>46170.225</v>
      </c>
      <c r="D10" s="4">
        <f t="shared" si="1"/>
        <v>0.00555555559549248</v>
      </c>
      <c r="E10" t="s">
        <v>29</v>
      </c>
      <c r="F10" t="s">
        <v>30</v>
      </c>
      <c r="G10" s="6" t="s">
        <v>52</v>
      </c>
      <c r="H10" t="s">
        <v>24</v>
      </c>
      <c r="I10" t="s">
        <v>26</v>
      </c>
      <c r="J10" t="s">
        <v>24</v>
      </c>
      <c r="K10" t="s">
        <v>24</v>
      </c>
      <c r="L10" t="s">
        <v>24</v>
      </c>
      <c r="M10" t="s">
        <v>39</v>
      </c>
      <c r="N10" t="s">
        <v>26</v>
      </c>
      <c r="O10">
        <v>11.78</v>
      </c>
      <c r="P10" s="6" t="s">
        <v>53</v>
      </c>
    </row>
    <row r="11" ht="118" spans="1:16">
      <c r="A11" t="s">
        <v>54</v>
      </c>
      <c r="B11" s="3">
        <v>46170.2305555556</v>
      </c>
      <c r="C11" s="3">
        <v>46170.2319444444</v>
      </c>
      <c r="D11" s="4">
        <f t="shared" si="1"/>
        <v>0.0013888887988287</v>
      </c>
      <c r="E11" t="s">
        <v>29</v>
      </c>
      <c r="F11" t="s">
        <v>30</v>
      </c>
      <c r="G11" s="6" t="s">
        <v>55</v>
      </c>
      <c r="H11" t="s">
        <v>24</v>
      </c>
      <c r="I11" t="s">
        <v>26</v>
      </c>
      <c r="J11" t="s">
        <v>24</v>
      </c>
      <c r="K11" t="s">
        <v>24</v>
      </c>
      <c r="L11" t="s">
        <v>24</v>
      </c>
      <c r="M11" t="s">
        <v>39</v>
      </c>
      <c r="N11" t="s">
        <v>26</v>
      </c>
      <c r="O11">
        <v>77.12</v>
      </c>
      <c r="P11" s="6" t="s">
        <v>56</v>
      </c>
    </row>
    <row r="12" ht="219" spans="1:16">
      <c r="A12" t="s">
        <v>57</v>
      </c>
      <c r="B12" s="3">
        <v>46170.68125</v>
      </c>
      <c r="C12" s="3">
        <v>46170.6909722222</v>
      </c>
      <c r="D12" s="4">
        <f t="shared" si="1"/>
        <v>0.0097222221957054</v>
      </c>
      <c r="E12" t="s">
        <v>29</v>
      </c>
      <c r="F12" t="s">
        <v>30</v>
      </c>
      <c r="G12" s="6" t="s">
        <v>58</v>
      </c>
      <c r="H12" t="s">
        <v>24</v>
      </c>
      <c r="I12" t="s">
        <v>26</v>
      </c>
      <c r="J12" t="s">
        <v>26</v>
      </c>
      <c r="K12" t="s">
        <v>24</v>
      </c>
      <c r="L12" t="s">
        <v>26</v>
      </c>
      <c r="M12" t="s">
        <v>39</v>
      </c>
      <c r="N12" t="s">
        <v>26</v>
      </c>
      <c r="O12">
        <v>39.45</v>
      </c>
      <c r="P12" s="6" t="s">
        <v>59</v>
      </c>
    </row>
    <row r="13" ht="152" spans="1:16">
      <c r="A13" t="s">
        <v>60</v>
      </c>
      <c r="B13" s="3">
        <v>46170.7222222222</v>
      </c>
      <c r="C13" s="3">
        <v>46170.7347222222</v>
      </c>
      <c r="D13" s="4">
        <f t="shared" si="1"/>
        <v>0.0125000000043656</v>
      </c>
      <c r="E13" t="s">
        <v>29</v>
      </c>
      <c r="F13" t="s">
        <v>30</v>
      </c>
      <c r="G13" s="6" t="s">
        <v>61</v>
      </c>
      <c r="H13" t="s">
        <v>24</v>
      </c>
      <c r="I13" t="s">
        <v>26</v>
      </c>
      <c r="J13" t="s">
        <v>26</v>
      </c>
      <c r="K13" t="s">
        <v>24</v>
      </c>
      <c r="L13" t="s">
        <v>26</v>
      </c>
      <c r="M13" t="s">
        <v>39</v>
      </c>
      <c r="N13" t="s">
        <v>26</v>
      </c>
      <c r="O13">
        <v>670.01</v>
      </c>
      <c r="P13" s="6" t="s">
        <v>62</v>
      </c>
    </row>
    <row r="14" ht="409.5" spans="1:16">
      <c r="A14" t="s">
        <v>63</v>
      </c>
      <c r="B14" s="3">
        <v>46170.9208333333</v>
      </c>
      <c r="C14" s="3">
        <v>46171.1361111111</v>
      </c>
      <c r="D14" s="4">
        <f t="shared" si="1"/>
        <v>0.215277777795563</v>
      </c>
      <c r="E14" t="s">
        <v>64</v>
      </c>
      <c r="F14" t="s">
        <v>30</v>
      </c>
      <c r="G14" s="6" t="s">
        <v>65</v>
      </c>
      <c r="H14" t="s">
        <v>24</v>
      </c>
      <c r="I14" t="s">
        <v>26</v>
      </c>
      <c r="J14" t="s">
        <v>26</v>
      </c>
      <c r="K14" t="s">
        <v>26</v>
      </c>
      <c r="L14" t="s">
        <v>24</v>
      </c>
      <c r="M14" t="s">
        <v>39</v>
      </c>
      <c r="N14" t="s">
        <v>26</v>
      </c>
      <c r="O14">
        <v>-104.36</v>
      </c>
      <c r="P14" t="s">
        <v>66</v>
      </c>
    </row>
    <row r="15" ht="152" spans="1:16">
      <c r="A15" t="s">
        <v>67</v>
      </c>
      <c r="B15" s="3">
        <v>46171.6972222222</v>
      </c>
      <c r="C15" s="3">
        <v>46171.6979166667</v>
      </c>
      <c r="D15" s="4">
        <f t="shared" si="1"/>
        <v>0.000694444497639779</v>
      </c>
      <c r="E15" t="s">
        <v>64</v>
      </c>
      <c r="F15" t="s">
        <v>22</v>
      </c>
      <c r="G15" s="6" t="s">
        <v>68</v>
      </c>
      <c r="H15" t="s">
        <v>24</v>
      </c>
      <c r="I15" t="s">
        <v>26</v>
      </c>
      <c r="J15" t="s">
        <v>26</v>
      </c>
      <c r="K15" t="s">
        <v>24</v>
      </c>
      <c r="L15" t="s">
        <v>24</v>
      </c>
      <c r="M15" t="s">
        <v>39</v>
      </c>
      <c r="N15" t="s">
        <v>26</v>
      </c>
      <c r="O15">
        <v>-14.41</v>
      </c>
      <c r="P15" t="s">
        <v>69</v>
      </c>
    </row>
    <row r="16" ht="336" spans="1:16">
      <c r="A16" t="s">
        <v>70</v>
      </c>
      <c r="B16" s="3">
        <v>46171.7520833333</v>
      </c>
      <c r="C16" s="3">
        <v>46171.8381944444</v>
      </c>
      <c r="D16" s="4">
        <f t="shared" si="1"/>
        <v>0.0861111111007631</v>
      </c>
      <c r="E16" t="s">
        <v>29</v>
      </c>
      <c r="F16" t="s">
        <v>30</v>
      </c>
      <c r="G16" s="6" t="s">
        <v>71</v>
      </c>
      <c r="H16" t="s">
        <v>24</v>
      </c>
      <c r="I16" t="s">
        <v>26</v>
      </c>
      <c r="J16" t="s">
        <v>26</v>
      </c>
      <c r="K16" t="s">
        <v>24</v>
      </c>
      <c r="L16" t="s">
        <v>24</v>
      </c>
      <c r="M16" t="s">
        <v>39</v>
      </c>
      <c r="N16" t="s">
        <v>26</v>
      </c>
      <c r="O16">
        <v>1296.24</v>
      </c>
      <c r="P16" s="6" t="s">
        <v>72</v>
      </c>
    </row>
    <row r="17" ht="84" spans="1:16">
      <c r="A17" t="s">
        <v>73</v>
      </c>
      <c r="B17" s="3">
        <v>46171.89375</v>
      </c>
      <c r="C17" s="3">
        <v>46171.8958333333</v>
      </c>
      <c r="D17" s="4">
        <f t="shared" si="1"/>
        <v>0.00208333329646848</v>
      </c>
      <c r="E17" t="s">
        <v>29</v>
      </c>
      <c r="F17" t="s">
        <v>30</v>
      </c>
      <c r="G17" s="6" t="s">
        <v>74</v>
      </c>
      <c r="H17" t="s">
        <v>24</v>
      </c>
      <c r="I17" t="s">
        <v>24</v>
      </c>
      <c r="J17" t="s">
        <v>26</v>
      </c>
      <c r="K17" t="s">
        <v>24</v>
      </c>
      <c r="L17" t="s">
        <v>24</v>
      </c>
      <c r="M17" t="s">
        <v>39</v>
      </c>
      <c r="N17" t="s">
        <v>26</v>
      </c>
      <c r="O17">
        <v>99.99</v>
      </c>
      <c r="P17" s="6" t="s">
        <v>75</v>
      </c>
    </row>
    <row r="18" ht="219" spans="1:16">
      <c r="A18" t="s">
        <v>76</v>
      </c>
      <c r="B18" s="3">
        <v>46171.9138888889</v>
      </c>
      <c r="C18" s="3">
        <v>46171.9180555556</v>
      </c>
      <c r="D18" s="4">
        <f t="shared" si="1"/>
        <v>0.00416666670207633</v>
      </c>
      <c r="E18" t="s">
        <v>29</v>
      </c>
      <c r="F18" t="s">
        <v>30</v>
      </c>
      <c r="G18" s="6" t="s">
        <v>77</v>
      </c>
      <c r="H18" t="s">
        <v>24</v>
      </c>
      <c r="I18" t="s">
        <v>26</v>
      </c>
      <c r="J18" t="s">
        <v>26</v>
      </c>
      <c r="K18" t="s">
        <v>24</v>
      </c>
      <c r="L18" t="s">
        <v>24</v>
      </c>
      <c r="M18" t="s">
        <v>39</v>
      </c>
      <c r="N18" t="s">
        <v>26</v>
      </c>
      <c r="O18">
        <v>166</v>
      </c>
      <c r="P18" t="s">
        <v>78</v>
      </c>
    </row>
    <row r="19" ht="286" spans="1:16">
      <c r="A19" t="s">
        <v>79</v>
      </c>
      <c r="B19" s="3">
        <v>46171.925</v>
      </c>
      <c r="C19" s="3">
        <v>46172.0784722222</v>
      </c>
      <c r="D19" s="4">
        <f t="shared" si="1"/>
        <v>0.153472222198616</v>
      </c>
      <c r="E19" t="s">
        <v>34</v>
      </c>
      <c r="F19" t="s">
        <v>30</v>
      </c>
      <c r="G19" s="6" t="s">
        <v>80</v>
      </c>
      <c r="H19" t="s">
        <v>24</v>
      </c>
      <c r="I19" t="s">
        <v>26</v>
      </c>
      <c r="J19" t="s">
        <v>24</v>
      </c>
      <c r="K19" t="s">
        <v>26</v>
      </c>
      <c r="L19" t="s">
        <v>24</v>
      </c>
      <c r="M19" t="s">
        <v>39</v>
      </c>
      <c r="N19" t="s">
        <v>26</v>
      </c>
      <c r="O19">
        <v>312.79</v>
      </c>
      <c r="P19" s="6" t="s">
        <v>81</v>
      </c>
    </row>
    <row r="20" ht="409.5" spans="1:16">
      <c r="A20" t="s">
        <v>82</v>
      </c>
      <c r="B20" s="3">
        <v>46170.2506944444</v>
      </c>
      <c r="C20" s="3">
        <v>46172.66875</v>
      </c>
      <c r="D20" s="4">
        <f t="shared" si="1"/>
        <v>2.41805555559404</v>
      </c>
      <c r="E20" t="s">
        <v>21</v>
      </c>
      <c r="F20" t="s">
        <v>30</v>
      </c>
      <c r="G20" s="6" t="s">
        <v>83</v>
      </c>
      <c r="H20" t="s">
        <v>24</v>
      </c>
      <c r="I20" t="s">
        <v>24</v>
      </c>
      <c r="J20" t="s">
        <v>24</v>
      </c>
      <c r="K20" t="s">
        <v>24</v>
      </c>
      <c r="L20" t="s">
        <v>24</v>
      </c>
      <c r="M20" t="s">
        <v>39</v>
      </c>
      <c r="N20" t="s">
        <v>24</v>
      </c>
      <c r="O20">
        <v>753.25</v>
      </c>
      <c r="P20" s="6" t="s">
        <v>84</v>
      </c>
    </row>
    <row r="21" ht="409.5" spans="1:16">
      <c r="A21" t="s">
        <v>85</v>
      </c>
      <c r="B21" s="3">
        <v>46172.1506944444</v>
      </c>
      <c r="C21" s="3">
        <v>46173.0756944444</v>
      </c>
      <c r="D21" s="4">
        <f t="shared" si="1"/>
        <v>0.92500000000291</v>
      </c>
      <c r="E21" t="s">
        <v>29</v>
      </c>
      <c r="F21" t="s">
        <v>30</v>
      </c>
      <c r="G21" s="6" t="s">
        <v>86</v>
      </c>
      <c r="H21" t="s">
        <v>24</v>
      </c>
      <c r="I21" t="s">
        <v>26</v>
      </c>
      <c r="J21" t="s">
        <v>26</v>
      </c>
      <c r="K21" t="s">
        <v>26</v>
      </c>
      <c r="L21" t="s">
        <v>24</v>
      </c>
      <c r="M21" t="s">
        <v>39</v>
      </c>
      <c r="N21" t="s">
        <v>26</v>
      </c>
      <c r="O21">
        <v>-4550.67</v>
      </c>
      <c r="P21" s="6" t="s">
        <v>87</v>
      </c>
    </row>
    <row r="22" ht="387" spans="1:16">
      <c r="A22" t="s">
        <v>88</v>
      </c>
      <c r="B22" s="3">
        <v>46173.0805555556</v>
      </c>
      <c r="C22" s="3">
        <v>46173.0819444444</v>
      </c>
      <c r="D22" s="4">
        <f t="shared" si="1"/>
        <v>0.0013888887988287</v>
      </c>
      <c r="E22" t="s">
        <v>89</v>
      </c>
      <c r="F22" t="s">
        <v>22</v>
      </c>
      <c r="G22" s="6" t="s">
        <v>90</v>
      </c>
      <c r="H22" t="s">
        <v>24</v>
      </c>
      <c r="I22" t="s">
        <v>26</v>
      </c>
      <c r="J22" t="s">
        <v>26</v>
      </c>
      <c r="K22" t="s">
        <v>24</v>
      </c>
      <c r="L22" t="s">
        <v>24</v>
      </c>
      <c r="M22" t="s">
        <v>39</v>
      </c>
      <c r="N22" t="s">
        <v>26</v>
      </c>
      <c r="O22">
        <v>72.26</v>
      </c>
      <c r="P22" s="6" t="s">
        <v>91</v>
      </c>
    </row>
    <row r="23" ht="252" spans="1:16">
      <c r="A23" t="s">
        <v>92</v>
      </c>
      <c r="B23" s="3">
        <v>46173.1319444444</v>
      </c>
      <c r="C23" s="3">
        <v>46173.1361111111</v>
      </c>
      <c r="D23" s="4">
        <f t="shared" si="1"/>
        <v>0.00416666669480037</v>
      </c>
      <c r="E23" t="s">
        <v>89</v>
      </c>
      <c r="F23" t="s">
        <v>22</v>
      </c>
      <c r="G23" s="6" t="s">
        <v>93</v>
      </c>
      <c r="H23" t="s">
        <v>24</v>
      </c>
      <c r="I23" t="s">
        <v>26</v>
      </c>
      <c r="J23" t="s">
        <v>26</v>
      </c>
      <c r="K23" t="s">
        <v>24</v>
      </c>
      <c r="L23" t="s">
        <v>24</v>
      </c>
      <c r="M23" t="s">
        <v>39</v>
      </c>
      <c r="N23" t="s">
        <v>26</v>
      </c>
      <c r="O23">
        <v>226.63</v>
      </c>
      <c r="P23" s="6" t="s">
        <v>94</v>
      </c>
    </row>
    <row r="24" ht="168" spans="1:16">
      <c r="A24" t="s">
        <v>95</v>
      </c>
      <c r="B24" s="3">
        <v>46173.1527777778</v>
      </c>
      <c r="C24" s="3">
        <v>46173.1555555556</v>
      </c>
      <c r="D24" s="4">
        <f t="shared" si="1"/>
        <v>0.00277777779410826</v>
      </c>
      <c r="E24" t="s">
        <v>89</v>
      </c>
      <c r="F24" t="s">
        <v>30</v>
      </c>
      <c r="G24" s="6" t="s">
        <v>96</v>
      </c>
      <c r="H24" t="s">
        <v>24</v>
      </c>
      <c r="I24" t="s">
        <v>26</v>
      </c>
      <c r="J24" t="s">
        <v>26</v>
      </c>
      <c r="K24" t="s">
        <v>24</v>
      </c>
      <c r="L24" t="s">
        <v>24</v>
      </c>
      <c r="M24" t="s">
        <v>39</v>
      </c>
      <c r="N24" t="s">
        <v>26</v>
      </c>
      <c r="O24">
        <v>42.58</v>
      </c>
      <c r="P24" s="6" t="s">
        <v>97</v>
      </c>
    </row>
    <row r="25" ht="118" spans="1:16">
      <c r="A25" t="s">
        <v>98</v>
      </c>
      <c r="B25" s="3">
        <v>46173.15625</v>
      </c>
      <c r="C25" s="3">
        <v>46173.1659722222</v>
      </c>
      <c r="D25" s="4">
        <f t="shared" si="1"/>
        <v>0.00972222220298136</v>
      </c>
      <c r="E25" t="s">
        <v>89</v>
      </c>
      <c r="F25" t="s">
        <v>30</v>
      </c>
      <c r="G25" s="6" t="s">
        <v>99</v>
      </c>
      <c r="H25" t="s">
        <v>24</v>
      </c>
      <c r="I25" t="s">
        <v>26</v>
      </c>
      <c r="J25" t="s">
        <v>26</v>
      </c>
      <c r="K25" t="s">
        <v>24</v>
      </c>
      <c r="L25" t="s">
        <v>24</v>
      </c>
      <c r="M25" t="s">
        <v>39</v>
      </c>
      <c r="N25" t="s">
        <v>26</v>
      </c>
      <c r="O25">
        <v>-17.47</v>
      </c>
      <c r="P25" s="6" t="s">
        <v>100</v>
      </c>
    </row>
    <row r="26" ht="303" spans="1:16">
      <c r="A26" t="s">
        <v>101</v>
      </c>
      <c r="B26" s="3">
        <v>46173.6409722222</v>
      </c>
      <c r="C26" s="3">
        <v>46173.7548611111</v>
      </c>
      <c r="D26" s="4">
        <f t="shared" si="1"/>
        <v>0.113888888896327</v>
      </c>
      <c r="E26" t="s">
        <v>89</v>
      </c>
      <c r="F26" t="s">
        <v>30</v>
      </c>
      <c r="G26" s="6" t="s">
        <v>102</v>
      </c>
      <c r="H26" t="s">
        <v>24</v>
      </c>
      <c r="I26" t="s">
        <v>26</v>
      </c>
      <c r="J26" t="s">
        <v>26</v>
      </c>
      <c r="K26" t="s">
        <v>24</v>
      </c>
      <c r="L26" t="s">
        <v>24</v>
      </c>
      <c r="M26" t="s">
        <v>26</v>
      </c>
      <c r="N26" t="s">
        <v>26</v>
      </c>
      <c r="O26">
        <v>48.17</v>
      </c>
      <c r="P26" s="6" t="s">
        <v>103</v>
      </c>
    </row>
    <row r="27" ht="202" spans="1:16">
      <c r="A27" t="s">
        <v>104</v>
      </c>
      <c r="B27" s="3">
        <v>46173.1027777778</v>
      </c>
      <c r="C27" s="3">
        <v>46173.9263888889</v>
      </c>
      <c r="D27" s="4">
        <f t="shared" si="1"/>
        <v>0.823611111103673</v>
      </c>
      <c r="E27" t="s">
        <v>21</v>
      </c>
      <c r="F27" t="s">
        <v>22</v>
      </c>
      <c r="G27" s="6" t="s">
        <v>105</v>
      </c>
      <c r="H27" t="s">
        <v>24</v>
      </c>
      <c r="I27" t="s">
        <v>26</v>
      </c>
      <c r="J27" t="s">
        <v>26</v>
      </c>
      <c r="K27" t="s">
        <v>26</v>
      </c>
      <c r="L27" t="s">
        <v>24</v>
      </c>
      <c r="M27" t="s">
        <v>26</v>
      </c>
      <c r="N27" t="s">
        <v>26</v>
      </c>
      <c r="O27">
        <v>-550.53</v>
      </c>
      <c r="P27" s="6" t="s">
        <v>106</v>
      </c>
    </row>
    <row r="28" ht="152" spans="1:16">
      <c r="A28" t="s">
        <v>107</v>
      </c>
      <c r="B28" s="3">
        <v>46173.9243055556</v>
      </c>
      <c r="C28" s="3">
        <v>46173.9263888889</v>
      </c>
      <c r="D28" s="4">
        <f t="shared" si="1"/>
        <v>0.00208333330374444</v>
      </c>
      <c r="E28" t="s">
        <v>89</v>
      </c>
      <c r="F28" t="s">
        <v>30</v>
      </c>
      <c r="G28" s="6" t="s">
        <v>108</v>
      </c>
      <c r="H28" t="s">
        <v>24</v>
      </c>
      <c r="I28" t="s">
        <v>26</v>
      </c>
      <c r="J28" t="s">
        <v>26</v>
      </c>
      <c r="K28" t="s">
        <v>24</v>
      </c>
      <c r="L28" t="s">
        <v>24</v>
      </c>
      <c r="M28" t="s">
        <v>39</v>
      </c>
      <c r="N28" t="s">
        <v>26</v>
      </c>
      <c r="O28">
        <v>771.81</v>
      </c>
      <c r="P28" s="6" t="s">
        <v>109</v>
      </c>
    </row>
    <row r="29" ht="286" spans="1:16">
      <c r="A29" t="s">
        <v>110</v>
      </c>
      <c r="B29" s="3">
        <v>46174.0263888889</v>
      </c>
      <c r="C29" s="3">
        <v>46174.2527777778</v>
      </c>
      <c r="D29" s="4">
        <f t="shared" si="1"/>
        <v>0.226388888899237</v>
      </c>
      <c r="E29" t="s">
        <v>21</v>
      </c>
      <c r="F29" t="s">
        <v>30</v>
      </c>
      <c r="G29" s="6" t="s">
        <v>111</v>
      </c>
      <c r="H29" t="s">
        <v>24</v>
      </c>
      <c r="I29" t="s">
        <v>26</v>
      </c>
      <c r="J29" t="s">
        <v>26</v>
      </c>
      <c r="K29" t="s">
        <v>26</v>
      </c>
      <c r="L29" t="s">
        <v>24</v>
      </c>
      <c r="M29" t="s">
        <v>39</v>
      </c>
      <c r="N29" t="s">
        <v>26</v>
      </c>
      <c r="O29">
        <v>-44.69</v>
      </c>
      <c r="P29" s="6" t="s">
        <v>112</v>
      </c>
    </row>
    <row r="30" ht="387" spans="1:16">
      <c r="A30" t="s">
        <v>113</v>
      </c>
      <c r="B30" s="3">
        <v>46174.29375</v>
      </c>
      <c r="C30" s="3">
        <v>46174.3965277778</v>
      </c>
      <c r="D30" s="4">
        <f t="shared" si="1"/>
        <v>0.102777777799929</v>
      </c>
      <c r="E30" t="s">
        <v>21</v>
      </c>
      <c r="F30" t="s">
        <v>30</v>
      </c>
      <c r="G30" s="6" t="s">
        <v>114</v>
      </c>
      <c r="H30" t="s">
        <v>26</v>
      </c>
      <c r="I30" t="s">
        <v>24</v>
      </c>
      <c r="J30" t="s">
        <v>24</v>
      </c>
      <c r="K30" t="s">
        <v>24</v>
      </c>
      <c r="L30" t="s">
        <v>24</v>
      </c>
      <c r="M30" t="s">
        <v>39</v>
      </c>
      <c r="N30" t="s">
        <v>24</v>
      </c>
      <c r="O30">
        <v>529.66</v>
      </c>
      <c r="P30" s="6" t="s">
        <v>115</v>
      </c>
    </row>
    <row r="31" ht="286" spans="1:16">
      <c r="A31" t="s">
        <v>116</v>
      </c>
      <c r="B31" s="3">
        <v>46174.4465277778</v>
      </c>
      <c r="C31" s="3">
        <v>46174.4604166667</v>
      </c>
      <c r="D31" s="4">
        <f t="shared" si="1"/>
        <v>0.0138888888977817</v>
      </c>
      <c r="E31" t="s">
        <v>89</v>
      </c>
      <c r="F31" t="s">
        <v>22</v>
      </c>
      <c r="G31" s="6" t="s">
        <v>117</v>
      </c>
      <c r="H31" t="s">
        <v>24</v>
      </c>
      <c r="I31" t="s">
        <v>26</v>
      </c>
      <c r="J31" t="s">
        <v>26</v>
      </c>
      <c r="K31" t="s">
        <v>24</v>
      </c>
      <c r="L31" t="s">
        <v>24</v>
      </c>
      <c r="M31" t="s">
        <v>39</v>
      </c>
      <c r="N31" t="s">
        <v>26</v>
      </c>
      <c r="O31">
        <v>3.86</v>
      </c>
      <c r="P31" s="6" t="s">
        <v>118</v>
      </c>
    </row>
    <row r="32" ht="118" spans="1:16">
      <c r="A32" t="s">
        <v>119</v>
      </c>
      <c r="B32" s="3">
        <v>46174.4701388889</v>
      </c>
      <c r="C32" s="3">
        <v>46174.4708333333</v>
      </c>
      <c r="D32" s="4">
        <f t="shared" si="1"/>
        <v>0.000694444395776372</v>
      </c>
      <c r="E32" t="s">
        <v>120</v>
      </c>
      <c r="F32" t="s">
        <v>30</v>
      </c>
      <c r="G32" s="6" t="s">
        <v>121</v>
      </c>
      <c r="H32" t="s">
        <v>24</v>
      </c>
      <c r="I32" t="s">
        <v>26</v>
      </c>
      <c r="J32" t="s">
        <v>24</v>
      </c>
      <c r="K32" t="s">
        <v>24</v>
      </c>
      <c r="L32" t="s">
        <v>24</v>
      </c>
      <c r="M32" t="s">
        <v>26</v>
      </c>
      <c r="N32" t="s">
        <v>24</v>
      </c>
      <c r="O32">
        <v>2.78</v>
      </c>
      <c r="P32" s="6" t="s">
        <v>122</v>
      </c>
    </row>
    <row r="33" ht="135" spans="1:16">
      <c r="A33" t="s">
        <v>123</v>
      </c>
      <c r="B33" s="3">
        <v>46174.8180555556</v>
      </c>
      <c r="C33" s="3">
        <v>46174.8215277778</v>
      </c>
      <c r="D33" s="4">
        <f t="shared" si="1"/>
        <v>0.00347222219716059</v>
      </c>
      <c r="E33" t="s">
        <v>29</v>
      </c>
      <c r="F33" t="s">
        <v>30</v>
      </c>
      <c r="G33" s="6" t="s">
        <v>124</v>
      </c>
      <c r="H33" t="s">
        <v>24</v>
      </c>
      <c r="I33" t="s">
        <v>24</v>
      </c>
      <c r="J33" t="s">
        <v>24</v>
      </c>
      <c r="K33" t="s">
        <v>24</v>
      </c>
      <c r="L33" t="s">
        <v>24</v>
      </c>
      <c r="M33" t="s">
        <v>39</v>
      </c>
      <c r="N33" t="s">
        <v>24</v>
      </c>
      <c r="O33">
        <v>15.31</v>
      </c>
      <c r="P33" s="6" t="s">
        <v>125</v>
      </c>
    </row>
    <row r="34" ht="320" spans="1:16">
      <c r="A34" t="s">
        <v>126</v>
      </c>
      <c r="B34" s="3">
        <v>46174.8354166667</v>
      </c>
      <c r="C34" s="3">
        <v>46174.8375</v>
      </c>
      <c r="D34" s="4">
        <f t="shared" si="1"/>
        <v>0.00208333330374444</v>
      </c>
      <c r="E34" t="s">
        <v>21</v>
      </c>
      <c r="F34" t="s">
        <v>22</v>
      </c>
      <c r="G34" s="6" t="s">
        <v>127</v>
      </c>
      <c r="H34" t="s">
        <v>24</v>
      </c>
      <c r="I34" t="s">
        <v>24</v>
      </c>
      <c r="J34" t="s">
        <v>26</v>
      </c>
      <c r="K34" t="s">
        <v>24</v>
      </c>
      <c r="L34" t="s">
        <v>24</v>
      </c>
      <c r="M34" t="s">
        <v>24</v>
      </c>
      <c r="N34" t="s">
        <v>26</v>
      </c>
      <c r="O34">
        <v>79.43</v>
      </c>
      <c r="P34" s="6" t="s">
        <v>128</v>
      </c>
    </row>
    <row r="35" ht="269" spans="1:16">
      <c r="A35" t="s">
        <v>129</v>
      </c>
      <c r="B35" s="3">
        <v>46174.8409722222</v>
      </c>
      <c r="C35" s="3">
        <v>46174.8409722222</v>
      </c>
      <c r="D35" s="4">
        <f t="shared" si="1"/>
        <v>0</v>
      </c>
      <c r="E35" t="s">
        <v>21</v>
      </c>
      <c r="F35" t="s">
        <v>22</v>
      </c>
      <c r="G35" s="6" t="s">
        <v>130</v>
      </c>
      <c r="H35" t="s">
        <v>24</v>
      </c>
      <c r="I35" t="s">
        <v>26</v>
      </c>
      <c r="J35" t="s">
        <v>26</v>
      </c>
      <c r="K35" t="s">
        <v>24</v>
      </c>
      <c r="L35" t="s">
        <v>24</v>
      </c>
      <c r="M35" t="s">
        <v>24</v>
      </c>
      <c r="N35" t="s">
        <v>26</v>
      </c>
      <c r="O35">
        <v>188.91</v>
      </c>
      <c r="P35" s="6" t="s">
        <v>131</v>
      </c>
    </row>
    <row r="36" ht="101" spans="1:16">
      <c r="A36" t="s">
        <v>132</v>
      </c>
      <c r="B36" s="3">
        <v>46174.8479166667</v>
      </c>
      <c r="C36" s="3">
        <v>46174.8513888889</v>
      </c>
      <c r="D36" s="4">
        <f t="shared" si="1"/>
        <v>0.00347222219716059</v>
      </c>
      <c r="E36" t="s">
        <v>29</v>
      </c>
      <c r="F36" t="s">
        <v>30</v>
      </c>
      <c r="G36" s="6" t="s">
        <v>133</v>
      </c>
      <c r="H36" t="s">
        <v>24</v>
      </c>
      <c r="I36" t="s">
        <v>24</v>
      </c>
      <c r="J36" t="s">
        <v>26</v>
      </c>
      <c r="K36" t="s">
        <v>24</v>
      </c>
      <c r="L36" t="s">
        <v>24</v>
      </c>
      <c r="M36" t="s">
        <v>39</v>
      </c>
      <c r="N36" t="s">
        <v>26</v>
      </c>
      <c r="O36">
        <v>139.99</v>
      </c>
      <c r="P36" s="6" t="s">
        <v>134</v>
      </c>
    </row>
    <row r="37" ht="34" spans="1:16">
      <c r="A37" t="s">
        <v>135</v>
      </c>
      <c r="B37" s="3">
        <v>46174.8576388889</v>
      </c>
      <c r="C37" s="3">
        <v>46174.8604166667</v>
      </c>
      <c r="D37" s="4">
        <f t="shared" si="1"/>
        <v>0.00277777780138422</v>
      </c>
      <c r="E37" t="s">
        <v>136</v>
      </c>
      <c r="F37" t="s">
        <v>22</v>
      </c>
      <c r="G37" s="6" t="s">
        <v>137</v>
      </c>
      <c r="H37" t="s">
        <v>24</v>
      </c>
      <c r="I37" t="s">
        <v>26</v>
      </c>
      <c r="J37" t="s">
        <v>26</v>
      </c>
      <c r="K37" t="s">
        <v>24</v>
      </c>
      <c r="L37" t="s">
        <v>24</v>
      </c>
      <c r="M37" t="s">
        <v>26</v>
      </c>
      <c r="N37" t="s">
        <v>26</v>
      </c>
      <c r="O37">
        <v>60.8</v>
      </c>
      <c r="P37" s="6" t="s">
        <v>138</v>
      </c>
    </row>
    <row r="38" ht="85" customHeight="1" spans="1:16">
      <c r="A38" t="s">
        <v>139</v>
      </c>
      <c r="B38" s="3">
        <v>46174.8777777778</v>
      </c>
      <c r="C38" s="3">
        <v>46174.8861111111</v>
      </c>
      <c r="D38" s="4">
        <f t="shared" si="1"/>
        <v>0.00833333329501329</v>
      </c>
      <c r="E38" t="s">
        <v>89</v>
      </c>
      <c r="F38" t="s">
        <v>30</v>
      </c>
      <c r="G38" s="6" t="s">
        <v>140</v>
      </c>
      <c r="H38" t="s">
        <v>24</v>
      </c>
      <c r="I38" t="s">
        <v>24</v>
      </c>
      <c r="J38" t="s">
        <v>24</v>
      </c>
      <c r="K38" t="s">
        <v>24</v>
      </c>
      <c r="L38" t="s">
        <v>24</v>
      </c>
      <c r="M38" t="s">
        <v>39</v>
      </c>
      <c r="N38" t="s">
        <v>24</v>
      </c>
      <c r="O38">
        <v>0.85</v>
      </c>
      <c r="P38" s="6"/>
    </row>
    <row r="39" ht="135" spans="1:16">
      <c r="A39" t="s">
        <v>141</v>
      </c>
      <c r="B39" s="3">
        <v>46174.8958333333</v>
      </c>
      <c r="C39" s="3">
        <v>46174.9145833333</v>
      </c>
      <c r="D39" s="4">
        <f t="shared" ref="D39:D77" si="2">C39-B39</f>
        <v>0.0187500000029104</v>
      </c>
      <c r="E39" t="s">
        <v>29</v>
      </c>
      <c r="F39" t="s">
        <v>30</v>
      </c>
      <c r="G39" s="6" t="s">
        <v>142</v>
      </c>
      <c r="H39" t="s">
        <v>24</v>
      </c>
      <c r="I39" t="s">
        <v>26</v>
      </c>
      <c r="J39" t="s">
        <v>26</v>
      </c>
      <c r="K39" t="s">
        <v>24</v>
      </c>
      <c r="L39" t="s">
        <v>24</v>
      </c>
      <c r="M39" t="s">
        <v>39</v>
      </c>
      <c r="N39" t="s">
        <v>26</v>
      </c>
      <c r="O39">
        <v>59.99</v>
      </c>
      <c r="P39" s="6" t="s">
        <v>143</v>
      </c>
    </row>
    <row r="40" ht="252" spans="1:16">
      <c r="A40" t="s">
        <v>144</v>
      </c>
      <c r="B40" s="3">
        <v>46174.9243055556</v>
      </c>
      <c r="C40" s="3">
        <v>46174.9291666667</v>
      </c>
      <c r="D40" s="4">
        <f t="shared" si="2"/>
        <v>0.0048611110978527</v>
      </c>
      <c r="E40" t="s">
        <v>21</v>
      </c>
      <c r="F40" t="s">
        <v>22</v>
      </c>
      <c r="G40" s="6" t="s">
        <v>145</v>
      </c>
      <c r="H40" t="s">
        <v>24</v>
      </c>
      <c r="I40" t="s">
        <v>26</v>
      </c>
      <c r="J40" t="s">
        <v>24</v>
      </c>
      <c r="K40" t="s">
        <v>24</v>
      </c>
      <c r="L40" t="s">
        <v>24</v>
      </c>
      <c r="M40" t="s">
        <v>24</v>
      </c>
      <c r="N40" t="s">
        <v>26</v>
      </c>
      <c r="O40">
        <v>16.31</v>
      </c>
      <c r="P40" s="6" t="s">
        <v>146</v>
      </c>
    </row>
    <row r="41" ht="101" spans="1:16">
      <c r="A41" t="s">
        <v>147</v>
      </c>
      <c r="B41" s="3">
        <v>46174.9784722222</v>
      </c>
      <c r="C41" s="3">
        <v>46174.9902777778</v>
      </c>
      <c r="D41" s="4">
        <f t="shared" si="2"/>
        <v>0.0118055555940373</v>
      </c>
      <c r="E41" t="s">
        <v>21</v>
      </c>
      <c r="F41" t="s">
        <v>22</v>
      </c>
      <c r="G41" s="6" t="s">
        <v>148</v>
      </c>
      <c r="H41" t="s">
        <v>24</v>
      </c>
      <c r="I41" t="s">
        <v>26</v>
      </c>
      <c r="J41" t="s">
        <v>26</v>
      </c>
      <c r="K41" t="s">
        <v>24</v>
      </c>
      <c r="L41" t="s">
        <v>24</v>
      </c>
      <c r="M41" t="s">
        <v>24</v>
      </c>
      <c r="N41" t="s">
        <v>26</v>
      </c>
      <c r="O41">
        <v>213.53</v>
      </c>
      <c r="P41" s="6" t="s">
        <v>149</v>
      </c>
    </row>
    <row r="42" ht="303" spans="1:16">
      <c r="A42" t="s">
        <v>150</v>
      </c>
      <c r="B42" s="3">
        <v>46175.0076388889</v>
      </c>
      <c r="C42" s="3">
        <v>46175.0097222222</v>
      </c>
      <c r="D42" s="4">
        <f t="shared" si="2"/>
        <v>0.00208333330374444</v>
      </c>
      <c r="E42" t="s">
        <v>21</v>
      </c>
      <c r="F42" t="s">
        <v>22</v>
      </c>
      <c r="G42" s="6" t="s">
        <v>151</v>
      </c>
      <c r="H42" t="s">
        <v>24</v>
      </c>
      <c r="I42" t="s">
        <v>26</v>
      </c>
      <c r="J42" t="s">
        <v>26</v>
      </c>
      <c r="K42" t="s">
        <v>24</v>
      </c>
      <c r="L42" t="s">
        <v>24</v>
      </c>
      <c r="M42" t="s">
        <v>24</v>
      </c>
      <c r="N42" t="s">
        <v>26</v>
      </c>
      <c r="O42">
        <v>208.87</v>
      </c>
      <c r="P42" s="6" t="s">
        <v>152</v>
      </c>
    </row>
    <row r="43" ht="252" spans="1:16">
      <c r="A43" t="s">
        <v>153</v>
      </c>
      <c r="B43" s="3">
        <v>46175.0180555556</v>
      </c>
      <c r="C43" s="3">
        <v>46175.1013888889</v>
      </c>
      <c r="D43" s="4">
        <f t="shared" si="2"/>
        <v>0.0833333332993789</v>
      </c>
      <c r="E43" t="s">
        <v>21</v>
      </c>
      <c r="F43" t="s">
        <v>30</v>
      </c>
      <c r="G43" s="6" t="s">
        <v>154</v>
      </c>
      <c r="H43" t="s">
        <v>24</v>
      </c>
      <c r="I43" t="s">
        <v>26</v>
      </c>
      <c r="J43" t="s">
        <v>26</v>
      </c>
      <c r="K43" t="s">
        <v>26</v>
      </c>
      <c r="L43" t="s">
        <v>24</v>
      </c>
      <c r="M43" t="s">
        <v>24</v>
      </c>
      <c r="N43" t="s">
        <v>26</v>
      </c>
      <c r="O43">
        <v>-1592.5</v>
      </c>
      <c r="P43" s="6" t="s">
        <v>155</v>
      </c>
    </row>
    <row r="44" ht="51" spans="1:16">
      <c r="A44" t="s">
        <v>156</v>
      </c>
      <c r="B44" s="3">
        <v>46175.1013888889</v>
      </c>
      <c r="C44" s="3">
        <v>46175.1013888889</v>
      </c>
      <c r="D44" s="4">
        <f t="shared" si="2"/>
        <v>0</v>
      </c>
      <c r="E44" t="s">
        <v>21</v>
      </c>
      <c r="F44" t="s">
        <v>22</v>
      </c>
      <c r="G44" s="6" t="s">
        <v>157</v>
      </c>
      <c r="H44" t="s">
        <v>24</v>
      </c>
      <c r="I44" t="s">
        <v>26</v>
      </c>
      <c r="J44" t="s">
        <v>26</v>
      </c>
      <c r="K44" t="s">
        <v>24</v>
      </c>
      <c r="L44" t="s">
        <v>24</v>
      </c>
      <c r="M44" t="s">
        <v>24</v>
      </c>
      <c r="N44" t="s">
        <v>26</v>
      </c>
      <c r="O44">
        <v>-596.61</v>
      </c>
      <c r="P44" s="6" t="s">
        <v>158</v>
      </c>
    </row>
    <row r="45" ht="286" spans="1:16">
      <c r="A45" t="s">
        <v>159</v>
      </c>
      <c r="B45" s="3">
        <v>46175.1055555556</v>
      </c>
      <c r="C45" s="3">
        <v>46175.2173611111</v>
      </c>
      <c r="D45" s="4">
        <f t="shared" si="2"/>
        <v>0.111805555497995</v>
      </c>
      <c r="E45" t="s">
        <v>21</v>
      </c>
      <c r="F45" t="s">
        <v>30</v>
      </c>
      <c r="G45" s="6" t="s">
        <v>160</v>
      </c>
      <c r="H45" t="s">
        <v>24</v>
      </c>
      <c r="I45" t="s">
        <v>26</v>
      </c>
      <c r="J45" t="s">
        <v>26</v>
      </c>
      <c r="K45" t="s">
        <v>24</v>
      </c>
      <c r="L45" t="s">
        <v>26</v>
      </c>
      <c r="M45" t="s">
        <v>24</v>
      </c>
      <c r="N45" t="s">
        <v>26</v>
      </c>
      <c r="O45">
        <v>1872.29</v>
      </c>
      <c r="P45" s="6" t="s">
        <v>161</v>
      </c>
    </row>
    <row r="46" ht="286" spans="1:16">
      <c r="A46" t="s">
        <v>162</v>
      </c>
      <c r="B46" s="3">
        <v>46175.2215277778</v>
      </c>
      <c r="C46" s="3">
        <v>46175.2291666667</v>
      </c>
      <c r="D46" s="4">
        <f t="shared" si="2"/>
        <v>0.00763888889923692</v>
      </c>
      <c r="E46" t="s">
        <v>89</v>
      </c>
      <c r="F46" t="s">
        <v>30</v>
      </c>
      <c r="G46" s="6" t="s">
        <v>163</v>
      </c>
      <c r="H46" t="s">
        <v>24</v>
      </c>
      <c r="I46" t="s">
        <v>26</v>
      </c>
      <c r="J46" t="s">
        <v>26</v>
      </c>
      <c r="K46" t="s">
        <v>24</v>
      </c>
      <c r="L46" t="s">
        <v>24</v>
      </c>
      <c r="M46" t="s">
        <v>39</v>
      </c>
      <c r="N46" t="s">
        <v>26</v>
      </c>
      <c r="O46">
        <v>8.63</v>
      </c>
      <c r="P46" s="6" t="s">
        <v>164</v>
      </c>
    </row>
    <row r="47" ht="219" spans="1:16">
      <c r="A47" t="s">
        <v>165</v>
      </c>
      <c r="B47" s="3">
        <v>46175.2548611111</v>
      </c>
      <c r="C47" s="3">
        <v>46175.25625</v>
      </c>
      <c r="D47" s="4">
        <f t="shared" si="2"/>
        <v>0.00138888890069211</v>
      </c>
      <c r="E47" t="s">
        <v>21</v>
      </c>
      <c r="F47" t="s">
        <v>22</v>
      </c>
      <c r="G47" s="6" t="s">
        <v>166</v>
      </c>
      <c r="H47" t="s">
        <v>24</v>
      </c>
      <c r="I47" t="s">
        <v>26</v>
      </c>
      <c r="J47" t="s">
        <v>24</v>
      </c>
      <c r="K47" t="s">
        <v>24</v>
      </c>
      <c r="L47" t="s">
        <v>24</v>
      </c>
      <c r="M47" t="s">
        <v>24</v>
      </c>
      <c r="N47" t="s">
        <v>26</v>
      </c>
      <c r="O47">
        <v>-2.15</v>
      </c>
      <c r="P47" s="6" t="s">
        <v>167</v>
      </c>
    </row>
    <row r="48" ht="409.5" spans="1:16">
      <c r="A48" t="s">
        <v>168</v>
      </c>
      <c r="B48" s="3">
        <v>46175.7284722222</v>
      </c>
      <c r="C48" s="3">
        <v>46175.7520833333</v>
      </c>
      <c r="D48" s="4">
        <f t="shared" si="2"/>
        <v>0.0236111110934871</v>
      </c>
      <c r="E48" t="s">
        <v>21</v>
      </c>
      <c r="F48" t="s">
        <v>22</v>
      </c>
      <c r="G48" s="6" t="s">
        <v>169</v>
      </c>
      <c r="H48" t="s">
        <v>24</v>
      </c>
      <c r="I48" t="s">
        <v>24</v>
      </c>
      <c r="J48" t="s">
        <v>24</v>
      </c>
      <c r="K48" t="s">
        <v>24</v>
      </c>
      <c r="L48" t="s">
        <v>24</v>
      </c>
      <c r="M48" t="s">
        <v>24</v>
      </c>
      <c r="N48" t="s">
        <v>26</v>
      </c>
      <c r="O48">
        <v>51.46</v>
      </c>
      <c r="P48" s="6" t="s">
        <v>170</v>
      </c>
    </row>
    <row r="49" ht="185" spans="1:16">
      <c r="A49" t="s">
        <v>171</v>
      </c>
      <c r="B49" s="3">
        <v>46175.7590277778</v>
      </c>
      <c r="C49" s="3">
        <v>46175.7652777778</v>
      </c>
      <c r="D49" s="4">
        <f t="shared" si="2"/>
        <v>0.00624999999854481</v>
      </c>
      <c r="E49" t="s">
        <v>21</v>
      </c>
      <c r="F49" t="s">
        <v>30</v>
      </c>
      <c r="G49" s="6" t="s">
        <v>172</v>
      </c>
      <c r="H49" t="s">
        <v>24</v>
      </c>
      <c r="I49" t="s">
        <v>24</v>
      </c>
      <c r="J49" t="s">
        <v>24</v>
      </c>
      <c r="K49" t="s">
        <v>24</v>
      </c>
      <c r="L49" t="s">
        <v>24</v>
      </c>
      <c r="M49" t="s">
        <v>24</v>
      </c>
      <c r="N49" t="s">
        <v>26</v>
      </c>
      <c r="O49">
        <v>111.77</v>
      </c>
      <c r="P49" s="6" t="s">
        <v>173</v>
      </c>
    </row>
    <row r="50" ht="409.5" spans="1:16">
      <c r="A50" t="s">
        <v>174</v>
      </c>
      <c r="B50" s="3">
        <v>46175.7965277778</v>
      </c>
      <c r="C50" s="3">
        <v>46176.1479166667</v>
      </c>
      <c r="D50" s="4">
        <f t="shared" si="2"/>
        <v>0.351388888899237</v>
      </c>
      <c r="E50" t="s">
        <v>21</v>
      </c>
      <c r="F50" t="s">
        <v>22</v>
      </c>
      <c r="G50" s="6" t="s">
        <v>175</v>
      </c>
      <c r="H50" t="s">
        <v>24</v>
      </c>
      <c r="I50" t="s">
        <v>24</v>
      </c>
      <c r="J50" t="s">
        <v>26</v>
      </c>
      <c r="K50" t="s">
        <v>26</v>
      </c>
      <c r="L50" t="s">
        <v>26</v>
      </c>
      <c r="M50" t="s">
        <v>24</v>
      </c>
      <c r="N50" t="s">
        <v>26</v>
      </c>
      <c r="O50">
        <v>-38141</v>
      </c>
      <c r="P50" s="6" t="s">
        <v>176</v>
      </c>
    </row>
    <row r="51" ht="185" spans="1:16">
      <c r="A51" t="s">
        <v>177</v>
      </c>
      <c r="B51" s="3">
        <v>46176.15</v>
      </c>
      <c r="C51" s="3">
        <v>46176.1611111111</v>
      </c>
      <c r="D51" s="4">
        <f t="shared" si="2"/>
        <v>0.0111111110963975</v>
      </c>
      <c r="E51" t="s">
        <v>21</v>
      </c>
      <c r="F51" t="s">
        <v>30</v>
      </c>
      <c r="G51" s="6" t="s">
        <v>178</v>
      </c>
      <c r="H51" t="s">
        <v>24</v>
      </c>
      <c r="I51" t="s">
        <v>26</v>
      </c>
      <c r="J51" t="s">
        <v>26</v>
      </c>
      <c r="K51" t="s">
        <v>24</v>
      </c>
      <c r="L51" t="s">
        <v>26</v>
      </c>
      <c r="M51" t="s">
        <v>24</v>
      </c>
      <c r="N51" t="s">
        <v>26</v>
      </c>
      <c r="O51">
        <v>-5695.54</v>
      </c>
      <c r="P51" s="6" t="s">
        <v>179</v>
      </c>
    </row>
    <row r="52" ht="101" spans="1:16">
      <c r="A52" t="s">
        <v>180</v>
      </c>
      <c r="B52" s="3">
        <v>46176.1618055556</v>
      </c>
      <c r="C52" s="3">
        <v>46176.1680555556</v>
      </c>
      <c r="D52" s="4">
        <f t="shared" si="2"/>
        <v>0.00624999999854481</v>
      </c>
      <c r="E52" t="s">
        <v>21</v>
      </c>
      <c r="F52" t="s">
        <v>30</v>
      </c>
      <c r="G52" s="6" t="s">
        <v>181</v>
      </c>
      <c r="H52" t="s">
        <v>24</v>
      </c>
      <c r="I52" t="s">
        <v>26</v>
      </c>
      <c r="J52" t="s">
        <v>26</v>
      </c>
      <c r="K52" t="s">
        <v>24</v>
      </c>
      <c r="L52" t="s">
        <v>26</v>
      </c>
      <c r="M52" t="s">
        <v>24</v>
      </c>
      <c r="N52" t="s">
        <v>26</v>
      </c>
      <c r="O52">
        <v>506.8</v>
      </c>
      <c r="P52" t="s">
        <v>182</v>
      </c>
    </row>
    <row r="53" ht="135" spans="1:16">
      <c r="A53" t="s">
        <v>183</v>
      </c>
      <c r="B53" s="3">
        <v>46176.1805555556</v>
      </c>
      <c r="C53" s="3">
        <v>46176.1881944444</v>
      </c>
      <c r="D53" s="4">
        <f t="shared" si="2"/>
        <v>0.00763888880464947</v>
      </c>
      <c r="E53" t="s">
        <v>21</v>
      </c>
      <c r="F53" t="s">
        <v>22</v>
      </c>
      <c r="G53" s="6" t="s">
        <v>184</v>
      </c>
      <c r="H53" t="s">
        <v>24</v>
      </c>
      <c r="I53" t="s">
        <v>26</v>
      </c>
      <c r="J53" t="s">
        <v>26</v>
      </c>
      <c r="K53" t="s">
        <v>24</v>
      </c>
      <c r="L53" t="s">
        <v>26</v>
      </c>
      <c r="M53" t="s">
        <v>24</v>
      </c>
      <c r="N53" t="s">
        <v>26</v>
      </c>
      <c r="O53">
        <v>199.51</v>
      </c>
      <c r="P53" s="6" t="s">
        <v>185</v>
      </c>
    </row>
    <row r="54" ht="152" spans="1:16">
      <c r="A54" t="s">
        <v>186</v>
      </c>
      <c r="B54" s="3">
        <v>46176.2118055556</v>
      </c>
      <c r="C54" s="3">
        <v>46176.2166666667</v>
      </c>
      <c r="D54" s="4">
        <f t="shared" si="2"/>
        <v>0.00486111110512866</v>
      </c>
      <c r="E54" t="s">
        <v>21</v>
      </c>
      <c r="F54" t="s">
        <v>30</v>
      </c>
      <c r="G54" s="6" t="s">
        <v>187</v>
      </c>
      <c r="H54" t="s">
        <v>24</v>
      </c>
      <c r="I54" t="s">
        <v>26</v>
      </c>
      <c r="J54" t="s">
        <v>26</v>
      </c>
      <c r="K54" t="s">
        <v>24</v>
      </c>
      <c r="L54" t="s">
        <v>26</v>
      </c>
      <c r="M54" t="s">
        <v>24</v>
      </c>
      <c r="N54" t="s">
        <v>26</v>
      </c>
      <c r="O54">
        <v>257.62</v>
      </c>
      <c r="P54" s="6" t="s">
        <v>188</v>
      </c>
    </row>
    <row r="55" ht="219" spans="1:16">
      <c r="A55" t="s">
        <v>189</v>
      </c>
      <c r="B55" s="3">
        <v>46176.2520833333</v>
      </c>
      <c r="C55" s="3">
        <v>46176.2659722222</v>
      </c>
      <c r="D55" s="4">
        <f t="shared" si="2"/>
        <v>0.0138888889050577</v>
      </c>
      <c r="E55" t="s">
        <v>21</v>
      </c>
      <c r="F55" t="s">
        <v>22</v>
      </c>
      <c r="G55" s="6" t="s">
        <v>190</v>
      </c>
      <c r="H55" t="s">
        <v>24</v>
      </c>
      <c r="I55" t="s">
        <v>26</v>
      </c>
      <c r="J55" t="s">
        <v>26</v>
      </c>
      <c r="K55" t="s">
        <v>24</v>
      </c>
      <c r="L55" t="s">
        <v>26</v>
      </c>
      <c r="M55" t="s">
        <v>24</v>
      </c>
      <c r="N55" t="s">
        <v>26</v>
      </c>
      <c r="O55">
        <v>1.55</v>
      </c>
      <c r="P55" s="6" t="s">
        <v>191</v>
      </c>
    </row>
    <row r="56" ht="269" spans="1:16">
      <c r="A56" t="s">
        <v>192</v>
      </c>
      <c r="B56" s="3">
        <v>46176.2951388889</v>
      </c>
      <c r="C56" s="3">
        <v>46176.3090277778</v>
      </c>
      <c r="D56" s="4">
        <f t="shared" si="2"/>
        <v>0.0138888889050577</v>
      </c>
      <c r="E56" t="s">
        <v>21</v>
      </c>
      <c r="F56" t="s">
        <v>30</v>
      </c>
      <c r="G56" s="6" t="s">
        <v>193</v>
      </c>
      <c r="H56" t="s">
        <v>24</v>
      </c>
      <c r="I56" t="s">
        <v>26</v>
      </c>
      <c r="J56" t="s">
        <v>26</v>
      </c>
      <c r="K56" t="s">
        <v>26</v>
      </c>
      <c r="L56" t="s">
        <v>26</v>
      </c>
      <c r="M56" t="s">
        <v>24</v>
      </c>
      <c r="N56" t="s">
        <v>26</v>
      </c>
      <c r="O56">
        <v>143.09</v>
      </c>
      <c r="P56" s="6" t="s">
        <v>194</v>
      </c>
    </row>
    <row r="57" ht="152" spans="1:16">
      <c r="A57" t="s">
        <v>195</v>
      </c>
      <c r="B57" s="3">
        <v>46176.3180555556</v>
      </c>
      <c r="C57" s="3">
        <v>46176.4013888889</v>
      </c>
      <c r="D57" s="4">
        <f t="shared" si="2"/>
        <v>0.0833333332993789</v>
      </c>
      <c r="E57" t="s">
        <v>21</v>
      </c>
      <c r="F57" t="s">
        <v>30</v>
      </c>
      <c r="G57" s="6" t="s">
        <v>196</v>
      </c>
      <c r="H57" t="s">
        <v>24</v>
      </c>
      <c r="I57" t="s">
        <v>26</v>
      </c>
      <c r="J57" t="s">
        <v>26</v>
      </c>
      <c r="K57" t="s">
        <v>26</v>
      </c>
      <c r="L57" t="s">
        <v>26</v>
      </c>
      <c r="M57" t="s">
        <v>24</v>
      </c>
      <c r="N57" t="s">
        <v>26</v>
      </c>
      <c r="O57">
        <v>63.52</v>
      </c>
      <c r="P57" s="6" t="s">
        <v>197</v>
      </c>
    </row>
    <row r="58" ht="202" spans="1:16">
      <c r="A58" t="s">
        <v>198</v>
      </c>
      <c r="B58" s="3">
        <v>46176.4152777778</v>
      </c>
      <c r="C58" s="3">
        <v>46176.4291666667</v>
      </c>
      <c r="D58" s="4">
        <f t="shared" si="2"/>
        <v>0.0138888888977817</v>
      </c>
      <c r="E58" t="s">
        <v>199</v>
      </c>
      <c r="F58" t="s">
        <v>22</v>
      </c>
      <c r="G58" s="6" t="s">
        <v>200</v>
      </c>
      <c r="H58" t="s">
        <v>24</v>
      </c>
      <c r="I58" t="s">
        <v>26</v>
      </c>
      <c r="J58" t="s">
        <v>26</v>
      </c>
      <c r="K58" t="s">
        <v>24</v>
      </c>
      <c r="L58" t="s">
        <v>26</v>
      </c>
      <c r="M58" t="s">
        <v>26</v>
      </c>
      <c r="N58" t="s">
        <v>26</v>
      </c>
      <c r="O58">
        <v>55.47</v>
      </c>
      <c r="P58" s="6" t="s">
        <v>201</v>
      </c>
    </row>
    <row r="59" ht="404" spans="1:16">
      <c r="A59" t="s">
        <v>202</v>
      </c>
      <c r="B59" s="3">
        <v>46176.6944444444</v>
      </c>
      <c r="C59" s="3">
        <v>46176.775</v>
      </c>
      <c r="D59" s="4">
        <f t="shared" si="2"/>
        <v>0.0805555555998581</v>
      </c>
      <c r="E59" t="s">
        <v>29</v>
      </c>
      <c r="F59" t="s">
        <v>22</v>
      </c>
      <c r="G59" s="6" t="s">
        <v>203</v>
      </c>
      <c r="H59" t="s">
        <v>24</v>
      </c>
      <c r="I59" t="s">
        <v>26</v>
      </c>
      <c r="J59" t="s">
        <v>26</v>
      </c>
      <c r="K59" t="s">
        <v>24</v>
      </c>
      <c r="L59" t="s">
        <v>24</v>
      </c>
      <c r="M59" t="s">
        <v>39</v>
      </c>
      <c r="N59" t="s">
        <v>26</v>
      </c>
      <c r="O59">
        <v>334.92</v>
      </c>
      <c r="P59" s="6" t="s">
        <v>204</v>
      </c>
    </row>
    <row r="60" ht="51" spans="1:16">
      <c r="A60" t="s">
        <v>205</v>
      </c>
      <c r="B60" s="3">
        <v>46176.7423611111</v>
      </c>
      <c r="C60" s="3">
        <v>46176.7479166667</v>
      </c>
      <c r="D60" s="4">
        <f t="shared" si="2"/>
        <v>0.00555555560276844</v>
      </c>
      <c r="E60" t="s">
        <v>206</v>
      </c>
      <c r="F60" t="s">
        <v>30</v>
      </c>
      <c r="G60" s="6" t="s">
        <v>207</v>
      </c>
      <c r="H60" t="s">
        <v>24</v>
      </c>
      <c r="I60" t="s">
        <v>26</v>
      </c>
      <c r="J60" t="s">
        <v>26</v>
      </c>
      <c r="K60" t="s">
        <v>24</v>
      </c>
      <c r="L60" t="s">
        <v>24</v>
      </c>
      <c r="M60" t="s">
        <v>26</v>
      </c>
      <c r="N60" t="s">
        <v>26</v>
      </c>
      <c r="O60">
        <v>-249.18</v>
      </c>
      <c r="P60" s="6" t="s">
        <v>208</v>
      </c>
    </row>
    <row r="61" ht="101" spans="1:16">
      <c r="A61" t="s">
        <v>209</v>
      </c>
      <c r="B61" s="3">
        <v>46176.7770833333</v>
      </c>
      <c r="C61" s="3">
        <v>46176.7798611111</v>
      </c>
      <c r="D61" s="4">
        <f t="shared" si="2"/>
        <v>0.00277777780138422</v>
      </c>
      <c r="E61" t="s">
        <v>29</v>
      </c>
      <c r="F61" t="s">
        <v>30</v>
      </c>
      <c r="G61" s="6" t="s">
        <v>210</v>
      </c>
      <c r="H61" t="s">
        <v>24</v>
      </c>
      <c r="I61" t="s">
        <v>26</v>
      </c>
      <c r="J61" t="s">
        <v>26</v>
      </c>
      <c r="K61" t="s">
        <v>24</v>
      </c>
      <c r="L61" t="s">
        <v>24</v>
      </c>
      <c r="M61" t="s">
        <v>39</v>
      </c>
      <c r="N61" t="s">
        <v>26</v>
      </c>
      <c r="O61">
        <v>-4.83</v>
      </c>
      <c r="P61" s="6" t="s">
        <v>211</v>
      </c>
    </row>
    <row r="62" ht="185" spans="1:16">
      <c r="A62" t="s">
        <v>212</v>
      </c>
      <c r="B62" s="3">
        <v>46176.7861111111</v>
      </c>
      <c r="C62" s="3">
        <v>46176.7895833333</v>
      </c>
      <c r="D62" s="4">
        <f t="shared" si="2"/>
        <v>0.00347222220443655</v>
      </c>
      <c r="E62" t="s">
        <v>199</v>
      </c>
      <c r="F62" t="s">
        <v>22</v>
      </c>
      <c r="G62" s="6" t="s">
        <v>213</v>
      </c>
      <c r="H62" t="s">
        <v>24</v>
      </c>
      <c r="I62" t="s">
        <v>24</v>
      </c>
      <c r="J62" t="s">
        <v>26</v>
      </c>
      <c r="K62" t="s">
        <v>24</v>
      </c>
      <c r="L62" t="s">
        <v>24</v>
      </c>
      <c r="M62" t="s">
        <v>39</v>
      </c>
      <c r="N62" t="s">
        <v>26</v>
      </c>
      <c r="O62">
        <v>-845.9</v>
      </c>
      <c r="P62" s="6" t="s">
        <v>214</v>
      </c>
    </row>
    <row r="63" ht="118" spans="1:16">
      <c r="A63" t="s">
        <v>215</v>
      </c>
      <c r="B63" s="3">
        <v>46176.7916666667</v>
      </c>
      <c r="C63" s="3">
        <v>46176.8104166667</v>
      </c>
      <c r="D63" s="4">
        <f t="shared" si="2"/>
        <v>0.0187500000029104</v>
      </c>
      <c r="E63" t="s">
        <v>199</v>
      </c>
      <c r="F63" t="s">
        <v>30</v>
      </c>
      <c r="G63" s="6" t="s">
        <v>216</v>
      </c>
      <c r="H63" t="s">
        <v>24</v>
      </c>
      <c r="I63" t="s">
        <v>26</v>
      </c>
      <c r="J63" t="s">
        <v>26</v>
      </c>
      <c r="K63" t="s">
        <v>24</v>
      </c>
      <c r="L63" t="s">
        <v>26</v>
      </c>
      <c r="M63" t="s">
        <v>39</v>
      </c>
      <c r="N63" t="s">
        <v>26</v>
      </c>
      <c r="O63">
        <v>-507.54</v>
      </c>
      <c r="P63" s="6" t="s">
        <v>217</v>
      </c>
    </row>
    <row r="64" ht="409.5" spans="1:16">
      <c r="A64" t="s">
        <v>218</v>
      </c>
      <c r="B64" s="3">
        <v>46176.8270833333</v>
      </c>
      <c r="C64" s="3">
        <v>46176.8611111111</v>
      </c>
      <c r="D64" s="4">
        <f t="shared" si="2"/>
        <v>0.0340277778013842</v>
      </c>
      <c r="E64" t="s">
        <v>29</v>
      </c>
      <c r="F64" t="s">
        <v>30</v>
      </c>
      <c r="G64" s="6" t="s">
        <v>219</v>
      </c>
      <c r="H64" t="s">
        <v>24</v>
      </c>
      <c r="I64" t="s">
        <v>24</v>
      </c>
      <c r="J64" t="s">
        <v>26</v>
      </c>
      <c r="K64" t="s">
        <v>26</v>
      </c>
      <c r="L64" t="s">
        <v>24</v>
      </c>
      <c r="M64" t="s">
        <v>39</v>
      </c>
      <c r="N64" t="s">
        <v>26</v>
      </c>
      <c r="O64">
        <v>132.87</v>
      </c>
      <c r="P64" s="6" t="s">
        <v>220</v>
      </c>
    </row>
    <row r="65" ht="320" spans="1:16">
      <c r="A65" t="s">
        <v>221</v>
      </c>
      <c r="B65" s="3">
        <v>46176.9125</v>
      </c>
      <c r="C65" s="3">
        <v>46176.9173611111</v>
      </c>
      <c r="D65" s="4">
        <f t="shared" si="2"/>
        <v>0.0048611110978527</v>
      </c>
      <c r="E65" t="s">
        <v>199</v>
      </c>
      <c r="F65" t="s">
        <v>22</v>
      </c>
      <c r="G65" s="6" t="s">
        <v>222</v>
      </c>
      <c r="H65" t="s">
        <v>24</v>
      </c>
      <c r="I65" t="s">
        <v>26</v>
      </c>
      <c r="J65" t="s">
        <v>26</v>
      </c>
      <c r="K65" t="s">
        <v>24</v>
      </c>
      <c r="L65" t="s">
        <v>26</v>
      </c>
      <c r="M65" t="s">
        <v>39</v>
      </c>
      <c r="N65" t="s">
        <v>26</v>
      </c>
      <c r="O65">
        <v>60</v>
      </c>
      <c r="P65" s="6" t="s">
        <v>223</v>
      </c>
    </row>
    <row r="66" ht="409.5" spans="1:16">
      <c r="A66" t="s">
        <v>224</v>
      </c>
      <c r="B66" s="3">
        <v>46176.9333333333</v>
      </c>
      <c r="C66" s="3">
        <v>46176.9340277778</v>
      </c>
      <c r="D66" s="4">
        <f t="shared" si="2"/>
        <v>0.000694444504915737</v>
      </c>
      <c r="E66" t="s">
        <v>64</v>
      </c>
      <c r="F66" t="s">
        <v>30</v>
      </c>
      <c r="G66" s="6" t="s">
        <v>225</v>
      </c>
      <c r="H66" t="s">
        <v>24</v>
      </c>
      <c r="I66" t="s">
        <v>24</v>
      </c>
      <c r="J66" t="s">
        <v>26</v>
      </c>
      <c r="K66" t="s">
        <v>24</v>
      </c>
      <c r="L66" t="s">
        <v>24</v>
      </c>
      <c r="M66" t="s">
        <v>39</v>
      </c>
      <c r="N66" t="s">
        <v>26</v>
      </c>
      <c r="O66">
        <v>788.96</v>
      </c>
      <c r="P66" s="6" t="s">
        <v>226</v>
      </c>
    </row>
    <row r="67" ht="269" spans="1:16">
      <c r="A67" t="s">
        <v>227</v>
      </c>
      <c r="B67" s="3">
        <v>46176.9604166667</v>
      </c>
      <c r="C67" s="3">
        <v>46176.9736111111</v>
      </c>
      <c r="D67" s="4">
        <f t="shared" si="2"/>
        <v>0.0131944444001419</v>
      </c>
      <c r="E67" t="s">
        <v>64</v>
      </c>
      <c r="F67" t="s">
        <v>30</v>
      </c>
      <c r="G67" s="6" t="s">
        <v>228</v>
      </c>
      <c r="H67" t="s">
        <v>24</v>
      </c>
      <c r="I67" t="s">
        <v>24</v>
      </c>
      <c r="J67" t="s">
        <v>26</v>
      </c>
      <c r="K67" t="s">
        <v>26</v>
      </c>
      <c r="L67" t="s">
        <v>24</v>
      </c>
      <c r="M67" t="s">
        <v>39</v>
      </c>
      <c r="N67" t="s">
        <v>26</v>
      </c>
      <c r="O67">
        <v>269.36</v>
      </c>
      <c r="P67" s="6" t="s">
        <v>229</v>
      </c>
    </row>
    <row r="68" ht="409.5" spans="1:16">
      <c r="A68" t="s">
        <v>230</v>
      </c>
      <c r="B68" s="3">
        <v>46177.0152777778</v>
      </c>
      <c r="C68" s="3">
        <v>46177.0229166667</v>
      </c>
      <c r="D68" s="4">
        <f t="shared" si="2"/>
        <v>0.00763888889923692</v>
      </c>
      <c r="E68" t="s">
        <v>21</v>
      </c>
      <c r="F68" t="s">
        <v>22</v>
      </c>
      <c r="G68" s="6" t="s">
        <v>231</v>
      </c>
      <c r="H68" t="s">
        <v>24</v>
      </c>
      <c r="I68" t="s">
        <v>26</v>
      </c>
      <c r="J68" t="s">
        <v>24</v>
      </c>
      <c r="K68" t="s">
        <v>24</v>
      </c>
      <c r="L68" t="s">
        <v>26</v>
      </c>
      <c r="M68" t="s">
        <v>39</v>
      </c>
      <c r="N68" t="s">
        <v>26</v>
      </c>
      <c r="O68">
        <v>-171.98</v>
      </c>
      <c r="P68" s="6" t="s">
        <v>232</v>
      </c>
    </row>
    <row r="69" ht="404" spans="1:16">
      <c r="A69" t="s">
        <v>233</v>
      </c>
      <c r="B69" s="3">
        <v>46177.0548611111</v>
      </c>
      <c r="C69" s="3">
        <v>46177.0784722222</v>
      </c>
      <c r="D69" s="4">
        <f t="shared" si="2"/>
        <v>0.0236111111007631</v>
      </c>
      <c r="E69" t="s">
        <v>21</v>
      </c>
      <c r="F69" t="s">
        <v>30</v>
      </c>
      <c r="G69" s="6" t="s">
        <v>234</v>
      </c>
      <c r="H69" t="s">
        <v>24</v>
      </c>
      <c r="I69" t="s">
        <v>24</v>
      </c>
      <c r="J69" t="s">
        <v>26</v>
      </c>
      <c r="K69" t="s">
        <v>24</v>
      </c>
      <c r="L69" t="s">
        <v>24</v>
      </c>
      <c r="M69" t="s">
        <v>39</v>
      </c>
      <c r="N69" t="s">
        <v>26</v>
      </c>
      <c r="O69">
        <v>213.3</v>
      </c>
      <c r="P69" s="6" t="s">
        <v>235</v>
      </c>
    </row>
    <row r="70" ht="409.5" spans="1:16">
      <c r="A70" t="s">
        <v>236</v>
      </c>
      <c r="B70" s="3">
        <v>46177.1298611111</v>
      </c>
      <c r="C70" s="3">
        <v>46177.25</v>
      </c>
      <c r="D70" s="4">
        <f t="shared" si="2"/>
        <v>0.120138888902147</v>
      </c>
      <c r="E70" t="s">
        <v>21</v>
      </c>
      <c r="F70" t="s">
        <v>30</v>
      </c>
      <c r="G70" s="6" t="s">
        <v>237</v>
      </c>
      <c r="H70" t="s">
        <v>24</v>
      </c>
      <c r="I70" t="s">
        <v>24</v>
      </c>
      <c r="J70" t="s">
        <v>26</v>
      </c>
      <c r="K70" t="s">
        <v>24</v>
      </c>
      <c r="L70" t="s">
        <v>24</v>
      </c>
      <c r="M70" t="s">
        <v>39</v>
      </c>
      <c r="N70" t="s">
        <v>26</v>
      </c>
      <c r="O70">
        <v>1108.47</v>
      </c>
      <c r="P70" s="6" t="s">
        <v>238</v>
      </c>
    </row>
    <row r="71" ht="303" spans="1:16">
      <c r="A71" t="s">
        <v>239</v>
      </c>
      <c r="B71" s="3">
        <v>46177.2923611111</v>
      </c>
      <c r="C71" s="3">
        <v>46177.3743055556</v>
      </c>
      <c r="D71" s="4">
        <f t="shared" si="2"/>
        <v>0.0819444445005502</v>
      </c>
      <c r="E71" t="s">
        <v>21</v>
      </c>
      <c r="F71" t="s">
        <v>22</v>
      </c>
      <c r="G71" s="6" t="s">
        <v>240</v>
      </c>
      <c r="H71" t="s">
        <v>24</v>
      </c>
      <c r="I71" t="s">
        <v>24</v>
      </c>
      <c r="J71" t="s">
        <v>24</v>
      </c>
      <c r="K71" t="s">
        <v>24</v>
      </c>
      <c r="L71" t="s">
        <v>24</v>
      </c>
      <c r="M71" t="s">
        <v>24</v>
      </c>
      <c r="N71" t="s">
        <v>24</v>
      </c>
      <c r="O71">
        <v>9.85</v>
      </c>
      <c r="P71" s="6" t="s">
        <v>241</v>
      </c>
    </row>
    <row r="72" ht="135" spans="1:16">
      <c r="A72" t="s">
        <v>242</v>
      </c>
      <c r="B72" s="3">
        <v>46177.3861111111</v>
      </c>
      <c r="C72" s="3">
        <v>46177.3888888889</v>
      </c>
      <c r="D72" s="4">
        <f t="shared" si="2"/>
        <v>0.00277777780138422</v>
      </c>
      <c r="E72" t="s">
        <v>21</v>
      </c>
      <c r="F72" t="s">
        <v>30</v>
      </c>
      <c r="G72" s="6" t="s">
        <v>243</v>
      </c>
      <c r="H72" t="s">
        <v>24</v>
      </c>
      <c r="I72" t="s">
        <v>26</v>
      </c>
      <c r="J72" t="s">
        <v>24</v>
      </c>
      <c r="K72" t="s">
        <v>24</v>
      </c>
      <c r="L72" t="s">
        <v>24</v>
      </c>
      <c r="M72" t="s">
        <v>39</v>
      </c>
      <c r="N72" t="s">
        <v>26</v>
      </c>
      <c r="O72">
        <v>138.31</v>
      </c>
      <c r="P72" s="6" t="s">
        <v>244</v>
      </c>
    </row>
    <row r="73" ht="336" spans="1:16">
      <c r="A73" t="s">
        <v>245</v>
      </c>
      <c r="B73" s="3">
        <v>46177.3993055556</v>
      </c>
      <c r="C73" s="3">
        <v>46177.41875</v>
      </c>
      <c r="D73" s="4">
        <f t="shared" si="2"/>
        <v>0.0194444443986868</v>
      </c>
      <c r="E73" t="s">
        <v>21</v>
      </c>
      <c r="F73" t="s">
        <v>30</v>
      </c>
      <c r="G73" s="6" t="s">
        <v>246</v>
      </c>
      <c r="H73" t="s">
        <v>24</v>
      </c>
      <c r="I73" t="s">
        <v>26</v>
      </c>
      <c r="J73" t="s">
        <v>24</v>
      </c>
      <c r="K73" t="s">
        <v>24</v>
      </c>
      <c r="L73" t="s">
        <v>24</v>
      </c>
      <c r="M73" t="s">
        <v>26</v>
      </c>
      <c r="N73" t="s">
        <v>26</v>
      </c>
      <c r="O73">
        <v>2815.74</v>
      </c>
      <c r="P73" s="6" t="s">
        <v>247</v>
      </c>
    </row>
    <row r="74" ht="236" spans="1:16">
      <c r="A74" t="s">
        <v>248</v>
      </c>
      <c r="B74" s="3">
        <v>46177.4652777778</v>
      </c>
      <c r="C74" s="3">
        <v>46177.4694444444</v>
      </c>
      <c r="D74" s="4">
        <f t="shared" si="2"/>
        <v>0.00416666660021292</v>
      </c>
      <c r="E74" t="s">
        <v>249</v>
      </c>
      <c r="F74" t="s">
        <v>30</v>
      </c>
      <c r="G74" s="6" t="s">
        <v>250</v>
      </c>
      <c r="H74" t="s">
        <v>24</v>
      </c>
      <c r="I74" t="s">
        <v>26</v>
      </c>
      <c r="J74" t="s">
        <v>24</v>
      </c>
      <c r="K74" t="s">
        <v>24</v>
      </c>
      <c r="L74" t="s">
        <v>24</v>
      </c>
      <c r="M74" t="s">
        <v>26</v>
      </c>
      <c r="N74" t="s">
        <v>26</v>
      </c>
      <c r="O74">
        <v>31.7</v>
      </c>
      <c r="P74" s="6" t="s">
        <v>251</v>
      </c>
    </row>
    <row r="75" ht="336" spans="1:16">
      <c r="A75" t="s">
        <v>252</v>
      </c>
      <c r="B75" s="3">
        <v>46177.7840277778</v>
      </c>
      <c r="C75" s="3">
        <v>46177.7854166667</v>
      </c>
      <c r="D75" s="4">
        <f t="shared" si="2"/>
        <v>0.00138888890069211</v>
      </c>
      <c r="E75" t="s">
        <v>21</v>
      </c>
      <c r="F75" t="s">
        <v>30</v>
      </c>
      <c r="G75" s="6" t="s">
        <v>253</v>
      </c>
      <c r="H75" t="s">
        <v>24</v>
      </c>
      <c r="I75" t="s">
        <v>26</v>
      </c>
      <c r="J75" t="s">
        <v>24</v>
      </c>
      <c r="K75" t="s">
        <v>24</v>
      </c>
      <c r="L75" t="s">
        <v>24</v>
      </c>
      <c r="M75" t="s">
        <v>24</v>
      </c>
      <c r="N75" t="s">
        <v>26</v>
      </c>
      <c r="O75">
        <v>47.63</v>
      </c>
      <c r="P75" s="6" t="s">
        <v>254</v>
      </c>
    </row>
    <row r="76" ht="185" spans="1:16">
      <c r="A76" t="s">
        <v>255</v>
      </c>
      <c r="B76" s="3">
        <v>46177.8236111111</v>
      </c>
      <c r="C76" s="3">
        <v>46177.8347222222</v>
      </c>
      <c r="D76" s="4">
        <f t="shared" si="2"/>
        <v>0.0111111111036735</v>
      </c>
      <c r="E76" t="s">
        <v>21</v>
      </c>
      <c r="F76" t="s">
        <v>30</v>
      </c>
      <c r="G76" s="6" t="s">
        <v>256</v>
      </c>
      <c r="H76" t="s">
        <v>24</v>
      </c>
      <c r="I76" t="s">
        <v>26</v>
      </c>
      <c r="J76" t="s">
        <v>24</v>
      </c>
      <c r="K76" t="s">
        <v>24</v>
      </c>
      <c r="L76" t="s">
        <v>24</v>
      </c>
      <c r="M76" t="s">
        <v>24</v>
      </c>
      <c r="N76" t="s">
        <v>26</v>
      </c>
      <c r="O76">
        <v>-325.9</v>
      </c>
      <c r="P76" s="6" t="s">
        <v>257</v>
      </c>
    </row>
    <row r="77" ht="109" customHeight="1" spans="1:16">
      <c r="A77" t="s">
        <v>258</v>
      </c>
      <c r="B77" s="3">
        <v>46177.4541666667</v>
      </c>
      <c r="C77" s="3">
        <v>46177.84375</v>
      </c>
      <c r="D77" s="4">
        <f t="shared" si="2"/>
        <v>0.389583333300834</v>
      </c>
      <c r="E77" t="s">
        <v>21</v>
      </c>
      <c r="F77" t="s">
        <v>22</v>
      </c>
      <c r="G77" s="6" t="s">
        <v>259</v>
      </c>
      <c r="H77" t="s">
        <v>24</v>
      </c>
      <c r="I77" t="s">
        <v>24</v>
      </c>
      <c r="J77" t="s">
        <v>24</v>
      </c>
      <c r="K77" t="s">
        <v>26</v>
      </c>
      <c r="L77" t="s">
        <v>24</v>
      </c>
      <c r="M77" t="s">
        <v>25</v>
      </c>
      <c r="N77" t="s">
        <v>24</v>
      </c>
      <c r="P77" s="6"/>
    </row>
    <row r="78" ht="409.5" spans="1:16">
      <c r="A78" t="s">
        <v>260</v>
      </c>
      <c r="B78" s="3">
        <v>46177.8875</v>
      </c>
      <c r="C78" s="3">
        <v>46177.8965277778</v>
      </c>
      <c r="D78" s="4">
        <f t="shared" ref="D78:D89" si="3">C78-B78</f>
        <v>0.00902777779992903</v>
      </c>
      <c r="E78" t="s">
        <v>21</v>
      </c>
      <c r="F78" t="s">
        <v>22</v>
      </c>
      <c r="G78" s="6" t="s">
        <v>261</v>
      </c>
      <c r="H78" t="s">
        <v>24</v>
      </c>
      <c r="I78" t="s">
        <v>26</v>
      </c>
      <c r="J78" t="s">
        <v>26</v>
      </c>
      <c r="K78" t="s">
        <v>24</v>
      </c>
      <c r="L78" t="s">
        <v>24</v>
      </c>
      <c r="M78" t="s">
        <v>26</v>
      </c>
      <c r="N78" t="s">
        <v>26</v>
      </c>
      <c r="O78">
        <v>-118.3</v>
      </c>
      <c r="P78" s="6" t="s">
        <v>262</v>
      </c>
    </row>
    <row r="79" ht="336" spans="1:16">
      <c r="A79" t="s">
        <v>263</v>
      </c>
      <c r="B79" s="3">
        <v>46177.93125</v>
      </c>
      <c r="C79" s="3">
        <v>46177.9423611111</v>
      </c>
      <c r="D79" s="4">
        <f t="shared" si="3"/>
        <v>0.0111111110963975</v>
      </c>
      <c r="E79" t="s">
        <v>21</v>
      </c>
      <c r="F79" t="s">
        <v>30</v>
      </c>
      <c r="G79" s="6" t="s">
        <v>264</v>
      </c>
      <c r="H79" t="s">
        <v>24</v>
      </c>
      <c r="I79" t="s">
        <v>24</v>
      </c>
      <c r="J79" t="s">
        <v>24</v>
      </c>
      <c r="K79" t="s">
        <v>24</v>
      </c>
      <c r="L79" t="s">
        <v>24</v>
      </c>
      <c r="M79" t="s">
        <v>26</v>
      </c>
      <c r="N79" t="s">
        <v>26</v>
      </c>
      <c r="O79">
        <v>865.21</v>
      </c>
      <c r="P79" s="6" t="s">
        <v>265</v>
      </c>
    </row>
    <row r="80" ht="168" spans="1:16">
      <c r="A80" t="s">
        <v>266</v>
      </c>
      <c r="B80" s="3">
        <v>46177.9583333333</v>
      </c>
      <c r="C80" s="3">
        <v>46177.9590277778</v>
      </c>
      <c r="D80" s="4">
        <f t="shared" si="3"/>
        <v>0.000694444497639779</v>
      </c>
      <c r="E80" t="s">
        <v>34</v>
      </c>
      <c r="F80" t="s">
        <v>30</v>
      </c>
      <c r="G80" s="6" t="s">
        <v>267</v>
      </c>
      <c r="H80" t="s">
        <v>24</v>
      </c>
      <c r="I80" t="s">
        <v>26</v>
      </c>
      <c r="J80" t="s">
        <v>26</v>
      </c>
      <c r="K80" t="s">
        <v>24</v>
      </c>
      <c r="L80" t="s">
        <v>24</v>
      </c>
      <c r="M80" t="s">
        <v>25</v>
      </c>
      <c r="N80" t="s">
        <v>26</v>
      </c>
      <c r="O80">
        <v>-9.65</v>
      </c>
      <c r="P80" t="s">
        <v>268</v>
      </c>
    </row>
    <row r="81" ht="320" spans="1:16">
      <c r="A81" t="s">
        <v>269</v>
      </c>
      <c r="B81" s="3">
        <v>46178.0048611111</v>
      </c>
      <c r="C81" s="3">
        <v>46178.0708333333</v>
      </c>
      <c r="D81" s="4">
        <f t="shared" si="3"/>
        <v>0.0659722222044365</v>
      </c>
      <c r="E81" t="s">
        <v>21</v>
      </c>
      <c r="F81" t="s">
        <v>30</v>
      </c>
      <c r="G81" s="6" t="s">
        <v>270</v>
      </c>
      <c r="H81" t="s">
        <v>24</v>
      </c>
      <c r="I81" t="s">
        <v>24</v>
      </c>
      <c r="J81" t="s">
        <v>24</v>
      </c>
      <c r="K81" t="s">
        <v>24</v>
      </c>
      <c r="L81" t="s">
        <v>24</v>
      </c>
      <c r="M81" t="s">
        <v>26</v>
      </c>
      <c r="N81" t="s">
        <v>26</v>
      </c>
      <c r="O81">
        <v>834.94</v>
      </c>
      <c r="P81" s="6" t="s">
        <v>271</v>
      </c>
    </row>
    <row r="82" ht="409.5" spans="1:16">
      <c r="A82" t="s">
        <v>272</v>
      </c>
      <c r="B82" s="3">
        <v>46178.6069444444</v>
      </c>
      <c r="C82" s="3">
        <v>46178.6083333333</v>
      </c>
      <c r="D82" s="4">
        <f t="shared" si="3"/>
        <v>0.00138888890069211</v>
      </c>
      <c r="E82" t="s">
        <v>21</v>
      </c>
      <c r="F82" t="s">
        <v>30</v>
      </c>
      <c r="G82" s="6" t="s">
        <v>273</v>
      </c>
      <c r="H82" t="s">
        <v>24</v>
      </c>
      <c r="I82" t="s">
        <v>26</v>
      </c>
      <c r="J82" t="s">
        <v>24</v>
      </c>
      <c r="K82" t="s">
        <v>24</v>
      </c>
      <c r="L82" t="s">
        <v>24</v>
      </c>
      <c r="M82" t="s">
        <v>39</v>
      </c>
      <c r="N82" t="s">
        <v>26</v>
      </c>
      <c r="O82">
        <v>49.37</v>
      </c>
      <c r="P82" s="6" t="s">
        <v>274</v>
      </c>
    </row>
    <row r="83" ht="252" spans="1:16">
      <c r="A83" t="s">
        <v>275</v>
      </c>
      <c r="B83" s="3">
        <v>46178.6506944444</v>
      </c>
      <c r="C83" s="3">
        <v>46178.6576388889</v>
      </c>
      <c r="D83" s="4">
        <f t="shared" si="3"/>
        <v>0.00694444450346055</v>
      </c>
      <c r="E83" t="s">
        <v>21</v>
      </c>
      <c r="F83" t="s">
        <v>30</v>
      </c>
      <c r="G83" s="6" t="s">
        <v>276</v>
      </c>
      <c r="H83" t="s">
        <v>24</v>
      </c>
      <c r="I83" t="s">
        <v>26</v>
      </c>
      <c r="J83" t="s">
        <v>24</v>
      </c>
      <c r="K83" t="s">
        <v>24</v>
      </c>
      <c r="L83" t="s">
        <v>24</v>
      </c>
      <c r="M83" t="s">
        <v>39</v>
      </c>
      <c r="N83" t="s">
        <v>26</v>
      </c>
      <c r="O83">
        <v>59.85</v>
      </c>
      <c r="P83" s="6" t="s">
        <v>277</v>
      </c>
    </row>
    <row r="84" ht="135" spans="1:16">
      <c r="A84" t="s">
        <v>278</v>
      </c>
      <c r="B84" s="3">
        <v>46178.6694444444</v>
      </c>
      <c r="C84" s="3">
        <v>46178.6701388889</v>
      </c>
      <c r="D84" s="4">
        <f t="shared" si="3"/>
        <v>0.000694444497639779</v>
      </c>
      <c r="E84" t="s">
        <v>279</v>
      </c>
      <c r="F84" t="s">
        <v>30</v>
      </c>
      <c r="G84" s="6" t="s">
        <v>280</v>
      </c>
      <c r="H84" t="s">
        <v>24</v>
      </c>
      <c r="I84" t="s">
        <v>26</v>
      </c>
      <c r="J84" t="s">
        <v>24</v>
      </c>
      <c r="K84" t="s">
        <v>24</v>
      </c>
      <c r="L84" t="s">
        <v>24</v>
      </c>
      <c r="M84" t="s">
        <v>39</v>
      </c>
      <c r="N84" t="s">
        <v>26</v>
      </c>
      <c r="O84">
        <v>160.92</v>
      </c>
      <c r="P84" s="6" t="s">
        <v>281</v>
      </c>
    </row>
    <row r="85" ht="84" spans="1:16">
      <c r="A85" t="s">
        <v>282</v>
      </c>
      <c r="B85" s="3">
        <v>46178.6708333333</v>
      </c>
      <c r="C85" s="3">
        <v>46178.6715277778</v>
      </c>
      <c r="D85" s="4">
        <f t="shared" si="3"/>
        <v>0.000694444497639779</v>
      </c>
      <c r="E85" t="s">
        <v>21</v>
      </c>
      <c r="F85" t="s">
        <v>30</v>
      </c>
      <c r="G85" s="6" t="s">
        <v>283</v>
      </c>
      <c r="H85" t="s">
        <v>24</v>
      </c>
      <c r="I85" t="s">
        <v>26</v>
      </c>
      <c r="J85" t="s">
        <v>24</v>
      </c>
      <c r="K85" t="s">
        <v>24</v>
      </c>
      <c r="L85" t="s">
        <v>24</v>
      </c>
      <c r="M85" t="s">
        <v>39</v>
      </c>
      <c r="N85" t="s">
        <v>26</v>
      </c>
      <c r="O85">
        <v>101.49</v>
      </c>
      <c r="P85" s="6" t="s">
        <v>284</v>
      </c>
    </row>
    <row r="86" ht="219" spans="1:16">
      <c r="A86" t="s">
        <v>285</v>
      </c>
      <c r="B86" s="3">
        <v>46178.6805555556</v>
      </c>
      <c r="C86" s="3">
        <v>46178.6958333333</v>
      </c>
      <c r="D86" s="4">
        <f t="shared" si="3"/>
        <v>0.0152777777038864</v>
      </c>
      <c r="E86" t="s">
        <v>279</v>
      </c>
      <c r="F86" t="s">
        <v>30</v>
      </c>
      <c r="G86" s="6" t="s">
        <v>286</v>
      </c>
      <c r="H86" t="s">
        <v>24</v>
      </c>
      <c r="I86" t="s">
        <v>26</v>
      </c>
      <c r="J86" t="s">
        <v>26</v>
      </c>
      <c r="K86" t="s">
        <v>24</v>
      </c>
      <c r="L86" t="s">
        <v>24</v>
      </c>
      <c r="M86" t="s">
        <v>39</v>
      </c>
      <c r="N86" t="s">
        <v>26</v>
      </c>
      <c r="O86">
        <v>89.04</v>
      </c>
      <c r="P86" s="6" t="s">
        <v>287</v>
      </c>
    </row>
    <row r="87" ht="91" customHeight="1" spans="1:16">
      <c r="A87" t="s">
        <v>288</v>
      </c>
      <c r="B87" s="3">
        <v>46178.64375</v>
      </c>
      <c r="C87" s="3">
        <v>46178.8180555556</v>
      </c>
      <c r="D87" s="4">
        <f t="shared" si="3"/>
        <v>0.174305555599858</v>
      </c>
      <c r="E87" t="s">
        <v>279</v>
      </c>
      <c r="F87" t="s">
        <v>22</v>
      </c>
      <c r="G87" s="6" t="s">
        <v>289</v>
      </c>
      <c r="H87" t="s">
        <v>24</v>
      </c>
      <c r="I87" t="s">
        <v>24</v>
      </c>
      <c r="J87" t="s">
        <v>24</v>
      </c>
      <c r="K87" t="s">
        <v>24</v>
      </c>
      <c r="L87" t="s">
        <v>24</v>
      </c>
      <c r="M87" t="s">
        <v>39</v>
      </c>
      <c r="N87" t="s">
        <v>24</v>
      </c>
      <c r="P87" s="6"/>
    </row>
    <row r="88" ht="409.5" spans="1:16">
      <c r="A88" t="s">
        <v>290</v>
      </c>
      <c r="B88" s="3">
        <v>46178.9138888889</v>
      </c>
      <c r="C88" s="3">
        <v>46178.9548611111</v>
      </c>
      <c r="D88" s="4">
        <f t="shared" si="3"/>
        <v>0.0409722222029814</v>
      </c>
      <c r="E88" t="s">
        <v>21</v>
      </c>
      <c r="F88" t="s">
        <v>22</v>
      </c>
      <c r="G88" s="6" t="s">
        <v>291</v>
      </c>
      <c r="H88" t="s">
        <v>24</v>
      </c>
      <c r="I88" t="s">
        <v>24</v>
      </c>
      <c r="J88" t="s">
        <v>24</v>
      </c>
      <c r="K88" t="s">
        <v>26</v>
      </c>
      <c r="L88" t="s">
        <v>24</v>
      </c>
      <c r="M88" t="s">
        <v>24</v>
      </c>
      <c r="N88" t="s">
        <v>26</v>
      </c>
      <c r="O88">
        <v>60.48</v>
      </c>
      <c r="P88" s="6" t="s">
        <v>292</v>
      </c>
    </row>
    <row r="89" ht="94" customHeight="1" spans="1:16">
      <c r="A89" t="s">
        <v>293</v>
      </c>
      <c r="B89" s="3">
        <v>46179.0083333333</v>
      </c>
      <c r="C89" s="3">
        <v>46179.1131944444</v>
      </c>
      <c r="D89" s="4">
        <f t="shared" si="3"/>
        <v>0.104861111096398</v>
      </c>
      <c r="E89" t="s">
        <v>21</v>
      </c>
      <c r="F89" t="s">
        <v>22</v>
      </c>
      <c r="G89" s="6" t="s">
        <v>294</v>
      </c>
      <c r="H89" t="s">
        <v>24</v>
      </c>
      <c r="I89" t="s">
        <v>24</v>
      </c>
      <c r="J89" t="s">
        <v>24</v>
      </c>
      <c r="K89" t="s">
        <v>24</v>
      </c>
      <c r="L89" t="s">
        <v>24</v>
      </c>
      <c r="M89" t="s">
        <v>24</v>
      </c>
      <c r="N89" t="s">
        <v>26</v>
      </c>
      <c r="P89" s="6"/>
    </row>
    <row r="90" ht="387" spans="1:16">
      <c r="A90" t="s">
        <v>295</v>
      </c>
      <c r="B90" s="3">
        <v>46179.3104166667</v>
      </c>
      <c r="C90" s="3">
        <v>46179.3125</v>
      </c>
      <c r="D90" s="4">
        <f t="shared" ref="D90:D137" si="4">C90-B90</f>
        <v>0.00208333329646848</v>
      </c>
      <c r="E90" t="s">
        <v>21</v>
      </c>
      <c r="F90" t="s">
        <v>30</v>
      </c>
      <c r="G90" s="6" t="s">
        <v>296</v>
      </c>
      <c r="H90" t="s">
        <v>24</v>
      </c>
      <c r="I90" t="s">
        <v>24</v>
      </c>
      <c r="J90" t="s">
        <v>24</v>
      </c>
      <c r="K90" t="s">
        <v>24</v>
      </c>
      <c r="L90" t="s">
        <v>24</v>
      </c>
      <c r="M90" t="s">
        <v>25</v>
      </c>
      <c r="N90" t="s">
        <v>26</v>
      </c>
      <c r="O90">
        <v>147.29</v>
      </c>
      <c r="P90" s="6" t="s">
        <v>297</v>
      </c>
    </row>
    <row r="91" ht="152" spans="1:16">
      <c r="A91" t="s">
        <v>298</v>
      </c>
      <c r="B91" s="3">
        <v>46179.3388888889</v>
      </c>
      <c r="C91" s="3">
        <v>46179.3458333333</v>
      </c>
      <c r="D91" s="4">
        <f t="shared" si="4"/>
        <v>0.00694444439432118</v>
      </c>
      <c r="E91" t="s">
        <v>21</v>
      </c>
      <c r="F91" t="s">
        <v>30</v>
      </c>
      <c r="G91" s="6" t="s">
        <v>299</v>
      </c>
      <c r="H91" t="s">
        <v>24</v>
      </c>
      <c r="I91" t="s">
        <v>26</v>
      </c>
      <c r="J91" t="s">
        <v>24</v>
      </c>
      <c r="K91" t="s">
        <v>24</v>
      </c>
      <c r="L91" t="s">
        <v>24</v>
      </c>
      <c r="M91" t="s">
        <v>25</v>
      </c>
      <c r="N91" t="s">
        <v>26</v>
      </c>
      <c r="O91">
        <v>68.64</v>
      </c>
      <c r="P91" s="6" t="s">
        <v>300</v>
      </c>
    </row>
    <row r="92" ht="101" spans="1:16">
      <c r="A92" t="s">
        <v>301</v>
      </c>
      <c r="B92" s="3">
        <v>46179.9701388889</v>
      </c>
      <c r="C92" s="3">
        <v>46179.9729166667</v>
      </c>
      <c r="D92" s="4">
        <f t="shared" si="4"/>
        <v>0.00277777780138422</v>
      </c>
      <c r="E92" t="s">
        <v>21</v>
      </c>
      <c r="F92" t="s">
        <v>30</v>
      </c>
      <c r="G92" s="6" t="s">
        <v>302</v>
      </c>
      <c r="H92" t="s">
        <v>24</v>
      </c>
      <c r="I92" t="s">
        <v>24</v>
      </c>
      <c r="J92" t="s">
        <v>24</v>
      </c>
      <c r="K92" t="s">
        <v>24</v>
      </c>
      <c r="L92" t="s">
        <v>24</v>
      </c>
      <c r="M92" t="s">
        <v>24</v>
      </c>
      <c r="N92" t="s">
        <v>26</v>
      </c>
      <c r="O92">
        <v>13.57</v>
      </c>
      <c r="P92" s="6" t="s">
        <v>303</v>
      </c>
    </row>
    <row r="93" ht="370" spans="1:16">
      <c r="A93" t="s">
        <v>304</v>
      </c>
      <c r="B93" s="3">
        <v>46180.4409722222</v>
      </c>
      <c r="C93" s="3">
        <v>46180.6972222222</v>
      </c>
      <c r="D93" s="4">
        <f t="shared" si="4"/>
        <v>0.256250000005821</v>
      </c>
      <c r="E93" t="s">
        <v>21</v>
      </c>
      <c r="F93" t="s">
        <v>22</v>
      </c>
      <c r="G93" s="6" t="s">
        <v>305</v>
      </c>
      <c r="H93" t="s">
        <v>26</v>
      </c>
      <c r="I93" t="s">
        <v>24</v>
      </c>
      <c r="J93" t="s">
        <v>24</v>
      </c>
      <c r="K93" t="s">
        <v>24</v>
      </c>
      <c r="L93" t="s">
        <v>24</v>
      </c>
      <c r="M93" t="s">
        <v>24</v>
      </c>
      <c r="N93" t="s">
        <v>26</v>
      </c>
      <c r="O93">
        <v>3048.94</v>
      </c>
      <c r="P93" s="6" t="s">
        <v>306</v>
      </c>
    </row>
    <row r="94" ht="387" spans="1:16">
      <c r="A94" t="s">
        <v>307</v>
      </c>
      <c r="B94" s="3">
        <v>46181.3868055556</v>
      </c>
      <c r="C94" s="3">
        <v>46181.3888888889</v>
      </c>
      <c r="D94" s="4">
        <f t="shared" si="4"/>
        <v>0.00208333329646848</v>
      </c>
      <c r="E94" t="s">
        <v>21</v>
      </c>
      <c r="F94" t="s">
        <v>22</v>
      </c>
      <c r="G94" s="6" t="s">
        <v>308</v>
      </c>
      <c r="H94" t="s">
        <v>24</v>
      </c>
      <c r="I94" t="s">
        <v>26</v>
      </c>
      <c r="J94" t="s">
        <v>26</v>
      </c>
      <c r="K94" t="s">
        <v>24</v>
      </c>
      <c r="L94" t="s">
        <v>24</v>
      </c>
      <c r="M94" t="s">
        <v>24</v>
      </c>
      <c r="N94" t="s">
        <v>26</v>
      </c>
      <c r="O94">
        <v>31.72</v>
      </c>
      <c r="P94" s="6" t="s">
        <v>309</v>
      </c>
    </row>
    <row r="95" ht="185" spans="1:16">
      <c r="A95" t="s">
        <v>310</v>
      </c>
      <c r="B95" s="3">
        <v>46181.4027777778</v>
      </c>
      <c r="C95" s="3">
        <v>46181.4097222222</v>
      </c>
      <c r="D95" s="4">
        <f t="shared" si="4"/>
        <v>0.00694444439432118</v>
      </c>
      <c r="E95" t="s">
        <v>21</v>
      </c>
      <c r="F95" t="s">
        <v>30</v>
      </c>
      <c r="G95" s="6" t="s">
        <v>311</v>
      </c>
      <c r="H95" t="s">
        <v>24</v>
      </c>
      <c r="I95" t="s">
        <v>26</v>
      </c>
      <c r="J95" t="s">
        <v>26</v>
      </c>
      <c r="K95" t="s">
        <v>24</v>
      </c>
      <c r="L95" t="s">
        <v>24</v>
      </c>
      <c r="M95" t="s">
        <v>24</v>
      </c>
      <c r="N95" t="s">
        <v>26</v>
      </c>
      <c r="O95">
        <v>68.79</v>
      </c>
      <c r="P95" s="6" t="s">
        <v>312</v>
      </c>
    </row>
    <row r="96" ht="168" spans="1:16">
      <c r="A96" t="s">
        <v>313</v>
      </c>
      <c r="B96" s="3">
        <v>46181.4409722222</v>
      </c>
      <c r="C96" s="3">
        <v>46181.4618055556</v>
      </c>
      <c r="D96" s="4">
        <f t="shared" si="4"/>
        <v>0.0208333334012423</v>
      </c>
      <c r="E96" t="s">
        <v>21</v>
      </c>
      <c r="F96" t="s">
        <v>30</v>
      </c>
      <c r="G96" s="6" t="s">
        <v>314</v>
      </c>
      <c r="H96" t="s">
        <v>24</v>
      </c>
      <c r="I96" t="s">
        <v>26</v>
      </c>
      <c r="J96" t="s">
        <v>24</v>
      </c>
      <c r="K96" t="s">
        <v>24</v>
      </c>
      <c r="L96" t="s">
        <v>24</v>
      </c>
      <c r="M96" t="s">
        <v>24</v>
      </c>
      <c r="N96" t="s">
        <v>26</v>
      </c>
      <c r="O96">
        <v>80.43</v>
      </c>
      <c r="P96" s="6" t="s">
        <v>315</v>
      </c>
    </row>
    <row r="97" ht="409.5" spans="1:16">
      <c r="A97" t="s">
        <v>316</v>
      </c>
      <c r="B97" s="3">
        <v>46181.4722222222</v>
      </c>
      <c r="C97" s="3">
        <v>46182.3479166667</v>
      </c>
      <c r="D97" s="4">
        <f t="shared" si="4"/>
        <v>0.875694444504916</v>
      </c>
      <c r="E97" t="s">
        <v>21</v>
      </c>
      <c r="F97" t="s">
        <v>30</v>
      </c>
      <c r="G97" s="6" t="s">
        <v>317</v>
      </c>
      <c r="H97" t="s">
        <v>24</v>
      </c>
      <c r="I97" t="s">
        <v>24</v>
      </c>
      <c r="J97" t="s">
        <v>26</v>
      </c>
      <c r="K97" t="s">
        <v>24</v>
      </c>
      <c r="L97" t="s">
        <v>24</v>
      </c>
      <c r="M97" t="s">
        <v>25</v>
      </c>
      <c r="N97" t="s">
        <v>26</v>
      </c>
      <c r="O97">
        <v>1042.17</v>
      </c>
      <c r="P97" s="6" t="s">
        <v>318</v>
      </c>
    </row>
    <row r="98" ht="409.5" spans="1:16">
      <c r="A98" t="s">
        <v>319</v>
      </c>
      <c r="B98" s="3">
        <v>46182.45625</v>
      </c>
      <c r="C98" s="3">
        <v>46182.6708333333</v>
      </c>
      <c r="D98" s="4">
        <f t="shared" si="4"/>
        <v>0.214583333297924</v>
      </c>
      <c r="E98" t="s">
        <v>21</v>
      </c>
      <c r="F98" t="s">
        <v>30</v>
      </c>
      <c r="G98" s="6" t="s">
        <v>320</v>
      </c>
      <c r="H98" t="s">
        <v>24</v>
      </c>
      <c r="I98" t="s">
        <v>26</v>
      </c>
      <c r="J98" t="s">
        <v>26</v>
      </c>
      <c r="K98" t="s">
        <v>26</v>
      </c>
      <c r="L98" t="s">
        <v>24</v>
      </c>
      <c r="M98" t="s">
        <v>24</v>
      </c>
      <c r="N98" t="s">
        <v>26</v>
      </c>
      <c r="O98">
        <v>176.75</v>
      </c>
      <c r="P98" s="6" t="s">
        <v>321</v>
      </c>
    </row>
    <row r="99" ht="409.5" spans="1:16">
      <c r="A99" t="s">
        <v>322</v>
      </c>
      <c r="B99" s="3">
        <v>46182.7923611111</v>
      </c>
      <c r="C99" s="3">
        <v>46182.8208333333</v>
      </c>
      <c r="D99" s="4">
        <f t="shared" si="4"/>
        <v>0.0284722222058917</v>
      </c>
      <c r="E99" t="s">
        <v>21</v>
      </c>
      <c r="F99" t="s">
        <v>22</v>
      </c>
      <c r="G99" s="6" t="s">
        <v>323</v>
      </c>
      <c r="H99" t="s">
        <v>24</v>
      </c>
      <c r="I99" t="s">
        <v>26</v>
      </c>
      <c r="J99" t="s">
        <v>24</v>
      </c>
      <c r="K99" t="s">
        <v>24</v>
      </c>
      <c r="L99" t="s">
        <v>24</v>
      </c>
      <c r="M99" t="s">
        <v>24</v>
      </c>
      <c r="N99" t="s">
        <v>26</v>
      </c>
      <c r="O99">
        <v>-281.64</v>
      </c>
      <c r="P99" s="6" t="s">
        <v>324</v>
      </c>
    </row>
    <row r="100" ht="168" spans="1:16">
      <c r="A100" t="s">
        <v>325</v>
      </c>
      <c r="B100" s="3">
        <v>46182.8319444444</v>
      </c>
      <c r="C100" s="3">
        <v>46182.8493055556</v>
      </c>
      <c r="D100" s="4">
        <f t="shared" si="4"/>
        <v>0.0173611112040817</v>
      </c>
      <c r="E100" t="s">
        <v>21</v>
      </c>
      <c r="F100" t="s">
        <v>30</v>
      </c>
      <c r="G100" s="6" t="s">
        <v>326</v>
      </c>
      <c r="H100" t="s">
        <v>24</v>
      </c>
      <c r="I100" t="s">
        <v>26</v>
      </c>
      <c r="J100" t="s">
        <v>26</v>
      </c>
      <c r="K100" t="s">
        <v>26</v>
      </c>
      <c r="L100" t="s">
        <v>24</v>
      </c>
      <c r="M100" t="s">
        <v>26</v>
      </c>
      <c r="N100" t="s">
        <v>26</v>
      </c>
      <c r="O100">
        <v>119.4</v>
      </c>
      <c r="P100" s="6" t="s">
        <v>327</v>
      </c>
    </row>
    <row r="101" ht="409.5" spans="1:16">
      <c r="A101" t="s">
        <v>328</v>
      </c>
      <c r="B101" s="3">
        <v>46182.9048611111</v>
      </c>
      <c r="C101" s="3">
        <v>46183.1680555556</v>
      </c>
      <c r="D101" s="4">
        <f t="shared" si="4"/>
        <v>0.263194444502005</v>
      </c>
      <c r="E101" t="s">
        <v>21</v>
      </c>
      <c r="F101" t="s">
        <v>30</v>
      </c>
      <c r="G101" s="6" t="s">
        <v>329</v>
      </c>
      <c r="H101" t="s">
        <v>24</v>
      </c>
      <c r="I101" t="s">
        <v>24</v>
      </c>
      <c r="J101" t="s">
        <v>26</v>
      </c>
      <c r="K101" t="s">
        <v>24</v>
      </c>
      <c r="L101" t="s">
        <v>24</v>
      </c>
      <c r="M101" t="s">
        <v>26</v>
      </c>
      <c r="N101" t="s">
        <v>26</v>
      </c>
      <c r="O101">
        <v>2614.42</v>
      </c>
      <c r="P101" s="6" t="s">
        <v>330</v>
      </c>
    </row>
    <row r="102" ht="202" spans="1:16">
      <c r="A102" t="s">
        <v>331</v>
      </c>
      <c r="B102" s="3">
        <v>46183.2409722222</v>
      </c>
      <c r="C102" s="3">
        <v>46183.2451388889</v>
      </c>
      <c r="D102" s="4">
        <f t="shared" si="4"/>
        <v>0.00416666670207633</v>
      </c>
      <c r="E102" t="s">
        <v>21</v>
      </c>
      <c r="F102" t="s">
        <v>30</v>
      </c>
      <c r="G102" s="6" t="s">
        <v>332</v>
      </c>
      <c r="H102" t="s">
        <v>24</v>
      </c>
      <c r="I102" t="s">
        <v>26</v>
      </c>
      <c r="J102" t="s">
        <v>24</v>
      </c>
      <c r="K102" t="s">
        <v>24</v>
      </c>
      <c r="L102" t="s">
        <v>24</v>
      </c>
      <c r="M102" t="s">
        <v>39</v>
      </c>
      <c r="N102" t="s">
        <v>26</v>
      </c>
      <c r="O102">
        <v>38.53</v>
      </c>
      <c r="P102" s="6" t="s">
        <v>333</v>
      </c>
    </row>
    <row r="103" ht="84" spans="1:16">
      <c r="A103" t="s">
        <v>334</v>
      </c>
      <c r="B103" s="3">
        <v>46183.2854166667</v>
      </c>
      <c r="C103" s="3">
        <v>46183.2993055556</v>
      </c>
      <c r="D103" s="4">
        <f t="shared" si="4"/>
        <v>0.0138888888977817</v>
      </c>
      <c r="E103" t="s">
        <v>21</v>
      </c>
      <c r="F103" t="s">
        <v>30</v>
      </c>
      <c r="G103" s="6" t="s">
        <v>335</v>
      </c>
      <c r="H103" t="s">
        <v>24</v>
      </c>
      <c r="I103" t="s">
        <v>26</v>
      </c>
      <c r="J103" t="s">
        <v>26</v>
      </c>
      <c r="K103" t="s">
        <v>24</v>
      </c>
      <c r="L103" t="s">
        <v>24</v>
      </c>
      <c r="M103" t="s">
        <v>39</v>
      </c>
      <c r="N103" t="s">
        <v>26</v>
      </c>
      <c r="O103">
        <v>15.24</v>
      </c>
      <c r="P103" s="6" t="s">
        <v>336</v>
      </c>
    </row>
    <row r="104" ht="303" spans="1:16">
      <c r="A104" t="s">
        <v>337</v>
      </c>
      <c r="B104" s="3">
        <v>46183.5263888889</v>
      </c>
      <c r="C104" s="3">
        <v>46183.6055555556</v>
      </c>
      <c r="D104" s="4">
        <f t="shared" si="4"/>
        <v>0.0791666666991659</v>
      </c>
      <c r="E104" t="s">
        <v>21</v>
      </c>
      <c r="F104" t="s">
        <v>30</v>
      </c>
      <c r="G104" s="6" t="s">
        <v>338</v>
      </c>
      <c r="H104" t="s">
        <v>24</v>
      </c>
      <c r="I104" t="s">
        <v>26</v>
      </c>
      <c r="J104" t="s">
        <v>26</v>
      </c>
      <c r="K104" t="s">
        <v>26</v>
      </c>
      <c r="L104" t="s">
        <v>24</v>
      </c>
      <c r="M104" t="s">
        <v>24</v>
      </c>
      <c r="N104" t="s">
        <v>26</v>
      </c>
      <c r="O104">
        <v>393.08</v>
      </c>
      <c r="P104" s="6" t="s">
        <v>339</v>
      </c>
    </row>
    <row r="105" ht="353" spans="1:16">
      <c r="A105" t="s">
        <v>340</v>
      </c>
      <c r="B105" s="3">
        <v>46183.85625</v>
      </c>
      <c r="C105" s="3">
        <v>46183.95625</v>
      </c>
      <c r="D105" s="4">
        <f t="shared" si="4"/>
        <v>0.100000000005821</v>
      </c>
      <c r="E105" t="s">
        <v>21</v>
      </c>
      <c r="F105" t="s">
        <v>30</v>
      </c>
      <c r="G105" s="6" t="s">
        <v>341</v>
      </c>
      <c r="H105" t="s">
        <v>24</v>
      </c>
      <c r="I105" t="s">
        <v>26</v>
      </c>
      <c r="J105" t="s">
        <v>26</v>
      </c>
      <c r="K105" t="s">
        <v>26</v>
      </c>
      <c r="L105" t="s">
        <v>24</v>
      </c>
      <c r="M105" t="s">
        <v>24</v>
      </c>
      <c r="N105" t="s">
        <v>26</v>
      </c>
      <c r="O105">
        <v>1416.67</v>
      </c>
      <c r="P105" s="6" t="s">
        <v>342</v>
      </c>
    </row>
    <row r="106" ht="404" spans="1:16">
      <c r="A106" t="s">
        <v>343</v>
      </c>
      <c r="B106" s="3">
        <v>46183.9729166667</v>
      </c>
      <c r="C106" s="3">
        <v>46184.0166666667</v>
      </c>
      <c r="D106" s="4">
        <f t="shared" si="4"/>
        <v>0.0437499999970896</v>
      </c>
      <c r="E106" t="s">
        <v>21</v>
      </c>
      <c r="F106" t="s">
        <v>30</v>
      </c>
      <c r="G106" s="6" t="s">
        <v>344</v>
      </c>
      <c r="H106" t="s">
        <v>24</v>
      </c>
      <c r="I106" t="s">
        <v>24</v>
      </c>
      <c r="J106" t="s">
        <v>26</v>
      </c>
      <c r="K106" t="s">
        <v>26</v>
      </c>
      <c r="L106" t="s">
        <v>24</v>
      </c>
      <c r="M106" t="s">
        <v>24</v>
      </c>
      <c r="N106" t="s">
        <v>26</v>
      </c>
      <c r="O106">
        <v>232.13</v>
      </c>
      <c r="P106" s="6" t="s">
        <v>345</v>
      </c>
    </row>
    <row r="107" ht="409.5" spans="1:16">
      <c r="A107" t="s">
        <v>346</v>
      </c>
      <c r="B107" s="3">
        <v>46184.3840277778</v>
      </c>
      <c r="C107" s="3">
        <v>46184.8541666667</v>
      </c>
      <c r="D107" s="4">
        <f t="shared" si="4"/>
        <v>0.470138888900692</v>
      </c>
      <c r="E107" t="s">
        <v>21</v>
      </c>
      <c r="F107" t="s">
        <v>30</v>
      </c>
      <c r="G107" s="6" t="s">
        <v>347</v>
      </c>
      <c r="H107" t="s">
        <v>24</v>
      </c>
      <c r="I107" t="s">
        <v>26</v>
      </c>
      <c r="J107" t="s">
        <v>26</v>
      </c>
      <c r="K107" t="s">
        <v>26</v>
      </c>
      <c r="L107" t="s">
        <v>24</v>
      </c>
      <c r="M107" t="s">
        <v>24</v>
      </c>
      <c r="N107" t="s">
        <v>26</v>
      </c>
      <c r="O107">
        <v>261.17</v>
      </c>
      <c r="P107" s="6" t="s">
        <v>348</v>
      </c>
    </row>
    <row r="108" ht="409.5" spans="1:16">
      <c r="A108" t="s">
        <v>349</v>
      </c>
      <c r="B108" s="3">
        <v>46184.8597222222</v>
      </c>
      <c r="C108" s="3">
        <v>46185.0895833333</v>
      </c>
      <c r="D108" s="4">
        <f t="shared" si="4"/>
        <v>0.229861111096398</v>
      </c>
      <c r="E108" t="s">
        <v>21</v>
      </c>
      <c r="F108" t="s">
        <v>30</v>
      </c>
      <c r="G108" s="6" t="s">
        <v>350</v>
      </c>
      <c r="H108" t="s">
        <v>24</v>
      </c>
      <c r="I108" t="s">
        <v>26</v>
      </c>
      <c r="J108" t="s">
        <v>26</v>
      </c>
      <c r="K108" t="s">
        <v>26</v>
      </c>
      <c r="L108" t="s">
        <v>24</v>
      </c>
      <c r="M108" t="s">
        <v>24</v>
      </c>
      <c r="N108" t="s">
        <v>26</v>
      </c>
      <c r="O108">
        <v>-230.62</v>
      </c>
      <c r="P108" s="6" t="s">
        <v>351</v>
      </c>
    </row>
    <row r="109" ht="168" spans="1:16">
      <c r="A109" t="s">
        <v>352</v>
      </c>
      <c r="B109" s="3">
        <v>46185.9340277778</v>
      </c>
      <c r="C109" s="3">
        <v>46185.9395833333</v>
      </c>
      <c r="D109" s="4">
        <f t="shared" si="4"/>
        <v>0.00555555549362907</v>
      </c>
      <c r="E109" t="s">
        <v>64</v>
      </c>
      <c r="F109" t="s">
        <v>30</v>
      </c>
      <c r="G109" s="6" t="s">
        <v>353</v>
      </c>
      <c r="H109" t="s">
        <v>24</v>
      </c>
      <c r="I109" t="s">
        <v>26</v>
      </c>
      <c r="J109" t="s">
        <v>26</v>
      </c>
      <c r="K109" t="s">
        <v>24</v>
      </c>
      <c r="L109" t="s">
        <v>24</v>
      </c>
      <c r="M109" t="s">
        <v>39</v>
      </c>
      <c r="N109" t="s">
        <v>26</v>
      </c>
      <c r="O109">
        <v>-142.04</v>
      </c>
      <c r="P109" s="6" t="s">
        <v>354</v>
      </c>
    </row>
    <row r="110" ht="168" spans="1:16">
      <c r="A110" t="s">
        <v>355</v>
      </c>
      <c r="B110" s="3">
        <v>46185.9444444444</v>
      </c>
      <c r="C110" s="3">
        <v>46185.9444444444</v>
      </c>
      <c r="D110" s="4">
        <f t="shared" si="4"/>
        <v>0</v>
      </c>
      <c r="E110" t="s">
        <v>29</v>
      </c>
      <c r="F110" t="s">
        <v>30</v>
      </c>
      <c r="G110" s="6" t="s">
        <v>356</v>
      </c>
      <c r="H110" t="s">
        <v>24</v>
      </c>
      <c r="I110" t="s">
        <v>26</v>
      </c>
      <c r="J110" t="s">
        <v>26</v>
      </c>
      <c r="K110" t="s">
        <v>24</v>
      </c>
      <c r="L110" t="s">
        <v>24</v>
      </c>
      <c r="M110" t="s">
        <v>39</v>
      </c>
      <c r="N110" t="s">
        <v>26</v>
      </c>
      <c r="O110">
        <v>516.14</v>
      </c>
      <c r="P110" s="6" t="s">
        <v>357</v>
      </c>
    </row>
    <row r="111" ht="135" spans="1:16">
      <c r="A111" t="s">
        <v>358</v>
      </c>
      <c r="B111" s="3">
        <v>46185.9534722222</v>
      </c>
      <c r="C111" s="3">
        <v>46185.9548611111</v>
      </c>
      <c r="D111" s="4">
        <f t="shared" si="4"/>
        <v>0.00138888890069211</v>
      </c>
      <c r="E111" t="s">
        <v>29</v>
      </c>
      <c r="F111" t="s">
        <v>30</v>
      </c>
      <c r="G111" s="6" t="s">
        <v>359</v>
      </c>
      <c r="H111" t="s">
        <v>24</v>
      </c>
      <c r="I111" t="s">
        <v>26</v>
      </c>
      <c r="J111" t="s">
        <v>24</v>
      </c>
      <c r="K111" t="s">
        <v>24</v>
      </c>
      <c r="L111" t="s">
        <v>24</v>
      </c>
      <c r="M111" t="s">
        <v>39</v>
      </c>
      <c r="N111" t="s">
        <v>26</v>
      </c>
      <c r="O111">
        <v>86.22</v>
      </c>
      <c r="P111" s="6" t="s">
        <v>360</v>
      </c>
    </row>
    <row r="112" ht="370" spans="1:16">
      <c r="A112" t="s">
        <v>361</v>
      </c>
      <c r="B112" s="3">
        <v>46185.6777777778</v>
      </c>
      <c r="C112" s="3">
        <v>46185.9868055556</v>
      </c>
      <c r="D112" s="4">
        <f t="shared" si="4"/>
        <v>0.309027777802839</v>
      </c>
      <c r="E112" t="s">
        <v>21</v>
      </c>
      <c r="F112" t="s">
        <v>30</v>
      </c>
      <c r="G112" s="6" t="s">
        <v>362</v>
      </c>
      <c r="H112" t="s">
        <v>24</v>
      </c>
      <c r="I112" t="s">
        <v>26</v>
      </c>
      <c r="J112" t="s">
        <v>26</v>
      </c>
      <c r="K112" t="s">
        <v>26</v>
      </c>
      <c r="L112" t="s">
        <v>24</v>
      </c>
      <c r="M112" t="s">
        <v>24</v>
      </c>
      <c r="N112" t="s">
        <v>26</v>
      </c>
      <c r="O112">
        <v>7.32</v>
      </c>
      <c r="P112" s="6" t="s">
        <v>363</v>
      </c>
    </row>
    <row r="113" ht="409.5" spans="1:16">
      <c r="A113" t="s">
        <v>364</v>
      </c>
      <c r="B113" s="3">
        <v>46186.8930555556</v>
      </c>
      <c r="C113" s="3">
        <v>46187.60625</v>
      </c>
      <c r="D113" s="4">
        <f t="shared" si="4"/>
        <v>0.713194444397232</v>
      </c>
      <c r="E113" t="s">
        <v>21</v>
      </c>
      <c r="F113" t="s">
        <v>30</v>
      </c>
      <c r="G113" s="6" t="s">
        <v>365</v>
      </c>
      <c r="H113" t="s">
        <v>24</v>
      </c>
      <c r="I113" t="s">
        <v>26</v>
      </c>
      <c r="J113" t="s">
        <v>26</v>
      </c>
      <c r="K113" t="s">
        <v>26</v>
      </c>
      <c r="L113" t="s">
        <v>24</v>
      </c>
      <c r="M113" t="s">
        <v>24</v>
      </c>
      <c r="N113" t="s">
        <v>26</v>
      </c>
      <c r="O113">
        <v>-159.63</v>
      </c>
      <c r="P113" s="6" t="s">
        <v>366</v>
      </c>
    </row>
    <row r="114" ht="409.5" spans="1:16">
      <c r="A114" t="s">
        <v>367</v>
      </c>
      <c r="B114" s="3">
        <v>46187.8944444444</v>
      </c>
      <c r="C114" s="3">
        <v>46188.1159722222</v>
      </c>
      <c r="D114" s="4">
        <f t="shared" si="4"/>
        <v>0.221527777801384</v>
      </c>
      <c r="E114" t="s">
        <v>21</v>
      </c>
      <c r="F114" t="s">
        <v>30</v>
      </c>
      <c r="G114" s="6" t="s">
        <v>368</v>
      </c>
      <c r="H114" t="s">
        <v>24</v>
      </c>
      <c r="I114" t="s">
        <v>24</v>
      </c>
      <c r="J114" t="s">
        <v>24</v>
      </c>
      <c r="K114" t="s">
        <v>24</v>
      </c>
      <c r="L114" t="s">
        <v>24</v>
      </c>
      <c r="M114" t="s">
        <v>24</v>
      </c>
      <c r="N114" t="s">
        <v>26</v>
      </c>
      <c r="O114">
        <v>1062.73</v>
      </c>
      <c r="P114" s="6" t="s">
        <v>369</v>
      </c>
    </row>
    <row r="115" ht="320" spans="1:16">
      <c r="A115" t="s">
        <v>370</v>
      </c>
      <c r="B115" s="3">
        <v>46187.9319444444</v>
      </c>
      <c r="C115" s="3">
        <v>46188.1159722222</v>
      </c>
      <c r="D115" s="4">
        <f t="shared" si="4"/>
        <v>0.184027777802839</v>
      </c>
      <c r="E115" t="s">
        <v>371</v>
      </c>
      <c r="F115" t="s">
        <v>30</v>
      </c>
      <c r="G115" s="6" t="s">
        <v>372</v>
      </c>
      <c r="H115" t="s">
        <v>24</v>
      </c>
      <c r="I115" t="s">
        <v>26</v>
      </c>
      <c r="J115" t="s">
        <v>26</v>
      </c>
      <c r="K115" t="s">
        <v>24</v>
      </c>
      <c r="L115" t="s">
        <v>24</v>
      </c>
      <c r="M115" t="s">
        <v>26</v>
      </c>
      <c r="N115" t="s">
        <v>26</v>
      </c>
      <c r="O115">
        <v>596.56</v>
      </c>
      <c r="P115" s="6" t="s">
        <v>373</v>
      </c>
    </row>
    <row r="116" ht="409.5" spans="1:16">
      <c r="A116" t="s">
        <v>374</v>
      </c>
      <c r="B116" s="3">
        <v>46188.2208333333</v>
      </c>
      <c r="C116" s="3">
        <v>46188.2277777778</v>
      </c>
      <c r="D116" s="4">
        <f t="shared" si="4"/>
        <v>0.00694444450346055</v>
      </c>
      <c r="E116" t="s">
        <v>21</v>
      </c>
      <c r="F116" t="s">
        <v>30</v>
      </c>
      <c r="G116" s="6" t="s">
        <v>375</v>
      </c>
      <c r="H116" t="s">
        <v>24</v>
      </c>
      <c r="I116" t="s">
        <v>26</v>
      </c>
      <c r="J116" t="s">
        <v>26</v>
      </c>
      <c r="K116" t="s">
        <v>26</v>
      </c>
      <c r="L116" t="s">
        <v>24</v>
      </c>
      <c r="M116" t="s">
        <v>24</v>
      </c>
      <c r="N116" t="s">
        <v>26</v>
      </c>
      <c r="O116">
        <v>315.12</v>
      </c>
      <c r="P116" s="6" t="s">
        <v>376</v>
      </c>
    </row>
    <row r="117" ht="409.5" spans="1:16">
      <c r="A117" t="s">
        <v>377</v>
      </c>
      <c r="B117" s="3">
        <v>46188.5875</v>
      </c>
      <c r="C117" s="3">
        <v>46189.1020833333</v>
      </c>
      <c r="D117" s="4">
        <f t="shared" si="4"/>
        <v>0.514583333300834</v>
      </c>
      <c r="E117" t="s">
        <v>34</v>
      </c>
      <c r="F117" t="s">
        <v>30</v>
      </c>
      <c r="G117" s="6" t="s">
        <v>378</v>
      </c>
      <c r="H117" t="s">
        <v>24</v>
      </c>
      <c r="I117" t="s">
        <v>26</v>
      </c>
      <c r="J117" t="s">
        <v>26</v>
      </c>
      <c r="K117" t="s">
        <v>26</v>
      </c>
      <c r="L117" t="s">
        <v>24</v>
      </c>
      <c r="M117" t="s">
        <v>26</v>
      </c>
      <c r="N117" t="s">
        <v>26</v>
      </c>
      <c r="O117">
        <v>-2106.55</v>
      </c>
      <c r="P117" s="6" t="s">
        <v>379</v>
      </c>
    </row>
    <row r="118" ht="409.5" spans="1:16">
      <c r="A118" t="s">
        <v>380</v>
      </c>
      <c r="B118" s="3">
        <v>46188.9243055556</v>
      </c>
      <c r="C118" s="3">
        <v>46189.3743055556</v>
      </c>
      <c r="D118" s="4">
        <f t="shared" si="4"/>
        <v>0.44999999999709</v>
      </c>
      <c r="E118" t="s">
        <v>64</v>
      </c>
      <c r="F118" t="s">
        <v>30</v>
      </c>
      <c r="G118" s="6" t="s">
        <v>381</v>
      </c>
      <c r="H118" t="s">
        <v>24</v>
      </c>
      <c r="I118" t="s">
        <v>26</v>
      </c>
      <c r="J118" t="s">
        <v>26</v>
      </c>
      <c r="K118" t="s">
        <v>24</v>
      </c>
      <c r="L118" t="s">
        <v>24</v>
      </c>
      <c r="M118" t="s">
        <v>39</v>
      </c>
      <c r="N118" t="s">
        <v>26</v>
      </c>
      <c r="O118">
        <v>-120.38</v>
      </c>
      <c r="P118" s="6" t="s">
        <v>382</v>
      </c>
    </row>
    <row r="119" ht="409.5" spans="1:16">
      <c r="A119" t="s">
        <v>383</v>
      </c>
      <c r="B119" s="3">
        <v>46189.9409722222</v>
      </c>
      <c r="C119" s="3">
        <v>46190.1083333333</v>
      </c>
      <c r="D119" s="4">
        <f t="shared" si="4"/>
        <v>0.167361111103673</v>
      </c>
      <c r="E119" t="s">
        <v>21</v>
      </c>
      <c r="F119" t="s">
        <v>30</v>
      </c>
      <c r="G119" s="6" t="s">
        <v>384</v>
      </c>
      <c r="H119" t="s">
        <v>24</v>
      </c>
      <c r="I119" t="s">
        <v>26</v>
      </c>
      <c r="J119" t="s">
        <v>26</v>
      </c>
      <c r="K119" t="s">
        <v>26</v>
      </c>
      <c r="L119" t="s">
        <v>24</v>
      </c>
      <c r="M119" t="s">
        <v>39</v>
      </c>
      <c r="N119" t="s">
        <v>26</v>
      </c>
      <c r="O119">
        <v>91.92</v>
      </c>
      <c r="P119" s="6" t="s">
        <v>385</v>
      </c>
    </row>
    <row r="120" ht="409.5" spans="1:16">
      <c r="A120" t="s">
        <v>386</v>
      </c>
      <c r="B120" s="3">
        <v>46189.9409722222</v>
      </c>
      <c r="C120" s="3">
        <v>46190.3034722222</v>
      </c>
      <c r="D120" s="4">
        <f t="shared" si="4"/>
        <v>0.36250000000291</v>
      </c>
      <c r="E120" t="s">
        <v>34</v>
      </c>
      <c r="F120" t="s">
        <v>30</v>
      </c>
      <c r="G120" s="6" t="s">
        <v>387</v>
      </c>
      <c r="H120" t="s">
        <v>24</v>
      </c>
      <c r="I120" t="s">
        <v>26</v>
      </c>
      <c r="J120" t="s">
        <v>26</v>
      </c>
      <c r="K120" t="s">
        <v>26</v>
      </c>
      <c r="L120" t="s">
        <v>24</v>
      </c>
      <c r="M120" t="s">
        <v>26</v>
      </c>
      <c r="N120" t="s">
        <v>26</v>
      </c>
      <c r="O120">
        <v>-3389.99</v>
      </c>
      <c r="P120" s="6" t="s">
        <v>388</v>
      </c>
    </row>
    <row r="121" ht="409.5" spans="1:16">
      <c r="A121" t="s">
        <v>389</v>
      </c>
      <c r="B121" s="3">
        <v>46190.9006944444</v>
      </c>
      <c r="C121" s="3">
        <v>46191.0833333333</v>
      </c>
      <c r="D121" s="4">
        <f t="shared" si="4"/>
        <v>0.182638888902147</v>
      </c>
      <c r="E121" t="s">
        <v>21</v>
      </c>
      <c r="F121" t="s">
        <v>30</v>
      </c>
      <c r="G121" s="6" t="s">
        <v>390</v>
      </c>
      <c r="H121" t="s">
        <v>24</v>
      </c>
      <c r="I121" t="s">
        <v>24</v>
      </c>
      <c r="J121" t="s">
        <v>26</v>
      </c>
      <c r="K121" t="s">
        <v>26</v>
      </c>
      <c r="L121" t="s">
        <v>24</v>
      </c>
      <c r="M121" t="s">
        <v>24</v>
      </c>
      <c r="N121" t="s">
        <v>26</v>
      </c>
      <c r="O121">
        <v>-579.81</v>
      </c>
      <c r="P121" s="6" t="s">
        <v>391</v>
      </c>
    </row>
    <row r="122" ht="269" spans="1:16">
      <c r="A122" t="s">
        <v>392</v>
      </c>
      <c r="B122" s="3">
        <v>46191.0888888889</v>
      </c>
      <c r="C122" s="3">
        <v>46191.1236111111</v>
      </c>
      <c r="D122" s="4">
        <f t="shared" si="4"/>
        <v>0.0347222221971606</v>
      </c>
      <c r="E122" t="s">
        <v>21</v>
      </c>
      <c r="F122" t="s">
        <v>30</v>
      </c>
      <c r="G122" s="6" t="s">
        <v>393</v>
      </c>
      <c r="H122" t="s">
        <v>24</v>
      </c>
      <c r="I122" t="s">
        <v>26</v>
      </c>
      <c r="J122" t="s">
        <v>26</v>
      </c>
      <c r="K122" t="s">
        <v>26</v>
      </c>
      <c r="L122" t="s">
        <v>24</v>
      </c>
      <c r="M122" t="s">
        <v>24</v>
      </c>
      <c r="N122" t="s">
        <v>26</v>
      </c>
      <c r="O122">
        <v>896.03</v>
      </c>
      <c r="P122" s="6" t="s">
        <v>394</v>
      </c>
    </row>
    <row r="123" ht="409.5" spans="1:16">
      <c r="A123" t="s">
        <v>395</v>
      </c>
      <c r="B123" s="3">
        <v>46191.1395833333</v>
      </c>
      <c r="C123" s="3">
        <v>46191.925</v>
      </c>
      <c r="D123" s="4">
        <f t="shared" si="4"/>
        <v>0.785416666702076</v>
      </c>
      <c r="E123" t="s">
        <v>21</v>
      </c>
      <c r="F123" t="s">
        <v>30</v>
      </c>
      <c r="G123" s="6" t="s">
        <v>396</v>
      </c>
      <c r="H123" t="s">
        <v>24</v>
      </c>
      <c r="I123" t="s">
        <v>26</v>
      </c>
      <c r="J123" t="s">
        <v>26</v>
      </c>
      <c r="K123" t="s">
        <v>24</v>
      </c>
      <c r="L123" t="s">
        <v>24</v>
      </c>
      <c r="M123" t="s">
        <v>24</v>
      </c>
      <c r="N123" t="s">
        <v>24</v>
      </c>
      <c r="O123">
        <v>3204.06</v>
      </c>
      <c r="P123" s="6" t="s">
        <v>397</v>
      </c>
    </row>
    <row r="124" ht="409.5" spans="1:17">
      <c r="A124" t="s">
        <v>398</v>
      </c>
      <c r="B124" s="3">
        <v>46191.9013888889</v>
      </c>
      <c r="C124" s="3">
        <v>46192.0923611111</v>
      </c>
      <c r="D124" s="4">
        <f t="shared" si="4"/>
        <v>0.190972222197161</v>
      </c>
      <c r="E124" t="s">
        <v>64</v>
      </c>
      <c r="F124" t="s">
        <v>30</v>
      </c>
      <c r="G124" s="6" t="s">
        <v>399</v>
      </c>
      <c r="H124" t="s">
        <v>24</v>
      </c>
      <c r="I124" t="s">
        <v>26</v>
      </c>
      <c r="J124" t="s">
        <v>26</v>
      </c>
      <c r="K124" t="s">
        <v>26</v>
      </c>
      <c r="L124" t="s">
        <v>24</v>
      </c>
      <c r="M124" t="s">
        <v>39</v>
      </c>
      <c r="N124" t="s">
        <v>26</v>
      </c>
      <c r="O124">
        <v>-22216.22</v>
      </c>
      <c r="P124" s="6" t="s">
        <v>400</v>
      </c>
      <c r="Q124" s="6"/>
    </row>
    <row r="125" ht="409.5" spans="1:16">
      <c r="A125" t="s">
        <v>401</v>
      </c>
      <c r="B125" s="3">
        <v>46192.0951388889</v>
      </c>
      <c r="C125" s="3">
        <v>46192.46875</v>
      </c>
      <c r="D125" s="4">
        <f t="shared" si="4"/>
        <v>0.373611111099308</v>
      </c>
      <c r="E125" t="s">
        <v>21</v>
      </c>
      <c r="F125" t="s">
        <v>30</v>
      </c>
      <c r="G125" s="6" t="s">
        <v>402</v>
      </c>
      <c r="H125" t="s">
        <v>24</v>
      </c>
      <c r="I125" t="s">
        <v>26</v>
      </c>
      <c r="J125" t="s">
        <v>26</v>
      </c>
      <c r="K125" t="s">
        <v>24</v>
      </c>
      <c r="L125" t="s">
        <v>26</v>
      </c>
      <c r="M125" t="s">
        <v>26</v>
      </c>
      <c r="N125" t="s">
        <v>26</v>
      </c>
      <c r="O125">
        <v>189.24</v>
      </c>
      <c r="P125" s="6" t="s">
        <v>403</v>
      </c>
    </row>
    <row r="126" ht="409.5" spans="1:16">
      <c r="A126" t="s">
        <v>404</v>
      </c>
      <c r="B126" s="3">
        <v>46192.8527777778</v>
      </c>
      <c r="C126" s="3">
        <v>46194.2708333333</v>
      </c>
      <c r="D126" s="4">
        <f t="shared" si="4"/>
        <v>1.41805555549945</v>
      </c>
      <c r="E126" t="s">
        <v>21</v>
      </c>
      <c r="F126" t="s">
        <v>30</v>
      </c>
      <c r="G126" s="6" t="s">
        <v>405</v>
      </c>
      <c r="H126" t="s">
        <v>24</v>
      </c>
      <c r="I126" t="s">
        <v>26</v>
      </c>
      <c r="J126" t="s">
        <v>26</v>
      </c>
      <c r="K126" t="s">
        <v>26</v>
      </c>
      <c r="L126" t="s">
        <v>26</v>
      </c>
      <c r="M126" t="s">
        <v>26</v>
      </c>
      <c r="N126" t="s">
        <v>26</v>
      </c>
      <c r="O126">
        <v>-21839.09</v>
      </c>
      <c r="P126" s="6" t="s">
        <v>406</v>
      </c>
    </row>
    <row r="127" ht="404" spans="1:16">
      <c r="A127" t="s">
        <v>407</v>
      </c>
      <c r="B127" s="3">
        <v>46195.3208333333</v>
      </c>
      <c r="C127" s="3">
        <v>46195.3930555556</v>
      </c>
      <c r="D127" s="4">
        <f t="shared" si="4"/>
        <v>0.0722222222975688</v>
      </c>
      <c r="E127" t="s">
        <v>21</v>
      </c>
      <c r="F127" t="s">
        <v>30</v>
      </c>
      <c r="G127" s="6" t="s">
        <v>408</v>
      </c>
      <c r="H127" t="s">
        <v>24</v>
      </c>
      <c r="I127" t="s">
        <v>26</v>
      </c>
      <c r="J127" t="s">
        <v>26</v>
      </c>
      <c r="K127" t="s">
        <v>26</v>
      </c>
      <c r="L127" t="s">
        <v>26</v>
      </c>
      <c r="M127" t="s">
        <v>24</v>
      </c>
      <c r="N127" t="s">
        <v>26</v>
      </c>
      <c r="O127">
        <v>-2761.02</v>
      </c>
      <c r="P127" s="6" t="s">
        <v>409</v>
      </c>
    </row>
    <row r="128" ht="236" spans="1:16">
      <c r="A128" t="s">
        <v>410</v>
      </c>
      <c r="B128" s="3">
        <v>46195.4333333333</v>
      </c>
      <c r="C128" s="3">
        <v>46195.5569444444</v>
      </c>
      <c r="D128" s="4">
        <f t="shared" si="4"/>
        <v>0.123611111099308</v>
      </c>
      <c r="E128" t="s">
        <v>21</v>
      </c>
      <c r="F128" t="s">
        <v>30</v>
      </c>
      <c r="G128" s="6" t="s">
        <v>411</v>
      </c>
      <c r="H128" t="s">
        <v>24</v>
      </c>
      <c r="I128" t="s">
        <v>26</v>
      </c>
      <c r="J128" t="s">
        <v>26</v>
      </c>
      <c r="K128" t="s">
        <v>24</v>
      </c>
      <c r="L128" t="s">
        <v>26</v>
      </c>
      <c r="M128" t="s">
        <v>24</v>
      </c>
      <c r="N128" t="s">
        <v>26</v>
      </c>
      <c r="O128">
        <v>469.66</v>
      </c>
      <c r="P128" s="6" t="s">
        <v>412</v>
      </c>
    </row>
    <row r="129" ht="286" spans="1:16">
      <c r="A129" t="s">
        <v>413</v>
      </c>
      <c r="B129" s="3">
        <v>46196.4118055556</v>
      </c>
      <c r="C129" s="3">
        <v>46196.4604166667</v>
      </c>
      <c r="D129" s="4">
        <f t="shared" si="4"/>
        <v>0.0486111110949423</v>
      </c>
      <c r="E129" t="s">
        <v>21</v>
      </c>
      <c r="F129" t="s">
        <v>30</v>
      </c>
      <c r="G129" s="6" t="s">
        <v>414</v>
      </c>
      <c r="H129" t="s">
        <v>24</v>
      </c>
      <c r="I129" t="s">
        <v>26</v>
      </c>
      <c r="J129" t="s">
        <v>24</v>
      </c>
      <c r="K129" t="s">
        <v>24</v>
      </c>
      <c r="L129" t="s">
        <v>24</v>
      </c>
      <c r="M129" t="s">
        <v>24</v>
      </c>
      <c r="N129" t="s">
        <v>26</v>
      </c>
      <c r="O129">
        <v>-90.4</v>
      </c>
      <c r="P129" s="6" t="s">
        <v>415</v>
      </c>
    </row>
    <row r="130" ht="252" spans="1:16">
      <c r="A130" t="s">
        <v>416</v>
      </c>
      <c r="B130" s="3">
        <v>46196.5666666667</v>
      </c>
      <c r="C130" s="3">
        <v>46196.625</v>
      </c>
      <c r="D130" s="4">
        <f t="shared" si="4"/>
        <v>0.0583333332979237</v>
      </c>
      <c r="E130" t="s">
        <v>21</v>
      </c>
      <c r="F130" t="s">
        <v>30</v>
      </c>
      <c r="G130" s="6" t="s">
        <v>417</v>
      </c>
      <c r="H130" t="s">
        <v>24</v>
      </c>
      <c r="I130" t="s">
        <v>26</v>
      </c>
      <c r="J130" t="s">
        <v>24</v>
      </c>
      <c r="K130" t="s">
        <v>24</v>
      </c>
      <c r="L130" t="s">
        <v>26</v>
      </c>
      <c r="M130" t="s">
        <v>24</v>
      </c>
      <c r="N130" t="s">
        <v>26</v>
      </c>
      <c r="O130">
        <v>478.56</v>
      </c>
      <c r="P130" s="6" t="s">
        <v>418</v>
      </c>
    </row>
    <row r="131" ht="409.5" spans="1:16">
      <c r="A131" t="s">
        <v>419</v>
      </c>
      <c r="B131" s="3">
        <v>46196.6833333333</v>
      </c>
      <c r="C131" s="3">
        <v>46196.8645833333</v>
      </c>
      <c r="D131" s="4">
        <f t="shared" si="4"/>
        <v>0.181250000001455</v>
      </c>
      <c r="E131" t="s">
        <v>21</v>
      </c>
      <c r="F131" t="s">
        <v>30</v>
      </c>
      <c r="G131" s="6" t="s">
        <v>420</v>
      </c>
      <c r="H131" t="s">
        <v>24</v>
      </c>
      <c r="I131" t="s">
        <v>26</v>
      </c>
      <c r="J131" t="s">
        <v>26</v>
      </c>
      <c r="K131" t="s">
        <v>26</v>
      </c>
      <c r="L131" t="s">
        <v>26</v>
      </c>
      <c r="M131" t="s">
        <v>24</v>
      </c>
      <c r="N131" t="s">
        <v>26</v>
      </c>
      <c r="O131">
        <v>-364.45</v>
      </c>
      <c r="P131" s="6" t="s">
        <v>421</v>
      </c>
    </row>
    <row r="132" ht="101" spans="1:16">
      <c r="A132" t="s">
        <v>422</v>
      </c>
      <c r="B132" s="3">
        <v>46197.3569444444</v>
      </c>
      <c r="C132" s="3">
        <v>46197.43125</v>
      </c>
      <c r="D132" s="4">
        <f t="shared" si="4"/>
        <v>0.0743055556013132</v>
      </c>
      <c r="E132" t="s">
        <v>21</v>
      </c>
      <c r="F132" t="s">
        <v>30</v>
      </c>
      <c r="G132" s="6" t="s">
        <v>423</v>
      </c>
      <c r="H132" t="s">
        <v>24</v>
      </c>
      <c r="I132" t="s">
        <v>26</v>
      </c>
      <c r="J132" t="s">
        <v>24</v>
      </c>
      <c r="K132" t="s">
        <v>24</v>
      </c>
      <c r="L132" t="s">
        <v>24</v>
      </c>
      <c r="M132" t="s">
        <v>24</v>
      </c>
      <c r="N132" t="s">
        <v>26</v>
      </c>
      <c r="O132">
        <v>25.88</v>
      </c>
      <c r="P132" s="6" t="s">
        <v>424</v>
      </c>
    </row>
    <row r="133" ht="152" spans="1:16">
      <c r="A133" t="s">
        <v>425</v>
      </c>
      <c r="B133" s="3">
        <v>46197.8173611111</v>
      </c>
      <c r="C133" s="3">
        <v>46197.8256944444</v>
      </c>
      <c r="D133" s="4">
        <f t="shared" si="4"/>
        <v>0.00833333330228925</v>
      </c>
      <c r="E133" t="s">
        <v>21</v>
      </c>
      <c r="F133" t="s">
        <v>30</v>
      </c>
      <c r="G133" s="6" t="s">
        <v>426</v>
      </c>
      <c r="H133" t="s">
        <v>24</v>
      </c>
      <c r="I133" t="s">
        <v>24</v>
      </c>
      <c r="J133" t="s">
        <v>24</v>
      </c>
      <c r="K133" t="s">
        <v>24</v>
      </c>
      <c r="L133" t="s">
        <v>24</v>
      </c>
      <c r="M133" t="s">
        <v>24</v>
      </c>
      <c r="N133" t="s">
        <v>24</v>
      </c>
      <c r="O133">
        <v>-218.02</v>
      </c>
      <c r="P133" s="6" t="s">
        <v>427</v>
      </c>
    </row>
    <row r="134" ht="409.5" spans="1:16">
      <c r="A134" t="s">
        <v>428</v>
      </c>
      <c r="B134" s="3">
        <v>46198.0361111111</v>
      </c>
      <c r="C134" s="3">
        <v>46198.1895833333</v>
      </c>
      <c r="D134" s="4">
        <f t="shared" si="4"/>
        <v>0.153472222198616</v>
      </c>
      <c r="E134" t="s">
        <v>21</v>
      </c>
      <c r="F134" t="s">
        <v>30</v>
      </c>
      <c r="G134" s="6" t="s">
        <v>429</v>
      </c>
      <c r="H134" t="s">
        <v>24</v>
      </c>
      <c r="I134" t="s">
        <v>26</v>
      </c>
      <c r="J134" t="s">
        <v>26</v>
      </c>
      <c r="K134" t="s">
        <v>26</v>
      </c>
      <c r="L134" t="s">
        <v>24</v>
      </c>
      <c r="M134" t="s">
        <v>26</v>
      </c>
      <c r="N134" t="s">
        <v>26</v>
      </c>
      <c r="O134">
        <v>-3132.37</v>
      </c>
      <c r="P134" s="6" t="s">
        <v>430</v>
      </c>
    </row>
    <row r="135" ht="118" spans="1:16">
      <c r="A135" t="s">
        <v>431</v>
      </c>
      <c r="B135" s="3">
        <v>46198.1909722222</v>
      </c>
      <c r="C135" s="3">
        <v>46198.1930555556</v>
      </c>
      <c r="D135" s="4">
        <f t="shared" si="4"/>
        <v>0.00208333340560785</v>
      </c>
      <c r="E135" t="s">
        <v>29</v>
      </c>
      <c r="F135" t="s">
        <v>22</v>
      </c>
      <c r="G135" s="6" t="s">
        <v>432</v>
      </c>
      <c r="H135" t="s">
        <v>24</v>
      </c>
      <c r="I135" t="s">
        <v>26</v>
      </c>
      <c r="J135" t="s">
        <v>24</v>
      </c>
      <c r="K135" t="s">
        <v>24</v>
      </c>
      <c r="L135" t="s">
        <v>26</v>
      </c>
      <c r="M135" t="s">
        <v>26</v>
      </c>
      <c r="N135" t="s">
        <v>26</v>
      </c>
      <c r="O135">
        <v>27.02</v>
      </c>
      <c r="P135" s="6" t="s">
        <v>433</v>
      </c>
    </row>
    <row r="136" ht="135" spans="1:16">
      <c r="A136" t="s">
        <v>434</v>
      </c>
      <c r="B136" s="3">
        <v>46198.2152777778</v>
      </c>
      <c r="C136" s="3">
        <v>46198.3736111111</v>
      </c>
      <c r="D136" s="4">
        <f t="shared" si="4"/>
        <v>0.158333333296468</v>
      </c>
      <c r="E136" t="s">
        <v>21</v>
      </c>
      <c r="F136" t="s">
        <v>30</v>
      </c>
      <c r="G136" s="6" t="s">
        <v>435</v>
      </c>
      <c r="H136" t="s">
        <v>24</v>
      </c>
      <c r="I136" t="s">
        <v>26</v>
      </c>
      <c r="J136" t="s">
        <v>26</v>
      </c>
      <c r="K136" t="s">
        <v>24</v>
      </c>
      <c r="L136" t="s">
        <v>26</v>
      </c>
      <c r="M136" t="s">
        <v>39</v>
      </c>
      <c r="N136" t="s">
        <v>26</v>
      </c>
      <c r="O136">
        <v>20.73</v>
      </c>
      <c r="P136" s="6" t="s">
        <v>436</v>
      </c>
    </row>
    <row r="137" ht="387" spans="1:16">
      <c r="A137" t="s">
        <v>437</v>
      </c>
      <c r="B137" s="3">
        <v>46204.3868055556</v>
      </c>
      <c r="C137" s="3">
        <v>46204.4694444444</v>
      </c>
      <c r="D137" s="4">
        <f t="shared" si="4"/>
        <v>0.0826388888017391</v>
      </c>
      <c r="E137" t="s">
        <v>21</v>
      </c>
      <c r="F137" t="s">
        <v>30</v>
      </c>
      <c r="G137" s="6" t="s">
        <v>438</v>
      </c>
      <c r="H137" t="s">
        <v>24</v>
      </c>
      <c r="I137" t="s">
        <v>26</v>
      </c>
      <c r="J137" t="s">
        <v>26</v>
      </c>
      <c r="K137" t="s">
        <v>26</v>
      </c>
      <c r="L137" t="s">
        <v>24</v>
      </c>
      <c r="M137" t="s">
        <v>26</v>
      </c>
      <c r="N137" t="s">
        <v>26</v>
      </c>
      <c r="O137">
        <v>-802.85</v>
      </c>
      <c r="P137" s="6" t="s">
        <v>439</v>
      </c>
    </row>
  </sheetData>
  <dataValidations count="7">
    <dataValidation type="list" allowBlank="1" showInputMessage="1" showErrorMessage="1" sqref="F2:F306">
      <formula1>"多,空"</formula1>
    </dataValidation>
    <dataValidation type="list" allowBlank="1" showInputMessage="1" showErrorMessage="1" sqref="M2:M306">
      <formula1>"是,否,间接影响,不确定"</formula1>
    </dataValidation>
    <dataValidation type="list" allowBlank="1" showInputMessage="1" showErrorMessage="1" sqref="N2:N306 H2:L306">
      <formula1>"是,否"</formula1>
    </dataValidation>
    <dataValidation type="list" allowBlank="1" showInputMessage="1" showErrorMessage="1" sqref="Q2:Q306">
      <formula1>"计划止盈,浮盈后保本止损退出,浮盈后小赚保护止损退出,浮亏扛回保本/小赚退出,浮亏加仓后保本/小赚退出,保本主动/限价退出,未按计划提前盈利退出,无明确计划盈利退出,亏损止损单退出,亏损手动退出,爆仓/强平退出,无法确认,不适用"</formula1>
    </dataValidation>
    <dataValidation type="list" allowBlank="1" showInputMessage="1" showErrorMessage="1" sqref="R2:R306">
      <formula1>"计划止损,计划内移动止损,无止损,止损存在但不可确认执行,大亏止损,爆仓价附近止损,止损扩大,频繁改止损,原止损未执行,临盘浮盈后改保本损,临盘浮盈后改小赚保护损,无法确认,不适用"</formula1>
    </dataValidation>
    <dataValidation type="list" allowBlank="1" showInputMessage="1" showErrorMessage="1" sqref="S2:S306">
      <formula1>"正确盈利,错误盈利,正确保本,错误保本,正确亏损,错误亏损,爆仓/强平,无法判定"</formula1>
    </dataValidation>
    <dataValidation type="list" allowBlank="1" showInputMessage="1" showErrorMessage="1" sqref="T2:T306">
      <formula1>"无实际扛单,潜在扛单风险,轻微浮亏扛单,明显浮亏扛单,扛到大亏,扛到接近爆仓,扛到爆仓/强平,无法确认"</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
  <sheetViews>
    <sheetView tabSelected="1" workbookViewId="0">
      <pane ySplit="1" topLeftCell="A2" activePane="bottomLeft" state="frozen"/>
      <selection/>
      <selection pane="bottomLeft" activeCell="E18" sqref="E18"/>
    </sheetView>
  </sheetViews>
  <sheetFormatPr defaultColWidth="9.64423076923077" defaultRowHeight="16.8" outlineLevelRow="7" outlineLevelCol="5"/>
  <cols>
    <col min="1" max="1" width="22.9038461538462" customWidth="1"/>
    <col min="2" max="2" width="27.4038461538462" customWidth="1"/>
    <col min="3" max="3" width="30.6057692307692" customWidth="1"/>
    <col min="4" max="4" width="15.2211538461538" customWidth="1"/>
    <col min="5" max="5" width="20.5096153846154" customWidth="1"/>
    <col min="6" max="6" width="116.653846153846" customWidth="1"/>
  </cols>
  <sheetData>
    <row r="1" spans="1:6">
      <c r="A1" t="s">
        <v>440</v>
      </c>
      <c r="B1" t="s">
        <v>441</v>
      </c>
      <c r="C1" t="s">
        <v>442</v>
      </c>
      <c r="D1" t="s">
        <v>443</v>
      </c>
      <c r="E1" t="s">
        <v>444</v>
      </c>
      <c r="F1" t="s">
        <v>445</v>
      </c>
    </row>
    <row r="2" spans="1:6">
      <c r="A2" t="s">
        <v>446</v>
      </c>
      <c r="C2" t="s">
        <v>447</v>
      </c>
      <c r="D2">
        <v>35</v>
      </c>
      <c r="E2" t="s">
        <v>24</v>
      </c>
      <c r="F2" t="s">
        <v>448</v>
      </c>
    </row>
    <row r="3" spans="1:6">
      <c r="A3" t="s">
        <v>449</v>
      </c>
      <c r="B3" s="1">
        <v>46168.7385300926</v>
      </c>
      <c r="C3" t="s">
        <v>450</v>
      </c>
      <c r="D3" s="2">
        <v>14500</v>
      </c>
      <c r="E3" t="s">
        <v>24</v>
      </c>
      <c r="F3" t="s">
        <v>451</v>
      </c>
    </row>
    <row r="4" spans="1:6">
      <c r="A4" t="s">
        <v>452</v>
      </c>
      <c r="B4" s="1">
        <v>46175.9612962963</v>
      </c>
      <c r="C4" t="s">
        <v>450</v>
      </c>
      <c r="D4" s="2">
        <v>29000</v>
      </c>
      <c r="E4" t="s">
        <v>24</v>
      </c>
      <c r="F4" t="s">
        <v>453</v>
      </c>
    </row>
    <row r="5" spans="1:6">
      <c r="A5" t="s">
        <v>454</v>
      </c>
      <c r="B5" s="1">
        <v>46176.6918634259</v>
      </c>
      <c r="C5" t="s">
        <v>450</v>
      </c>
      <c r="D5" s="2">
        <v>30000</v>
      </c>
      <c r="E5" t="s">
        <v>24</v>
      </c>
      <c r="F5" t="s">
        <v>455</v>
      </c>
    </row>
    <row r="6" spans="1:6">
      <c r="A6" t="s">
        <v>456</v>
      </c>
      <c r="B6" s="1">
        <v>46202.5761111111</v>
      </c>
      <c r="C6" t="s">
        <v>457</v>
      </c>
      <c r="D6" s="2">
        <v>642</v>
      </c>
      <c r="E6" t="s">
        <v>24</v>
      </c>
      <c r="F6" t="s">
        <v>458</v>
      </c>
    </row>
    <row r="7" spans="1:6">
      <c r="A7" t="s">
        <v>459</v>
      </c>
      <c r="C7" t="s">
        <v>460</v>
      </c>
      <c r="D7">
        <f>SUM(D3:D6)</f>
        <v>74142</v>
      </c>
      <c r="E7" t="s">
        <v>461</v>
      </c>
      <c r="F7" t="s">
        <v>462</v>
      </c>
    </row>
    <row r="8" spans="1:6">
      <c r="A8" t="s">
        <v>463</v>
      </c>
      <c r="C8" t="s">
        <v>464</v>
      </c>
      <c r="D8">
        <f>D2+D7</f>
        <v>74177</v>
      </c>
      <c r="E8" t="s">
        <v>461</v>
      </c>
      <c r="F8" t="s">
        <v>465</v>
      </c>
    </row>
  </sheetData>
  <pageMargins left="0.75" right="0.75" top="1" bottom="1" header="0.5" footer="0.5"/>
  <headerFooter/>
  <ignoredErrors>
    <ignoredError sqref="D7" formulaRange="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7"/>
  <sheetViews>
    <sheetView workbookViewId="0">
      <selection activeCell="A1" sqref="A$1:C$1048576"/>
    </sheetView>
  </sheetViews>
  <sheetFormatPr defaultColWidth="9.64423076923077" defaultRowHeight="16.8" outlineLevelCol="2"/>
  <cols>
    <col min="1" max="1" width="20.9903846153846" customWidth="1"/>
    <col min="2" max="2" width="31.0769230769231" customWidth="1"/>
    <col min="3" max="3" width="254.990384615385" customWidth="1"/>
  </cols>
  <sheetData>
    <row r="1" spans="1:3">
      <c r="A1" t="s">
        <v>466</v>
      </c>
      <c r="B1" t="s">
        <v>467</v>
      </c>
      <c r="C1" t="s">
        <v>445</v>
      </c>
    </row>
    <row r="2" spans="1:3">
      <c r="A2" t="s">
        <v>468</v>
      </c>
      <c r="B2" t="s">
        <v>469</v>
      </c>
      <c r="C2" t="s">
        <v>470</v>
      </c>
    </row>
    <row r="3" spans="1:3">
      <c r="A3" t="s">
        <v>471</v>
      </c>
      <c r="B3" t="s">
        <v>472</v>
      </c>
      <c r="C3" t="s">
        <v>473</v>
      </c>
    </row>
    <row r="4" spans="1:3">
      <c r="A4" t="s">
        <v>474</v>
      </c>
      <c r="B4" t="s">
        <v>475</v>
      </c>
      <c r="C4" t="s">
        <v>476</v>
      </c>
    </row>
    <row r="5" spans="1:3">
      <c r="A5" t="s">
        <v>477</v>
      </c>
      <c r="B5" t="s">
        <v>478</v>
      </c>
      <c r="C5" t="s">
        <v>479</v>
      </c>
    </row>
    <row r="6" spans="1:3">
      <c r="A6" t="s">
        <v>480</v>
      </c>
      <c r="B6" t="s">
        <v>481</v>
      </c>
      <c r="C6" t="s">
        <v>482</v>
      </c>
    </row>
    <row r="7" spans="1:3">
      <c r="A7" t="s">
        <v>483</v>
      </c>
      <c r="B7" t="s">
        <v>484</v>
      </c>
      <c r="C7" t="s">
        <v>485</v>
      </c>
    </row>
    <row r="8" spans="1:3">
      <c r="A8" t="s">
        <v>486</v>
      </c>
      <c r="B8" t="s">
        <v>487</v>
      </c>
      <c r="C8" t="s">
        <v>488</v>
      </c>
    </row>
    <row r="9" spans="1:3">
      <c r="A9" t="s">
        <v>489</v>
      </c>
      <c r="B9" t="s">
        <v>490</v>
      </c>
      <c r="C9" t="s">
        <v>491</v>
      </c>
    </row>
    <row r="10" spans="1:3">
      <c r="A10" t="s">
        <v>492</v>
      </c>
      <c r="B10" t="s">
        <v>493</v>
      </c>
      <c r="C10" t="s">
        <v>494</v>
      </c>
    </row>
    <row r="11" spans="1:3">
      <c r="A11" t="s">
        <v>495</v>
      </c>
      <c r="B11" t="s">
        <v>6</v>
      </c>
      <c r="C11" t="s">
        <v>496</v>
      </c>
    </row>
    <row r="12" spans="1:3">
      <c r="A12" t="s">
        <v>497</v>
      </c>
      <c r="B12" t="s">
        <v>498</v>
      </c>
      <c r="C12" t="s">
        <v>499</v>
      </c>
    </row>
    <row r="13" spans="1:3">
      <c r="A13" t="s">
        <v>500</v>
      </c>
      <c r="B13" t="s">
        <v>15</v>
      </c>
      <c r="C13" t="s">
        <v>501</v>
      </c>
    </row>
    <row r="14" spans="1:3">
      <c r="A14" t="s">
        <v>502</v>
      </c>
      <c r="B14" t="s">
        <v>503</v>
      </c>
      <c r="C14" t="s">
        <v>504</v>
      </c>
    </row>
    <row r="15" spans="1:3">
      <c r="A15" t="s">
        <v>505</v>
      </c>
      <c r="B15" t="s">
        <v>506</v>
      </c>
      <c r="C15" t="s">
        <v>507</v>
      </c>
    </row>
    <row r="16" spans="1:3">
      <c r="A16" t="s">
        <v>508</v>
      </c>
      <c r="B16" t="s">
        <v>509</v>
      </c>
      <c r="C16" t="s">
        <v>510</v>
      </c>
    </row>
    <row r="17" spans="1:3">
      <c r="A17" t="s">
        <v>511</v>
      </c>
      <c r="B17" t="s">
        <v>0</v>
      </c>
      <c r="C17" t="s">
        <v>512</v>
      </c>
    </row>
    <row r="18" spans="1:3">
      <c r="A18" t="s">
        <v>513</v>
      </c>
      <c r="B18" t="s">
        <v>514</v>
      </c>
      <c r="C18" t="s">
        <v>515</v>
      </c>
    </row>
    <row r="19" spans="1:3">
      <c r="A19" t="s">
        <v>516</v>
      </c>
      <c r="B19" t="s">
        <v>517</v>
      </c>
      <c r="C19" t="s">
        <v>518</v>
      </c>
    </row>
    <row r="20" spans="1:3">
      <c r="A20" t="s">
        <v>519</v>
      </c>
      <c r="B20" t="s">
        <v>520</v>
      </c>
      <c r="C20" t="s">
        <v>521</v>
      </c>
    </row>
    <row r="21" spans="1:3">
      <c r="A21" t="s">
        <v>522</v>
      </c>
      <c r="B21" t="s">
        <v>523</v>
      </c>
      <c r="C21" t="s">
        <v>524</v>
      </c>
    </row>
    <row r="22" spans="1:3">
      <c r="A22" t="s">
        <v>525</v>
      </c>
      <c r="B22" t="s">
        <v>526</v>
      </c>
      <c r="C22" t="s">
        <v>527</v>
      </c>
    </row>
    <row r="23" spans="1:3">
      <c r="A23" t="s">
        <v>528</v>
      </c>
      <c r="B23" t="s">
        <v>529</v>
      </c>
      <c r="C23" t="s">
        <v>530</v>
      </c>
    </row>
    <row r="24" spans="1:3">
      <c r="A24" t="s">
        <v>531</v>
      </c>
      <c r="B24" t="s">
        <v>532</v>
      </c>
      <c r="C24" t="s">
        <v>533</v>
      </c>
    </row>
    <row r="25" spans="1:3">
      <c r="A25" t="s">
        <v>534</v>
      </c>
      <c r="B25" t="s">
        <v>535</v>
      </c>
      <c r="C25" t="s">
        <v>536</v>
      </c>
    </row>
    <row r="26" spans="1:3">
      <c r="A26" t="s">
        <v>537</v>
      </c>
      <c r="B26" t="s">
        <v>538</v>
      </c>
      <c r="C26" t="s">
        <v>539</v>
      </c>
    </row>
    <row r="27" spans="1:3">
      <c r="A27" t="s">
        <v>540</v>
      </c>
      <c r="B27" t="s">
        <v>541</v>
      </c>
      <c r="C27" t="s">
        <v>542</v>
      </c>
    </row>
    <row r="28" spans="1:3">
      <c r="A28" t="s">
        <v>543</v>
      </c>
      <c r="B28" t="s">
        <v>544</v>
      </c>
      <c r="C28" t="s">
        <v>545</v>
      </c>
    </row>
    <row r="29" spans="1:3">
      <c r="A29" t="s">
        <v>546</v>
      </c>
      <c r="B29" t="s">
        <v>21</v>
      </c>
      <c r="C29" t="s">
        <v>547</v>
      </c>
    </row>
    <row r="30" spans="1:3">
      <c r="A30" t="s">
        <v>548</v>
      </c>
      <c r="B30" t="s">
        <v>29</v>
      </c>
      <c r="C30" t="s">
        <v>549</v>
      </c>
    </row>
    <row r="31" spans="1:3">
      <c r="A31" t="s">
        <v>550</v>
      </c>
      <c r="B31" t="s">
        <v>34</v>
      </c>
      <c r="C31" t="s">
        <v>551</v>
      </c>
    </row>
    <row r="32" spans="1:3">
      <c r="A32" t="s">
        <v>552</v>
      </c>
      <c r="B32" t="s">
        <v>64</v>
      </c>
      <c r="C32" t="s">
        <v>553</v>
      </c>
    </row>
    <row r="33" spans="1:3">
      <c r="A33" t="s">
        <v>554</v>
      </c>
      <c r="B33" t="s">
        <v>89</v>
      </c>
      <c r="C33" t="s">
        <v>555</v>
      </c>
    </row>
    <row r="34" spans="1:3">
      <c r="A34" t="s">
        <v>556</v>
      </c>
      <c r="B34" t="s">
        <v>371</v>
      </c>
      <c r="C34" t="s">
        <v>557</v>
      </c>
    </row>
    <row r="35" spans="1:3">
      <c r="A35" t="s">
        <v>558</v>
      </c>
      <c r="B35" t="s">
        <v>136</v>
      </c>
      <c r="C35" t="s">
        <v>559</v>
      </c>
    </row>
    <row r="36" spans="1:3">
      <c r="A36" t="s">
        <v>560</v>
      </c>
      <c r="B36" t="s">
        <v>120</v>
      </c>
      <c r="C36" t="s">
        <v>561</v>
      </c>
    </row>
    <row r="37" spans="1:3">
      <c r="A37" t="s">
        <v>562</v>
      </c>
      <c r="B37" t="s">
        <v>199</v>
      </c>
      <c r="C37" t="s">
        <v>563</v>
      </c>
    </row>
    <row r="38" spans="1:3">
      <c r="A38" t="s">
        <v>564</v>
      </c>
      <c r="B38" t="s">
        <v>249</v>
      </c>
      <c r="C38" t="s">
        <v>565</v>
      </c>
    </row>
    <row r="39" spans="1:3">
      <c r="A39" t="s">
        <v>566</v>
      </c>
      <c r="B39" t="s">
        <v>206</v>
      </c>
      <c r="C39" t="s">
        <v>567</v>
      </c>
    </row>
    <row r="40" spans="1:3">
      <c r="A40" t="s">
        <v>568</v>
      </c>
      <c r="B40" t="s">
        <v>279</v>
      </c>
      <c r="C40" t="s">
        <v>569</v>
      </c>
    </row>
    <row r="41" spans="1:3">
      <c r="A41" t="s">
        <v>570</v>
      </c>
      <c r="B41" t="s">
        <v>571</v>
      </c>
      <c r="C41" t="s">
        <v>572</v>
      </c>
    </row>
    <row r="42" spans="1:3">
      <c r="A42" t="s">
        <v>573</v>
      </c>
      <c r="B42" t="s">
        <v>574</v>
      </c>
      <c r="C42" t="s">
        <v>575</v>
      </c>
    </row>
    <row r="43" spans="1:3">
      <c r="A43" t="s">
        <v>576</v>
      </c>
      <c r="B43" t="s">
        <v>577</v>
      </c>
      <c r="C43" t="s">
        <v>578</v>
      </c>
    </row>
    <row r="44" spans="1:3">
      <c r="A44" t="s">
        <v>579</v>
      </c>
      <c r="B44" t="s">
        <v>580</v>
      </c>
      <c r="C44" t="s">
        <v>581</v>
      </c>
    </row>
    <row r="45" spans="1:3">
      <c r="A45" t="s">
        <v>582</v>
      </c>
      <c r="B45" t="s">
        <v>583</v>
      </c>
      <c r="C45" t="s">
        <v>584</v>
      </c>
    </row>
    <row r="46" spans="1:3">
      <c r="A46" t="s">
        <v>585</v>
      </c>
      <c r="B46" t="s">
        <v>586</v>
      </c>
      <c r="C46" t="s">
        <v>587</v>
      </c>
    </row>
    <row r="47" spans="1:3">
      <c r="A47" t="s">
        <v>588</v>
      </c>
      <c r="B47" t="s">
        <v>589</v>
      </c>
      <c r="C47" t="s">
        <v>590</v>
      </c>
    </row>
    <row r="48" spans="1:3">
      <c r="A48" t="s">
        <v>591</v>
      </c>
      <c r="B48" t="s">
        <v>592</v>
      </c>
      <c r="C48" t="s">
        <v>593</v>
      </c>
    </row>
    <row r="49" spans="1:3">
      <c r="A49" t="s">
        <v>594</v>
      </c>
      <c r="B49" t="s">
        <v>595</v>
      </c>
      <c r="C49" t="s">
        <v>596</v>
      </c>
    </row>
    <row r="50" spans="1:3">
      <c r="A50" t="s">
        <v>597</v>
      </c>
      <c r="B50" t="s">
        <v>598</v>
      </c>
      <c r="C50" t="s">
        <v>599</v>
      </c>
    </row>
    <row r="51" spans="1:3">
      <c r="A51" t="s">
        <v>600</v>
      </c>
      <c r="B51" t="s">
        <v>601</v>
      </c>
      <c r="C51" t="s">
        <v>602</v>
      </c>
    </row>
    <row r="52" spans="1:3">
      <c r="A52" t="s">
        <v>603</v>
      </c>
      <c r="B52" t="s">
        <v>604</v>
      </c>
      <c r="C52" t="s">
        <v>605</v>
      </c>
    </row>
    <row r="53" spans="1:3">
      <c r="A53" t="s">
        <v>606</v>
      </c>
      <c r="B53" t="s">
        <v>607</v>
      </c>
      <c r="C53" t="s">
        <v>608</v>
      </c>
    </row>
    <row r="54" spans="1:3">
      <c r="A54" t="s">
        <v>609</v>
      </c>
      <c r="B54" t="s">
        <v>610</v>
      </c>
      <c r="C54" t="s">
        <v>611</v>
      </c>
    </row>
    <row r="55" spans="1:3">
      <c r="A55" t="s">
        <v>612</v>
      </c>
      <c r="B55" t="s">
        <v>613</v>
      </c>
      <c r="C55" t="s">
        <v>614</v>
      </c>
    </row>
    <row r="56" spans="1:3">
      <c r="A56" t="s">
        <v>615</v>
      </c>
      <c r="B56" t="s">
        <v>616</v>
      </c>
      <c r="C56" t="s">
        <v>617</v>
      </c>
    </row>
    <row r="57" spans="1:3">
      <c r="A57" t="s">
        <v>618</v>
      </c>
      <c r="B57" t="s">
        <v>619</v>
      </c>
      <c r="C57" t="s">
        <v>620</v>
      </c>
    </row>
    <row r="58" spans="1:3">
      <c r="A58" t="s">
        <v>621</v>
      </c>
      <c r="B58" t="s">
        <v>622</v>
      </c>
      <c r="C58" t="s">
        <v>623</v>
      </c>
    </row>
    <row r="59" spans="1:3">
      <c r="A59" t="s">
        <v>624</v>
      </c>
      <c r="B59" t="s">
        <v>625</v>
      </c>
      <c r="C59" t="s">
        <v>626</v>
      </c>
    </row>
    <row r="60" spans="1:3">
      <c r="A60" t="s">
        <v>627</v>
      </c>
      <c r="B60" t="s">
        <v>628</v>
      </c>
      <c r="C60" t="s">
        <v>629</v>
      </c>
    </row>
    <row r="61" spans="1:3">
      <c r="A61" t="s">
        <v>630</v>
      </c>
      <c r="B61" t="s">
        <v>631</v>
      </c>
      <c r="C61" t="s">
        <v>632</v>
      </c>
    </row>
    <row r="62" spans="1:3">
      <c r="A62" t="s">
        <v>633</v>
      </c>
      <c r="B62" t="s">
        <v>461</v>
      </c>
      <c r="C62" t="s">
        <v>634</v>
      </c>
    </row>
    <row r="63" spans="1:3">
      <c r="A63" t="s">
        <v>635</v>
      </c>
      <c r="B63" t="s">
        <v>636</v>
      </c>
      <c r="C63" t="s">
        <v>637</v>
      </c>
    </row>
    <row r="64" spans="1:3">
      <c r="A64" t="s">
        <v>638</v>
      </c>
      <c r="B64" t="s">
        <v>639</v>
      </c>
      <c r="C64" t="s">
        <v>640</v>
      </c>
    </row>
    <row r="65" spans="1:3">
      <c r="A65" t="s">
        <v>641</v>
      </c>
      <c r="B65" t="s">
        <v>642</v>
      </c>
      <c r="C65" t="s">
        <v>643</v>
      </c>
    </row>
    <row r="66" spans="1:3">
      <c r="A66" t="s">
        <v>644</v>
      </c>
      <c r="B66" t="s">
        <v>645</v>
      </c>
      <c r="C66" t="s">
        <v>646</v>
      </c>
    </row>
    <row r="67" spans="1:3">
      <c r="A67" t="s">
        <v>647</v>
      </c>
      <c r="B67" t="s">
        <v>648</v>
      </c>
      <c r="C67" t="s">
        <v>649</v>
      </c>
    </row>
    <row r="68" spans="1:3">
      <c r="A68" t="s">
        <v>650</v>
      </c>
      <c r="B68" t="s">
        <v>651</v>
      </c>
      <c r="C68" t="s">
        <v>652</v>
      </c>
    </row>
    <row r="69" spans="1:3">
      <c r="A69" t="s">
        <v>653</v>
      </c>
      <c r="B69" t="s">
        <v>654</v>
      </c>
      <c r="C69" t="s">
        <v>655</v>
      </c>
    </row>
    <row r="70" spans="1:3">
      <c r="A70" t="s">
        <v>656</v>
      </c>
      <c r="B70" t="s">
        <v>657</v>
      </c>
      <c r="C70" t="s">
        <v>658</v>
      </c>
    </row>
    <row r="71" spans="1:3">
      <c r="A71" t="s">
        <v>659</v>
      </c>
      <c r="B71" t="s">
        <v>660</v>
      </c>
      <c r="C71" t="s">
        <v>661</v>
      </c>
    </row>
    <row r="72" spans="1:3">
      <c r="A72" t="s">
        <v>662</v>
      </c>
      <c r="B72" t="s">
        <v>663</v>
      </c>
      <c r="C72" t="s">
        <v>664</v>
      </c>
    </row>
    <row r="73" spans="1:3">
      <c r="A73" t="s">
        <v>665</v>
      </c>
      <c r="B73" t="s">
        <v>666</v>
      </c>
      <c r="C73" t="s">
        <v>667</v>
      </c>
    </row>
    <row r="74" spans="1:3">
      <c r="A74" t="s">
        <v>668</v>
      </c>
      <c r="B74" t="s">
        <v>669</v>
      </c>
      <c r="C74" t="s">
        <v>670</v>
      </c>
    </row>
    <row r="75" spans="1:3">
      <c r="A75" t="s">
        <v>671</v>
      </c>
      <c r="B75" t="s">
        <v>631</v>
      </c>
      <c r="C75" t="s">
        <v>672</v>
      </c>
    </row>
    <row r="76" spans="1:3">
      <c r="A76" t="s">
        <v>673</v>
      </c>
      <c r="B76" t="s">
        <v>461</v>
      </c>
      <c r="C76" t="s">
        <v>674</v>
      </c>
    </row>
    <row r="77" spans="1:3">
      <c r="A77" t="s">
        <v>675</v>
      </c>
      <c r="B77" t="s">
        <v>676</v>
      </c>
      <c r="C77" t="s">
        <v>677</v>
      </c>
    </row>
    <row r="78" spans="1:3">
      <c r="A78" t="s">
        <v>678</v>
      </c>
      <c r="B78" t="s">
        <v>679</v>
      </c>
      <c r="C78" t="s">
        <v>680</v>
      </c>
    </row>
    <row r="79" spans="1:3">
      <c r="A79" t="s">
        <v>681</v>
      </c>
      <c r="B79" t="s">
        <v>682</v>
      </c>
      <c r="C79" t="s">
        <v>683</v>
      </c>
    </row>
    <row r="80" spans="1:3">
      <c r="A80" t="s">
        <v>684</v>
      </c>
      <c r="B80" t="s">
        <v>685</v>
      </c>
      <c r="C80" t="s">
        <v>686</v>
      </c>
    </row>
    <row r="81" spans="1:3">
      <c r="A81" t="s">
        <v>687</v>
      </c>
      <c r="B81" t="s">
        <v>688</v>
      </c>
      <c r="C81" t="s">
        <v>689</v>
      </c>
    </row>
    <row r="82" spans="1:3">
      <c r="A82" t="s">
        <v>690</v>
      </c>
      <c r="B82" t="s">
        <v>691</v>
      </c>
      <c r="C82" t="s">
        <v>692</v>
      </c>
    </row>
    <row r="83" spans="1:3">
      <c r="A83" t="s">
        <v>693</v>
      </c>
      <c r="B83" t="s">
        <v>694</v>
      </c>
      <c r="C83" t="s">
        <v>695</v>
      </c>
    </row>
    <row r="84" spans="1:3">
      <c r="A84" t="s">
        <v>696</v>
      </c>
      <c r="B84" t="s">
        <v>697</v>
      </c>
      <c r="C84" t="s">
        <v>698</v>
      </c>
    </row>
    <row r="85" spans="1:3">
      <c r="A85" t="s">
        <v>699</v>
      </c>
      <c r="B85" t="s">
        <v>700</v>
      </c>
      <c r="C85" t="s">
        <v>701</v>
      </c>
    </row>
    <row r="86" spans="1:3">
      <c r="A86" t="s">
        <v>702</v>
      </c>
      <c r="B86" t="s">
        <v>703</v>
      </c>
      <c r="C86" t="s">
        <v>704</v>
      </c>
    </row>
    <row r="87" spans="1:3">
      <c r="A87" t="s">
        <v>705</v>
      </c>
      <c r="B87" t="s">
        <v>706</v>
      </c>
      <c r="C87" t="s">
        <v>707</v>
      </c>
    </row>
    <row r="88" spans="1:3">
      <c r="A88" t="s">
        <v>708</v>
      </c>
      <c r="B88" t="s">
        <v>709</v>
      </c>
      <c r="C88" t="s">
        <v>710</v>
      </c>
    </row>
    <row r="89" spans="1:3">
      <c r="A89" t="s">
        <v>711</v>
      </c>
      <c r="B89" t="s">
        <v>712</v>
      </c>
      <c r="C89" t="s">
        <v>713</v>
      </c>
    </row>
    <row r="90" spans="1:3">
      <c r="A90" t="s">
        <v>714</v>
      </c>
      <c r="B90" t="s">
        <v>715</v>
      </c>
      <c r="C90" t="s">
        <v>716</v>
      </c>
    </row>
    <row r="91" spans="1:3">
      <c r="A91" t="s">
        <v>717</v>
      </c>
      <c r="B91" t="s">
        <v>718</v>
      </c>
      <c r="C91" t="s">
        <v>719</v>
      </c>
    </row>
    <row r="92" spans="1:3">
      <c r="A92" t="s">
        <v>720</v>
      </c>
      <c r="B92" t="s">
        <v>721</v>
      </c>
      <c r="C92" t="s">
        <v>722</v>
      </c>
    </row>
    <row r="93" spans="1:3">
      <c r="A93" t="s">
        <v>723</v>
      </c>
      <c r="B93" t="s">
        <v>724</v>
      </c>
      <c r="C93" t="s">
        <v>725</v>
      </c>
    </row>
    <row r="94" spans="1:3">
      <c r="A94" t="s">
        <v>726</v>
      </c>
      <c r="B94" t="s">
        <v>727</v>
      </c>
      <c r="C94" t="s">
        <v>728</v>
      </c>
    </row>
    <row r="95" spans="1:3">
      <c r="A95" t="s">
        <v>729</v>
      </c>
      <c r="B95" t="s">
        <v>631</v>
      </c>
      <c r="C95" t="s">
        <v>730</v>
      </c>
    </row>
    <row r="96" spans="1:3">
      <c r="A96" t="s">
        <v>731</v>
      </c>
      <c r="B96" t="s">
        <v>732</v>
      </c>
      <c r="C96" t="s">
        <v>733</v>
      </c>
    </row>
    <row r="97" spans="1:3">
      <c r="A97" t="s">
        <v>734</v>
      </c>
      <c r="B97" t="s">
        <v>735</v>
      </c>
      <c r="C97" t="s">
        <v>736</v>
      </c>
    </row>
    <row r="98" spans="1:3">
      <c r="A98" t="s">
        <v>737</v>
      </c>
      <c r="B98" t="s">
        <v>738</v>
      </c>
      <c r="C98" t="s">
        <v>739</v>
      </c>
    </row>
    <row r="99" spans="1:3">
      <c r="A99" t="s">
        <v>740</v>
      </c>
      <c r="B99" t="s">
        <v>741</v>
      </c>
      <c r="C99" t="s">
        <v>742</v>
      </c>
    </row>
    <row r="100" spans="1:3">
      <c r="A100" t="s">
        <v>743</v>
      </c>
      <c r="B100" t="s">
        <v>744</v>
      </c>
      <c r="C100" t="s">
        <v>745</v>
      </c>
    </row>
    <row r="101" spans="1:3">
      <c r="A101" t="s">
        <v>746</v>
      </c>
      <c r="B101" t="s">
        <v>747</v>
      </c>
      <c r="C101" t="s">
        <v>748</v>
      </c>
    </row>
    <row r="102" spans="1:3">
      <c r="A102" t="s">
        <v>749</v>
      </c>
      <c r="B102" t="s">
        <v>750</v>
      </c>
      <c r="C102" t="s">
        <v>751</v>
      </c>
    </row>
    <row r="103" spans="1:3">
      <c r="A103" t="s">
        <v>752</v>
      </c>
      <c r="B103" t="s">
        <v>753</v>
      </c>
      <c r="C103" t="s">
        <v>754</v>
      </c>
    </row>
    <row r="104" spans="1:3">
      <c r="A104" t="s">
        <v>755</v>
      </c>
      <c r="B104" t="s">
        <v>756</v>
      </c>
      <c r="C104" t="s">
        <v>757</v>
      </c>
    </row>
    <row r="105" spans="1:3">
      <c r="A105" t="s">
        <v>758</v>
      </c>
      <c r="B105" t="s">
        <v>759</v>
      </c>
      <c r="C105" t="s">
        <v>760</v>
      </c>
    </row>
    <row r="106" spans="1:3">
      <c r="A106" t="s">
        <v>761</v>
      </c>
      <c r="B106" t="s">
        <v>762</v>
      </c>
      <c r="C106" t="s">
        <v>763</v>
      </c>
    </row>
    <row r="107" spans="1:3">
      <c r="A107" t="s">
        <v>764</v>
      </c>
      <c r="B107" t="s">
        <v>765</v>
      </c>
      <c r="C107" t="s">
        <v>766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3</vt:i4>
      </vt:variant>
    </vt:vector>
  </HeadingPairs>
  <TitlesOfParts>
    <vt:vector size="3" baseType="lpstr">
      <vt:lpstr>30天交易复盘明细</vt:lpstr>
      <vt:lpstr>资金变动记录</vt:lpstr>
      <vt:lpstr>复盘说明与字段定义</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luodaluo</dc:creator>
  <cp:lastModifiedBy>罗大罗</cp:lastModifiedBy>
  <dcterms:created xsi:type="dcterms:W3CDTF">2026-07-07T17:52:00Z</dcterms:created>
  <dcterms:modified xsi:type="dcterms:W3CDTF">2026-07-23T00:37:44Z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3C7EC3C377D334FDD8F1606A57FE5ADC_43</vt:lpwstr>
  </property>
  <property fmtid="{D5CDD505-2E9C-101B-9397-08002B2CF9AE}" pid="3" name="KSOProductBuildVer">
    <vt:lpwstr>2052-7.3.1.8967</vt:lpwstr>
  </property>
  <property fmtid="{D5CDD505-2E9C-101B-9397-08002B2CF9AE}" pid="4" name="CalculationRule">
    <vt:i4>0</vt:i4>
  </property>
</Properties>
</file>