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c7711df6134f67" /></Relationships>
</file>

<file path=xl/workbook.xml><?xml version="1.0" encoding="utf-8"?>
<x:workbook xmlns:x="http://schemas.openxmlformats.org/spreadsheetml/2006/main">
  <x:sheets>
    <x:sheet xmlns:r="http://schemas.openxmlformats.org/officeDocument/2006/relationships" name="账户与交易总览" sheetId="1" r:id="R49e47967c4c44923"/>
    <x:sheet xmlns:r="http://schemas.openxmlformats.org/officeDocument/2006/relationships" name="逐笔人工复盘总表" sheetId="2" r:id="R1ec327969d7044c6"/>
    <x:sheet xmlns:r="http://schemas.openxmlformats.org/officeDocument/2006/relationships" name="单笔交易复盘卡" sheetId="3" r:id="R7e441c9fe3d24ea2"/>
    <x:sheet xmlns:r="http://schemas.openxmlformats.org/officeDocument/2006/relationships" name="完整操作过程" sheetId="4" r:id="R8a96da3d7923454b"/>
    <x:sheet xmlns:r="http://schemas.openxmlformats.org/officeDocument/2006/relationships" name="账户资金轨迹" sheetId="5" r:id="R7a49c4f0c11b4286"/>
    <x:sheet xmlns:r="http://schemas.openxmlformats.org/officeDocument/2006/relationships" name="人工复盘完成清单" sheetId="6" r:id="Reb4c8eba30a84996"/>
    <x:sheet xmlns:r="http://schemas.openxmlformats.org/officeDocument/2006/relationships" name="字段与口径说明" sheetId="7" r:id="R882d9a189f194561"/>
    <x:sheet xmlns:r="http://schemas.openxmlformats.org/officeDocument/2006/relationships" name="技术_逐笔复盘汇总" sheetId="8" r:id="R33c4656c4cca4b13" state="hidden"/>
    <x:sheet xmlns:r="http://schemas.openxmlformats.org/officeDocument/2006/relationships" name="技术_完整操作链" sheetId="9" r:id="Ra940b16bdf9e46ea" state="hidden"/>
    <x:sheet xmlns:r="http://schemas.openxmlformats.org/officeDocument/2006/relationships" name="技术_条件委托演变" sheetId="10" r:id="R6742002546634f54" state="hidden"/>
    <x:sheet xmlns:r="http://schemas.openxmlformats.org/officeDocument/2006/relationships" name="技术_条件逐笔汇总" sheetId="11" r:id="Rfccd76646ac94bac" state="hidden"/>
    <x:sheet xmlns:r="http://schemas.openxmlformats.org/officeDocument/2006/relationships" name="技术_资金估算" sheetId="12" r:id="R0b1b6f8450554e47" state="hidden"/>
    <x:sheet xmlns:r="http://schemas.openxmlformats.org/officeDocument/2006/relationships" name="技术_人工字段映射" sheetId="13" r:id="Ra159a8acd5224733" state="hidden"/>
    <x:sheet xmlns:r="http://schemas.openxmlformats.org/officeDocument/2006/relationships" name="技术_辅助列表" sheetId="14" r:id="R3d2a642b3dc04365" state="hidden"/>
    <x:sheet xmlns:r="http://schemas.openxmlformats.org/officeDocument/2006/relationships" name="技术_阶段结果" sheetId="15" r:id="R0ef82ffdfc1d49ab" state="hidden"/>
    <x:sheet xmlns:r="http://schemas.openxmlformats.org/officeDocument/2006/relationships" name="技术_主动交易用户汇总" sheetId="16" r:id="Rd96a6faf94f74b82" state="hidden"/>
    <x:sheet xmlns:r="http://schemas.openxmlformats.org/officeDocument/2006/relationships" name="技术_首仓加仓阶梯" sheetId="17" r:id="R946cf684f4b547c4" state="hidden"/>
    <x:sheet xmlns:r="http://schemas.openxmlformats.org/officeDocument/2006/relationships" name="技术_限价平仓明细" sheetId="18" r:id="R2733c104ae62459f" state="hidden"/>
    <x:sheet xmlns:r="http://schemas.openxmlformats.org/officeDocument/2006/relationships" name="技术_平仓意图汇总" sheetId="19" r:id="Ra62af256a33a46d6" state="hidden"/>
    <x:sheet xmlns:r="http://schemas.openxmlformats.org/officeDocument/2006/relationships" name="技术_资金展示结果" sheetId="20" r:id="R21c32042bc7f45f2" state="hidden"/>
    <x:sheet xmlns:r="http://schemas.openxmlformats.org/officeDocument/2006/relationships" name="技术_用户枚举映射" sheetId="21" r:id="R6dd5e237fe7a4449" state="hidden"/>
    <x:sheet xmlns:r="http://schemas.openxmlformats.org/officeDocument/2006/relationships" name="技术_T067资金修正" sheetId="22" r:id="R9c3b529ea71b47ef" state="hidden"/>
    <x:sheet xmlns:r="http://schemas.openxmlformats.org/officeDocument/2006/relationships" name="技术_D2C阶段结果" sheetId="23" r:id="R3257b06d6b0f44fd" state="hidden"/>
  </x:sheets>
  <x:definedNames>
    <x:definedName name="TU_编号列表">技术_辅助列表!$A$2:$A$11</x:definedName>
    <x:definedName name="当前人工填写行">INDEX(人工复盘完成清单!$A$6:$A$15,MATCH(单笔交易复盘卡!$B$4,人工复盘完成清单!$A$6:$A$15,0))</x:definedName>
    <x:definedName name="当前完整操作起点">INDEX(完整操作过程!$A$6:$A$226,MATCH(单笔交易复盘卡!$B$4,完整操作过程!$A$6:$A$226,0))</x:definedName>
  </x:definedNames>
</x:workbook>
</file>

<file path=xl/sharedStrings.xml><?xml version="1.0" encoding="utf-8"?>
<x:sst xmlns:x="http://schemas.openxmlformats.org/spreadsheetml/2006/main" count="63" uniqueCount="3924">
  <x:si>
    <x:t xml:space="preserve">账户与交易总览｜10笔个人主动交易 F2.5.4｜M3等结构返工版</x:t>
  </x:si>
  <x:si>
    <x:t xml:space="preserve">样本固定为10笔个人主动交易；自动跟单仅作为账户其他资金事件，不进入个人人工复盘。资金值均采用已确认事件滚动口径；行为统计仅覆盖具有阶段A—E行为链的9笔。</x:t>
  </x:si>
  <x:si>
    <x:t xml:space="preserve">个人主动交易</x:t>
  </x:si>
  <x:si>
    <x:t xml:space="preserve">正式首仓</x:t>
  </x:si>
  <x:si>
    <x:t xml:space="preserve">成功加仓</x:t>
  </x:si>
  <x:si>
    <x:t xml:space="preserve">限价减仓或平仓尝试</x:t>
  </x:si>
  <x:si>
    <x:t xml:space="preserve">未成交取消</x:t>
  </x:si>
  <x:si>
    <x:t xml:space="preserve">未成交过期</x:t>
  </x:si>
  <x:si>
    <x:t xml:space="preserve">实际限价部分减仓</x:t>
  </x:si>
  <x:si>
    <x:t xml:space="preserve">最终限价平仓</x:t>
  </x:si>
  <x:si>
    <x:t xml:space="preserve">普通资金展示资格</x:t>
  </x:si>
  <x:si>
    <x:t xml:space="preserve">用户可见英文枚举残留</x:t>
  </x:si>
  <x:si>
    <x:t xml:space="preserve">行为统计｜阶段A—E完整行为链</x:t>
  </x:si>
  <x:si>
    <x:t xml:space="preserve">行为链覆盖主动交易</x:t>
  </x:si>
  <x:si>
    <x:t xml:space="preserve">首仓前开仓尝试</x:t>
  </x:si>
  <x:si>
    <x:t xml:space="preserve">首仓前未成交撤销</x:t>
  </x:si>
  <x:si>
    <x:t xml:space="preserve">首仓前方向切换</x:t>
  </x:si>
  <x:si>
    <x:t xml:space="preserve">持仓中加仓委托尝试</x:t>
  </x:si>
  <x:si>
    <x:t xml:space="preserve">止损设置</x:t>
  </x:si>
  <x:si>
    <x:t xml:space="preserve">止盈设置</x:t>
  </x:si>
  <x:si>
    <x:t xml:space="preserve">待人工确认</x:t>
  </x:si>
  <x:si>
    <x:t xml:space="preserve">行为统计仅覆盖9笔具有阶段A—E完整行为链的个人主动交易；T001相关行为证据不可得，未计入统计，不以0替代。</x:t>
  </x:si>
  <x:si>
    <x:t xml:space="preserve">10笔个人主动交易快速索引</x:t>
  </x:si>
  <x:si>
    <x:t xml:space="preserve">T/U编号</x:t>
  </x:si>
  <x:si>
    <x:t xml:space="preserve">日期</x:t>
  </x:si>
  <x:si>
    <x:t xml:space="preserve">合约</x:t>
  </x:si>
  <x:si>
    <x:t xml:space="preserve">多空</x:t>
  </x:si>
  <x:si>
    <x:t xml:space="preserve">正式开仓时间</x:t>
  </x:si>
  <x:si>
    <x:t xml:space="preserve">正式平仓时间</x:t>
  </x:si>
  <x:si>
    <x:t xml:space="preserve">持仓时长</x:t>
  </x:si>
  <x:si>
    <x:t xml:space="preserve">最终出场方式</x:t>
  </x:si>
  <x:si>
    <x:t xml:space="preserve">周期净结果</x:t>
  </x:si>
  <x:si>
    <x:t xml:space="preserve">首仓数量</x:t>
  </x:si>
  <x:si>
    <x:t xml:space="preserve">成功加仓次数</x:t>
  </x:si>
  <x:si>
    <x:t xml:space="preserve">最大总持仓</x:t>
  </x:si>
  <x:si>
    <x:t xml:space="preserve">资金闭环等级</x:t>
  </x:si>
  <x:si>
    <x:t xml:space="preserve">行为证据覆盖</x:t>
  </x:si>
  <x:si>
    <x:t xml:space="preserve">仅D2-C正式事实</x:t>
  </x:si>
  <x:si>
    <x:t xml:space="preserve">阶段A—E＋D2-C</x:t>
  </x:si>
  <x:si>
    <x:t xml:space="preserve">逐笔人工复盘总表｜10笔个人主动交易 F2.5.4｜M3等结构返工版</x:t>
  </x:si>
  <x:si>
    <x:t xml:space="preserve">每行一笔；正式交易、仓位、限价平仓与资金字段来自F2.4正式技术表，阶段A—E行为字段按T/U编号与表头回归。T001行为证据不可得并留空，不以0替代。</x:t>
  </x:si>
  <x:si>
    <x:t xml:space="preserve">首仓成交数量</x:t>
  </x:si>
  <x:si>
    <x:t xml:space="preserve">首仓成交均价</x:t>
  </x:si>
  <x:si>
    <x:t xml:space="preserve">成功加仓数量合计</x:t>
  </x:si>
  <x:si>
    <x:t xml:space="preserve">最大总持仓量</x:t>
  </x:si>
  <x:si>
    <x:t xml:space="preserve">最大持仓均价</x:t>
  </x:si>
  <x:si>
    <x:t xml:space="preserve">加仓委托尝试总数</x:t>
  </x:si>
  <x:si>
    <x:t xml:space="preserve">实际成功加仓</x:t>
  </x:si>
  <x:si>
    <x:t xml:space="preserve">未成交加仓撤销</x:t>
  </x:si>
  <x:si>
    <x:t xml:space="preserve">加仓部分成交后撤余</x:t>
  </x:si>
  <x:si>
    <x:t xml:space="preserve">未成交限价平仓取消</x:t>
  </x:si>
  <x:si>
    <x:t xml:space="preserve">未成交限价平仓过期</x:t>
  </x:si>
  <x:si>
    <x:t xml:space="preserve">实际部分减仓</x:t>
  </x:si>
  <x:si>
    <x:t xml:space="preserve">止损取消</x:t>
  </x:si>
  <x:si>
    <x:t xml:space="preserve">疑似止损调整</x:t>
  </x:si>
  <x:si>
    <x:t xml:space="preserve">止盈取消</x:t>
  </x:si>
  <x:si>
    <x:t xml:space="preserve">疑似止盈调整</x:t>
  </x:si>
  <x:si>
    <x:t xml:space="preserve">开仓前已确认资金事件滚动值</x:t>
  </x:si>
  <x:si>
    <x:t xml:space="preserve">平仓后已确认资金事件滚动值</x:t>
  </x:si>
  <x:si>
    <x:t xml:space="preserve">未分配快照差额</x:t>
  </x:si>
  <x:si>
    <x:t xml:space="preserve">资金限制说明</x:t>
  </x:si>
  <x:si>
    <x:t xml:space="preserve">操作变化完整摘要</x:t>
  </x:si>
  <x:si>
    <x:t xml:space="preserve">是否按计划</x:t>
  </x:si>
  <x:si>
    <x:t xml:space="preserve">最严重错误</x:t>
  </x:si>
  <x:si>
    <x:t xml:space="preserve">下次阻断规则</x:t>
  </x:si>
  <x:si>
    <x:t xml:space="preserve">复盘状态</x:t>
  </x:si>
  <x:si>
    <x:t xml:space="preserve">备注</x:t>
  </x:si>
  <x:si>
    <x:t xml:space="preserve">T001</x:t>
  </x:si>
  <x:si>
    <x:t xml:space="preserve">T029</x:t>
  </x:si>
  <x:si>
    <x:t xml:space="preserve">T042</x:t>
  </x:si>
  <x:si>
    <x:t xml:space="preserve">T043</x:t>
  </x:si>
  <x:si>
    <x:t xml:space="preserve">T049</x:t>
  </x:si>
  <x:si>
    <x:t xml:space="preserve">T069</x:t>
  </x:si>
  <x:si>
    <x:t xml:space="preserve">T087</x:t>
  </x:si>
  <x:si>
    <x:t xml:space="preserve">T120</x:t>
  </x:si>
  <x:si>
    <x:t xml:space="preserve">T123</x:t>
  </x:si>
  <x:si>
    <x:t xml:space="preserve">T125</x:t>
  </x:si>
  <x:si>
    <x:t xml:space="preserve">单笔交易复盘卡｜行为、仓位、平仓与资金节点</x:t>
  </x:si>
  <x:si>
    <x:t xml:space="preserve">在B4选择10笔个人主动交易；所有区块随选择同步刷新。T001只有D2-C正式事实，阶段A—E行为字段留空且不表示未发生。</x:t>
  </x:si>
  <x:si>
    <x:t xml:space="preserve">选择T/U编号</x:t>
  </x:si>
  <x:si>
    <x:t xml:space="preserve">一、交易结果</x:t>
  </x:si>
  <x:si>
    <x:t xml:space="preserve">已实现盈亏</x:t>
  </x:si>
  <x:si>
    <x:t xml:space="preserve">周期内手续费</x:t>
  </x:si>
  <x:si>
    <x:t xml:space="preserve">资金费</x:t>
  </x:si>
  <x:si>
    <x:t xml:space="preserve">正式周期净结果</x:t>
  </x:si>
  <x:si>
    <x:t xml:space="preserve">行为证据覆盖说明</x:t>
  </x:si>
  <x:si>
    <x:t xml:space="preserve">二、首仓前尝试</x:t>
  </x:si>
  <x:si>
    <x:t xml:space="preserve">开仓尝试</x:t>
  </x:si>
  <x:si>
    <x:t xml:space="preserve">未成交撤销</x:t>
  </x:si>
  <x:si>
    <x:t xml:space="preserve">方向切换</x:t>
  </x:si>
  <x:si>
    <x:t xml:space="preserve">首仓前待确认</x:t>
  </x:si>
  <x:si>
    <x:t xml:space="preserve">首仓前完整摘要</x:t>
  </x:si>
  <x:si>
    <x:t xml:space="preserve">三、仓位建立过程｜首仓与逐次成功加仓</x:t>
  </x:si>
  <x:si>
    <x:t xml:space="preserve">动作序号</x:t>
  </x:si>
  <x:si>
    <x:t xml:space="preserve">动作类型</x:t>
  </x:si>
  <x:si>
    <x:t xml:space="preserve">完整成交时间</x:t>
  </x:si>
  <x:si>
    <x:t xml:space="preserve">本次成交数量</x:t>
  </x:si>
  <x:si>
    <x:t xml:space="preserve">本次成交均价</x:t>
  </x:si>
  <x:si>
    <x:t xml:space="preserve">动作前总持仓</x:t>
  </x:si>
  <x:si>
    <x:t xml:space="preserve">动作后总持仓</x:t>
  </x:si>
  <x:si>
    <x:t xml:space="preserve">动作后持仓均价</x:t>
  </x:si>
  <x:si>
    <x:t xml:space="preserve">动作前滚动值</x:t>
  </x:si>
  <x:si>
    <x:t xml:space="preserve">动作后滚动值</x:t>
  </x:si>
  <x:si>
    <x:t xml:space="preserve">区间外部净入金</x:t>
  </x:si>
  <x:si>
    <x:t xml:space="preserve">部分成交后撤余</x:t>
  </x:si>
  <x:si>
    <x:t xml:space="preserve">动态预留10行，不设固定加仓上限</x:t>
  </x:si>
  <x:si>
    <x:t xml:space="preserve">四、持仓中操作概要</x:t>
  </x:si>
  <x:si>
    <x:t xml:space="preserve">107</x:t>
  </x:si>
  <x:si>
    <x:t xml:space="preserve">持仓操作完整摘要</x:t>
  </x:si>
  <x:si>
    <x:t xml:space="preserve">五、减仓与平仓挂单过程</x:t>
  </x:si>
  <x:si>
    <x:t xml:space="preserve">普通限价尝试</x:t>
  </x:si>
  <x:si>
    <x:t xml:space="preserve">条件生成限价尝试</x:t>
  </x:si>
  <x:si>
    <x:t xml:space="preserve">最终真实出场方式／中文平仓意图摘要</x:t>
  </x:si>
  <x:si>
    <x:t xml:space="preserve">委托时间</x:t>
  </x:si>
  <x:si>
    <x:t xml:space="preserve">中文意图</x:t>
  </x:si>
  <x:si>
    <x:t xml:space="preserve">委托价格</x:t>
  </x:si>
  <x:si>
    <x:t xml:space="preserve">委托数量</x:t>
  </x:si>
  <x:si>
    <x:t xml:space="preserve">实际成交数量</x:t>
  </x:si>
  <x:si>
    <x:t xml:space="preserve">最终状态</x:t>
  </x:si>
  <x:si>
    <x:t xml:space="preserve">仓位变化</x:t>
  </x:si>
  <x:si>
    <x:t xml:space="preserve">中文事实说明</x:t>
  </x:si>
  <x:si>
    <x:t xml:space="preserve">六、止盈止损与条件计划演变</x:t>
  </x:si>
  <x:si>
    <x:t xml:space="preserve">止损实际成交</x:t>
  </x:si>
  <x:si>
    <x:t xml:space="preserve">止盈实际成交</x:t>
  </x:si>
  <x:si>
    <x:t xml:space="preserve">条件计划演变完整摘要</x:t>
  </x:si>
  <x:si>
    <x:t xml:space="preserve">七、资金节点｜只显示已确认事件滚动值</x:t>
  </x:si>
  <x:si>
    <x:t xml:space="preserve">已确认资金事件滚动值只累计现有证据能够确认的资金事件，不等于实时账户余额或实时总权益；负滚动值也不得解释为实际账户余额。</x:t>
  </x:si>
  <x:si>
    <x:t xml:space="preserve">前一张08:00实际总资产</x:t>
  </x:si>
  <x:si>
    <x:t xml:space="preserve">持仓期间外部入金</x:t>
  </x:si>
  <x:si>
    <x:t xml:space="preserve">持仓期间外部出金</x:t>
  </x:si>
  <x:si>
    <x:t xml:space="preserve">当前交易正式净结果</x:t>
  </x:si>
  <x:si>
    <x:t xml:space="preserve">其他个人主动交易影响</x:t>
  </x:si>
  <x:si>
    <x:t xml:space="preserve">自动跟单影响</x:t>
  </x:si>
  <x:si>
    <x:t xml:space="preserve">返佣及其他账户事件</x:t>
  </x:si>
  <x:si>
    <x:t xml:space="preserve">后一张08:00实际总资产</x:t>
  </x:si>
  <x:si>
    <x:t xml:space="preserve">差额比例</x:t>
  </x:si>
  <x:si>
    <x:t xml:space="preserve">最大持仓时已确认事件滚动值</x:t>
  </x:si>
  <x:si>
    <x:t xml:space="preserve">八、人工填写摘要</x:t>
  </x:si>
  <x:si>
    <x:t xml:space="preserve">做对的动作</x:t>
  </x:si>
  <x:si>
    <x:t xml:space="preserve">应停止操作的时点</x:t>
  </x:si>
  <x:si>
    <x:t xml:space="preserve">正确做法</x:t>
  </x:si>
  <x:si>
    <x:t xml:space="preserve">重新复盘结论</x:t>
  </x:si>
  <x:si>
    <x:t xml:space="preserve">完整操作过程｜个人主动交易逐事件明细</x:t>
  </x:si>
  <x:si>
    <x:t xml:space="preserve">共221条用户可见事件；自动跟单样本已退出。基础委托、实际成交、条件委托、取消、过期及仓位变化均保留，英文枚举已映射为中文。T001目前仅有D2-C正式首仓和平仓事件；阶段A—E行为链不可得。T001未显示的尝试、撤单、止盈止损等字段不代表0或未发生。</x:t>
  </x:si>
  <x:si>
    <x:t xml:space="preserve">事件时间</x:t>
  </x:si>
  <x:si>
    <x:t xml:space="preserve">所属阶段</x:t>
  </x:si>
  <x:si>
    <x:t xml:space="preserve">事件来源</x:t>
  </x:si>
  <x:si>
    <x:t xml:space="preserve">用户意图</x:t>
  </x:si>
  <x:si>
    <x:t xml:space="preserve">委托类型</x:t>
  </x:si>
  <x:si>
    <x:t xml:space="preserve">委托价格或触发价格</x:t>
  </x:si>
  <x:si>
    <x:t xml:space="preserve">仓位变化前</x:t>
  </x:si>
  <x:si>
    <x:t xml:space="preserve">仓位变化后</x:t>
  </x:si>
  <x:si>
    <x:t xml:space="preserve">是否影响实际仓位</x:t>
  </x:si>
  <x:si>
    <x:t xml:space="preserve">是否计入实际开仓</x:t>
  </x:si>
  <x:si>
    <x:t xml:space="preserve">是否计入实际加仓</x:t>
  </x:si>
  <x:si>
    <x:t xml:space="preserve">是否计入实际减仓</x:t>
  </x:si>
  <x:si>
    <x:t xml:space="preserve">是否计入最终平仓</x:t>
  </x:si>
  <x:si>
    <x:t xml:space="preserve">与上一委托的关系</x:t>
  </x:si>
  <x:si>
    <x:t xml:space="preserve">判断等级</x:t>
  </x:si>
  <x:si>
    <x:t xml:space="preserve">中文解释</x:t>
  </x:si>
  <x:si>
    <x:t xml:space="preserve">是否需要人工确认</x:t>
  </x:si>
  <x:si>
    <x:t xml:space="preserve">用户人工确认</x:t>
  </x:si>
  <x:si>
    <x:t xml:space="preserve">关联说明</x:t>
  </x:si>
  <x:si>
    <x:t xml:space="preserve">2026-05-27 00:12:51</x:t>
  </x:si>
  <x:si>
    <x:t xml:space="preserve">首仓前</x:t>
  </x:si>
  <x:si>
    <x:t xml:space="preserve">实际成交</x:t>
  </x:si>
  <x:si>
    <x:t xml:space="preserve">不可得</x:t>
  </x:si>
  <x:si>
    <x:t xml:space="preserve">76188</x:t>
  </x:si>
  <x:si>
    <x:t xml:space="preserve">完全成交</x:t>
  </x:si>
  <x:si>
    <x:t xml:space="preserve">0</x:t>
  </x:si>
  <x:si>
    <x:t xml:space="preserve">0.5</x:t>
  </x:si>
  <x:si>
    <x:t xml:space="preserve">是</x:t>
  </x:si>
  <x:si>
    <x:t xml:space="preserve">否</x:t>
  </x:si>
  <x:si>
    <x:t xml:space="preserve">D2-C正式首仓</x:t>
  </x:si>
  <x:si>
    <x:t xml:space="preserve">正式事实</x:t>
  </x:si>
  <x:si>
    <x:t xml:space="preserve">正式首仓成交0.5，均价76188，仓位由0变为0.5；正式委托1021988705271。</x:t>
  </x:si>
  <x:si>
    <x:t xml:space="preserve">待填写</x:t>
  </x:si>
  <x:si>
    <x:t xml:space="preserve">2026-05-27 01:19:41</x:t>
  </x:si>
  <x:si>
    <x:t xml:space="preserve">持仓中</x:t>
  </x:si>
  <x:si>
    <x:t xml:space="preserve">普通市价平仓</x:t>
  </x:si>
  <x:si>
    <x:t xml:space="preserve">市价委托</x:t>
  </x:si>
  <x:si>
    <x:t xml:space="preserve">D2-C正式平仓结论</x:t>
  </x:si>
  <x:si>
    <x:t xml:space="preserve">D2-C确认最终真实出场方式为普通市价平仓；现有正式D2-C文件未提供对应平仓委托编号。</x:t>
  </x:si>
  <x:si>
    <x:t xml:space="preserve">2026-06-01 06:06:39</x:t>
  </x:si>
  <x:si>
    <x:t xml:space="preserve">基础委托</x:t>
  </x:si>
  <x:si>
    <x:t xml:space="preserve">限价委托</x:t>
  </x:si>
  <x:si>
    <x:t xml:space="preserve">73887</x:t>
  </x:si>
  <x:si>
    <x:t xml:space="preserve">已取消</x:t>
  </x:si>
  <x:si>
    <x:t xml:space="preserve">本区间首张订单级委托</x:t>
  </x:si>
  <x:si>
    <x:t xml:space="preserve">高置信度推断</x:t>
  </x:si>
  <x:si>
    <x:t xml:space="preserve">首仓前开仓尝试；实际成交数量为0，仓位保持0，仅计入委托尝试，不计入实际开仓、加仓、减仓或最终平仓。 该关系为高置信度推断，不是用户确认事实。</x:t>
  </x:si>
  <x:si>
    <x:t xml:space="preserve">2026-06-01 06:20:42</x:t>
  </x:si>
  <x:si>
    <x:t xml:space="preserve">74111</x:t>
  </x:si>
  <x:si>
    <x:t xml:space="preserve">高置信疑似撤单后改价/改量重挂</x:t>
  </x:si>
  <x:si>
    <x:t xml:space="preserve">2026-06-01 06:26:52</x:t>
  </x:si>
  <x:si>
    <x:t xml:space="preserve">时间相邻，可能属于连续操作</x:t>
  </x:si>
  <x:si>
    <x:t xml:space="preserve">首仓前开仓尝试；实际成交数量为0，仓位保持0，仅计入委托尝试，不计入实际开仓、加仓、减仓或最终平仓。 该关系待人工确认，未作为用户确认事实。</x:t>
  </x:si>
  <x:si>
    <x:t xml:space="preserve">2026-06-01 07:03:48</x:t>
  </x:si>
  <x:si>
    <x:t xml:space="preserve">卖出委托；执行方式：限价；仓位作用：首次开仓</x:t>
  </x:si>
  <x:si>
    <x:t xml:space="preserve">限价</x:t>
  </x:si>
  <x:si>
    <x:t xml:space="preserve">1</x:t>
  </x:si>
  <x:si>
    <x:t xml:space="preserve">首次开仓；订单相关委托实际成交1，仓位由0变为1；同一订单的1条Fill仅计为1张委托。 该关系为高置信度推断，不是用户确认事实。</x:t>
  </x:si>
  <x:si>
    <x:t xml:space="preserve">条件委托</x:t>
  </x:si>
  <x:si>
    <x:t xml:space="preserve">市价止盈</x:t>
  </x:si>
  <x:si>
    <x:t xml:space="preserve">71668</x:t>
  </x:si>
  <x:si>
    <x:t xml:space="preserve">市价止损</x:t>
  </x:si>
  <x:si>
    <x:t xml:space="preserve">77300</x:t>
  </x:si>
  <x:si>
    <x:t xml:space="preserve">2026-06-01 09:31:04</x:t>
  </x:si>
  <x:si>
    <x:t xml:space="preserve">买入委托；执行方式：限价；仓位作用：最终平仓</x:t>
  </x:si>
  <x:si>
    <x:t xml:space="preserve">73556</x:t>
  </x:si>
  <x:si>
    <x:t xml:space="preserve">最终真实平仓；订单相关委托实际成交1，仓位由1变为0；同一订单的2条Fill仅计为1张委托。</x:t>
  </x:si>
  <x:si>
    <x:t xml:space="preserve">平仓后</x:t>
  </x:si>
  <x:si>
    <x:t xml:space="preserve">明确仓位动作</x:t>
  </x:si>
  <x:si>
    <x:t xml:space="preserve">区间边界检查</x:t>
  </x:si>
  <x:si>
    <x:t xml:space="preserve">证据不足</x:t>
  </x:si>
  <x:si>
    <x:t xml:space="preserve">未发现本周期归零前创建且在归零后仍取消/过期的残留委托；下一同合约周期为T033，其新开委托未计为本周期残留。</x:t>
  </x:si>
  <x:si>
    <x:t xml:space="preserve">2026-06-02 00:26:32</x:t>
  </x:si>
  <x:si>
    <x:t xml:space="preserve">71000</x:t>
  </x:si>
  <x:si>
    <x:t xml:space="preserve">4</x:t>
  </x:si>
  <x:si>
    <x:t xml:space="preserve">首次开仓；订单相关委托实际成交4，仓位由0变为4；同一订单的1条Fill仅计为1张委托。</x:t>
  </x:si>
  <x:si>
    <x:t xml:space="preserve">2026-06-02 00:27:00</x:t>
  </x:si>
  <x:si>
    <x:t xml:space="preserve">73600</x:t>
  </x:si>
  <x:si>
    <x:t xml:space="preserve">2026-06-02 00:39:23</x:t>
  </x:si>
  <x:si>
    <x:t xml:space="preserve">持仓中加仓尝试</x:t>
  </x:si>
  <x:si>
    <x:t xml:space="preserve">71540</x:t>
  </x:si>
  <x:si>
    <x:t xml:space="preserve">持仓中加仓尝试；实际成交数量为0，仓位保持4，仅计入委托尝试，不计入实际开仓、加仓、减仓或最终平仓。 该关系为高置信度推断，不是用户确认事实。</x:t>
  </x:si>
  <x:si>
    <x:t xml:space="preserve">2026-06-02 00:57:20</x:t>
  </x:si>
  <x:si>
    <x:t xml:space="preserve">卖出委托；执行方式：限价；仓位作用：加仓</x:t>
  </x:si>
  <x:si>
    <x:t xml:space="preserve">71538</x:t>
  </x:si>
  <x:si>
    <x:t xml:space="preserve">8</x:t>
  </x:si>
  <x:si>
    <x:t xml:space="preserve">实际加仓；订单相关委托实际成交4，仓位由4变为8；同一订单的1条Fill仅计为1张委托。 该关系为高置信度推断，不是用户确认事实。</x:t>
  </x:si>
  <x:si>
    <x:t xml:space="preserve">2026-06-02 00:56:40</x:t>
  </x:si>
  <x:si>
    <x:t xml:space="preserve">72900</x:t>
  </x:si>
  <x:si>
    <x:t xml:space="preserve">2026-06-02 00:58:13</x:t>
  </x:si>
  <x:si>
    <x:t xml:space="preserve">持仓中减仓或平仓尝试</x:t>
  </x:si>
  <x:si>
    <x:t xml:space="preserve">71267</x:t>
  </x:si>
  <x:si>
    <x:t xml:space="preserve">已过期</x:t>
  </x:si>
  <x:si>
    <x:t xml:space="preserve">持仓中减仓或平仓尝试；实际成交数量为0，仓位保持8，仅计入委托尝试，不计入实际开仓、加仓、减仓或最终平仓。 该关系待人工确认，未作为用户确认事实。 条件委托已过期不等于仓位已平仓；最终平仓以真实使仓位归零的成交为准。</x:t>
  </x:si>
  <x:si>
    <x:t xml:space="preserve">2026-06-02 02:26:09</x:t>
  </x:si>
  <x:si>
    <x:t xml:space="preserve">买入委托；执行方式：市价；仓位作用：最终平仓</x:t>
  </x:si>
  <x:si>
    <x:t xml:space="preserve">市价</x:t>
  </x:si>
  <x:si>
    <x:t xml:space="preserve">最终真实平仓；订单相关委托实际成交8，仓位由8变为0；同一订单的22条Fill仅计为1张委托。 该关系为高置信度推断，不是用户确认事实。</x:t>
  </x:si>
  <x:si>
    <x:t xml:space="preserve">未发现本周期归零前创建且在归零后仍取消/过期的残留委托；下一同合约周期为T044，其新开委托未计为本周期残留。</x:t>
  </x:si>
  <x:si>
    <x:t xml:space="preserve">买入委托；执行方式：市价；仓位作用：首次开仓</x:t>
  </x:si>
  <x:si>
    <x:t xml:space="preserve">首次开仓；订单相关委托实际成交8，仓位由0变为8；同一订单的47条Fill仅计为1张委托。</x:t>
  </x:si>
  <x:si>
    <x:t xml:space="preserve">2026-06-02 02:26:17</x:t>
  </x:si>
  <x:si>
    <x:t xml:space="preserve">卖出委托；执行方式：市价；仓位作用：最终平仓</x:t>
  </x:si>
  <x:si>
    <x:t xml:space="preserve">最终真实平仓；订单相关委托实际成交8，仓位由8变为0；同一订单的211条Fill仅计为1张委托。</x:t>
  </x:si>
  <x:si>
    <x:t xml:space="preserve">2026-06-02 18:23:35</x:t>
  </x:si>
  <x:si>
    <x:t xml:space="preserve">69460</x:t>
  </x:si>
  <x:si>
    <x:t xml:space="preserve">2026-06-02 18:31:06</x:t>
  </x:si>
  <x:si>
    <x:t xml:space="preserve">首仓前反向意图/方向切换尝试</x:t>
  </x:si>
  <x:si>
    <x:t xml:space="preserve">69878</x:t>
  </x:si>
  <x:si>
    <x:t xml:space="preserve">首仓前反向意图/方向切换尝试；实际成交数量为0，仓位保持0，仅计入委托尝试，不计入实际开仓、加仓、减仓或最终平仓。 该关系为高置信度推断，不是用户确认事实。</x:t>
  </x:si>
  <x:si>
    <x:t xml:space="preserve">2026-06-02 18:36:47</x:t>
  </x:si>
  <x:si>
    <x:t xml:space="preserve">69219.4</x:t>
  </x:si>
  <x:si>
    <x:t xml:space="preserve">2026-06-02 18:52:47</x:t>
  </x:si>
  <x:si>
    <x:t xml:space="preserve">69792.5</x:t>
  </x:si>
  <x:si>
    <x:t xml:space="preserve">2026-06-02 19:07:21</x:t>
  </x:si>
  <x:si>
    <x:t xml:space="preserve">买入委托；执行方式：限价；仓位作用：首次开仓</x:t>
  </x:si>
  <x:si>
    <x:t xml:space="preserve">69540</x:t>
  </x:si>
  <x:si>
    <x:t xml:space="preserve">首次开仓；订单相关委托实际成交4，仓位由0变为4；同一订单的1条Fill仅计为1张委托。 该关系为高置信度推断，不是用户确认事实。</x:t>
  </x:si>
  <x:si>
    <x:t xml:space="preserve">2026-06-02 19:07:58</x:t>
  </x:si>
  <x:si>
    <x:t xml:space="preserve">69877</x:t>
  </x:si>
  <x:si>
    <x:t xml:space="preserve">2026-06-02 19:11:22</x:t>
  </x:si>
  <x:si>
    <x:t xml:space="preserve">69300</x:t>
  </x:si>
  <x:si>
    <x:t xml:space="preserve">2026-06-02 19:16:32</x:t>
  </x:si>
  <x:si>
    <x:t xml:space="preserve">68200</x:t>
  </x:si>
  <x:si>
    <x:t xml:space="preserve">2026-06-02 19:17:29</x:t>
  </x:si>
  <x:si>
    <x:t xml:space="preserve">70315.89</x:t>
  </x:si>
  <x:si>
    <x:t xml:space="preserve">2026-06-02 19:37:24</x:t>
  </x:si>
  <x:si>
    <x:t xml:space="preserve">69598</x:t>
  </x:si>
  <x:si>
    <x:t xml:space="preserve">持仓中减仓或平仓尝试；实际成交数量为0，仓位保持4，仅计入委托尝试，不计入实际开仓、加仓、减仓或最终平仓。 该关系为高置信度推断，不是用户确认事实。</x:t>
  </x:si>
  <x:si>
    <x:t xml:space="preserve">2026-06-02 19:46:14</x:t>
  </x:si>
  <x:si>
    <x:t xml:space="preserve">71800</x:t>
  </x:si>
  <x:si>
    <x:t xml:space="preserve">2026-06-02 19:49:25</x:t>
  </x:si>
  <x:si>
    <x:t xml:space="preserve">持仓中减仓或平仓尝试；实际成交数量为0，仓位保持4，仅计入委托尝试，不计入实际开仓、加仓、减仓或最终平仓。 该关系待人工确认，未作为用户确认事实。</x:t>
  </x:si>
  <x:si>
    <x:t xml:space="preserve">2026-06-02 20:05:48</x:t>
  </x:si>
  <x:si>
    <x:t xml:space="preserve">69123</x:t>
  </x:si>
  <x:si>
    <x:t xml:space="preserve">持仓中加仓尝试；实际成交数量为0，仓位保持4，仅计入委托尝试，不计入实际开仓、加仓、减仓或最终平仓。 该关系待人工确认，未作为用户确认事实。</x:t>
  </x:si>
  <x:si>
    <x:t xml:space="preserve">2026-06-02 20:06:01</x:t>
  </x:si>
  <x:si>
    <x:t xml:space="preserve">2026-06-02 20:09:14</x:t>
  </x:si>
  <x:si>
    <x:t xml:space="preserve">69698</x:t>
  </x:si>
  <x:si>
    <x:t xml:space="preserve">2026-06-02 20:11:46</x:t>
  </x:si>
  <x:si>
    <x:t xml:space="preserve">68889</x:t>
  </x:si>
  <x:si>
    <x:t xml:space="preserve">2026-06-02 20:12:01</x:t>
  </x:si>
  <x:si>
    <x:t xml:space="preserve">2026-06-02 20:12:53</x:t>
  </x:si>
  <x:si>
    <x:t xml:space="preserve">持仓中减仓或平仓尝试；实际成交数量为0，仓位保持4，仅计入委托尝试，不计入实际开仓、加仓、减仓或最终平仓。 该关系待人工确认，未作为用户确认事实。 条件委托已过期不等于仓位已平仓；最终平仓以真实使仓位归零的成交为准。</x:t>
  </x:si>
  <x:si>
    <x:t xml:space="preserve">2026-06-02 20:29:30</x:t>
  </x:si>
  <x:si>
    <x:t xml:space="preserve">2026-06-02 20:49:23</x:t>
  </x:si>
  <x:si>
    <x:t xml:space="preserve">6871</x:t>
  </x:si>
  <x:si>
    <x:t xml:space="preserve">2026-06-02 20:56:15</x:t>
  </x:si>
  <x:si>
    <x:t xml:space="preserve">68716</x:t>
  </x:si>
  <x:si>
    <x:t xml:space="preserve">2026-06-02 21:28:29</x:t>
  </x:si>
  <x:si>
    <x:t xml:space="preserve">67700</x:t>
  </x:si>
  <x:si>
    <x:t xml:space="preserve">2026-06-02 22:08:05</x:t>
  </x:si>
  <x:si>
    <x:t xml:space="preserve">买入委托；执行方式：限价；仓位作用：加仓</x:t>
  </x:si>
  <x:si>
    <x:t xml:space="preserve">68568</x:t>
  </x:si>
  <x:si>
    <x:t xml:space="preserve">9</x:t>
  </x:si>
  <x:si>
    <x:t xml:space="preserve">实际加仓；订单相关委托实际成交5，仓位由4变为9；同一订单的10条Fill仅计为1张委托。 该关系为高置信度推断，不是用户确认事实。</x:t>
  </x:si>
  <x:si>
    <x:t xml:space="preserve">2026-06-02 22:04:53</x:t>
  </x:si>
  <x:si>
    <x:t xml:space="preserve">69443</x:t>
  </x:si>
  <x:si>
    <x:t xml:space="preserve">2026-06-02 22:06:45</x:t>
  </x:si>
  <x:si>
    <x:t xml:space="preserve">69600</x:t>
  </x:si>
  <x:si>
    <x:t xml:space="preserve">2026-06-02 22:08:47</x:t>
  </x:si>
  <x:si>
    <x:t xml:space="preserve">68922</x:t>
  </x:si>
  <x:si>
    <x:t xml:space="preserve">持仓中减仓或平仓尝试；实际成交数量为0，仓位保持9，仅计入委托尝试，不计入实际开仓、加仓、减仓或最终平仓。 该关系待人工确认，未作为用户确认事实。</x:t>
  </x:si>
  <x:si>
    <x:t xml:space="preserve">2026-06-02 22:09:23</x:t>
  </x:si>
  <x:si>
    <x:t xml:space="preserve">67500</x:t>
  </x:si>
  <x:si>
    <x:t xml:space="preserve">2026-06-02 22:18:33</x:t>
  </x:si>
  <x:si>
    <x:t xml:space="preserve">67460</x:t>
  </x:si>
  <x:si>
    <x:t xml:space="preserve">2026-06-02 22:30:37</x:t>
  </x:si>
  <x:si>
    <x:t xml:space="preserve">卖出委托；执行方式：限价；仓位作用：部分减仓</x:t>
  </x:si>
  <x:si>
    <x:t xml:space="preserve">68000</x:t>
  </x:si>
  <x:si>
    <x:t xml:space="preserve">5</x:t>
  </x:si>
  <x:si>
    <x:t xml:space="preserve">实际减仓；订单相关委托实际成交4，仓位由9变为5；同一订单的1条Fill仅计为1张委托。 该关系为高置信度推断，不是用户确认事实。</x:t>
  </x:si>
  <x:si>
    <x:t xml:space="preserve">2026-06-02 22:31:05</x:t>
  </x:si>
  <x:si>
    <x:t xml:space="preserve">66800</x:t>
  </x:si>
  <x:si>
    <x:t xml:space="preserve">2026-06-02 22:38:42</x:t>
  </x:si>
  <x:si>
    <x:t xml:space="preserve">70200</x:t>
  </x:si>
  <x:si>
    <x:t xml:space="preserve">持仓中减仓或平仓尝试；实际成交数量为0，仓位保持5，仅计入委托尝试，不计入实际开仓、加仓、减仓或最终平仓。 该关系待人工确认，未作为用户确认事实。</x:t>
  </x:si>
  <x:si>
    <x:t xml:space="preserve">2026-06-02 22:44:09</x:t>
  </x:si>
  <x:si>
    <x:t xml:space="preserve">67875</x:t>
  </x:si>
  <x:si>
    <x:t xml:space="preserve">持仓中加仓尝试；实际成交数量为0，仓位保持5，仅计入委托尝试，不计入实际开仓、加仓、减仓或最终平仓。 该关系待人工确认，未作为用户确认事实。</x:t>
  </x:si>
  <x:si>
    <x:t xml:space="preserve">2026-06-02 22:47:51</x:t>
  </x:si>
  <x:si>
    <x:t xml:space="preserve">69080</x:t>
  </x:si>
  <x:si>
    <x:t xml:space="preserve">2026-06-02 23:08:52</x:t>
  </x:si>
  <x:si>
    <x:t xml:space="preserve">66000</x:t>
  </x:si>
  <x:si>
    <x:t xml:space="preserve">2026-06-02 23:26:42</x:t>
  </x:si>
  <x:si>
    <x:t xml:space="preserve">67333</x:t>
  </x:si>
  <x:si>
    <x:t xml:space="preserve">7</x:t>
  </x:si>
  <x:si>
    <x:t xml:space="preserve">实际加仓；订单相关委托实际成交2，仓位由5变为7；同一订单的11条Fill仅计为1张委托。 该关系待人工确认，未作为用户确认事实。</x:t>
  </x:si>
  <x:si>
    <x:t xml:space="preserve">2026-06-02 23:27:54</x:t>
  </x:si>
  <x:si>
    <x:t xml:space="preserve">67429</x:t>
  </x:si>
  <x:si>
    <x:t xml:space="preserve">2026-06-02 23:32:56</x:t>
  </x:si>
  <x:si>
    <x:t xml:space="preserve">69322</x:t>
  </x:si>
  <x:si>
    <x:t xml:space="preserve">2026-06-02 23:40:15</x:t>
  </x:si>
  <x:si>
    <x:t xml:space="preserve">68880</x:t>
  </x:si>
  <x:si>
    <x:t xml:space="preserve">2026-06-02 23:49:26</x:t>
  </x:si>
  <x:si>
    <x:t xml:space="preserve">68911</x:t>
  </x:si>
  <x:si>
    <x:t xml:space="preserve">2026-06-02 23:51:28</x:t>
  </x:si>
  <x:si>
    <x:t xml:space="preserve">65000</x:t>
  </x:si>
  <x:si>
    <x:t xml:space="preserve">2026-06-03 00:39:41</x:t>
  </x:si>
  <x:si>
    <x:t xml:space="preserve">67527.6</x:t>
  </x:si>
  <x:si>
    <x:t xml:space="preserve">持仓中加仓尝试；实际成交数量为0，仓位保持7，仅计入委托尝试，不计入实际开仓、加仓、减仓或最终平仓。 该关系待人工确认，未作为用户确认事实。</x:t>
  </x:si>
  <x:si>
    <x:t xml:space="preserve">2026-06-03 00:42:30</x:t>
  </x:si>
  <x:si>
    <x:t xml:space="preserve">67520</x:t>
  </x:si>
  <x:si>
    <x:t xml:space="preserve">持仓中加仓尝试；实际成交数量为0，仓位保持7，仅计入委托尝试，不计入实际开仓、加仓、减仓或最终平仓。 该关系为高置信度推断，不是用户确认事实。</x:t>
  </x:si>
  <x:si>
    <x:t xml:space="preserve">2026-06-03 00:42:54</x:t>
  </x:si>
  <x:si>
    <x:t xml:space="preserve">67480</x:t>
  </x:si>
  <x:si>
    <x:t xml:space="preserve">2026-06-03 00:49:12</x:t>
  </x:si>
  <x:si>
    <x:t xml:space="preserve">68577</x:t>
  </x:si>
  <x:si>
    <x:t xml:space="preserve">持仓中减仓或平仓尝试；实际成交数量为0，仓位保持7，仅计入委托尝试，不计入实际开仓、加仓、减仓或最终平仓。 该关系待人工确认，未作为用户确认事实。</x:t>
  </x:si>
  <x:si>
    <x:t xml:space="preserve">2026-06-03 00:50:02</x:t>
  </x:si>
  <x:si>
    <x:t xml:space="preserve">68659</x:t>
  </x:si>
  <x:si>
    <x:t xml:space="preserve">持仓中减仓或平仓尝试；实际成交数量为0，仓位保持7，仅计入委托尝试，不计入实际开仓、加仓、减仓或最终平仓。 该关系为高置信度推断，不是用户确认事实。</x:t>
  </x:si>
  <x:si>
    <x:t xml:space="preserve">2026-06-03 00:55:56</x:t>
  </x:si>
  <x:si>
    <x:t xml:space="preserve">67481</x:t>
  </x:si>
  <x:si>
    <x:t xml:space="preserve">12</x:t>
  </x:si>
  <x:si>
    <x:t xml:space="preserve">实际加仓；订单相关委托实际成交5，仓位由7变为12；同一订单的2条Fill仅计为1张委托。 该关系待人工确认，未作为用户确认事实。</x:t>
  </x:si>
  <x:si>
    <x:t xml:space="preserve">2026-06-03 00:54:41</x:t>
  </x:si>
  <x:si>
    <x:t xml:space="preserve">2026-06-03 00:56:34</x:t>
  </x:si>
  <x:si>
    <x:t xml:space="preserve">持仓中减仓或平仓尝试；实际成交数量为0，仓位保持12，仅计入委托尝试，不计入实际开仓、加仓、减仓或最终平仓。 该关系待人工确认，未作为用户确认事实。</x:t>
  </x:si>
  <x:si>
    <x:t xml:space="preserve">2026-06-03 01:02:08</x:t>
  </x:si>
  <x:si>
    <x:t xml:space="preserve">68148</x:t>
  </x:si>
  <x:si>
    <x:t xml:space="preserve">持仓中减仓或平仓尝试；实际成交数量为0，仓位保持12，仅计入委托尝试，不计入实际开仓、加仓、减仓或最终平仓。 该关系为高置信度推断，不是用户确认事实。</x:t>
  </x:si>
  <x:si>
    <x:t xml:space="preserve">2026-06-03 01:04:23</x:t>
  </x:si>
  <x:si>
    <x:t xml:space="preserve">66400</x:t>
  </x:si>
  <x:si>
    <x:t xml:space="preserve">2026-06-03 01:49:19</x:t>
  </x:si>
  <x:si>
    <x:t xml:space="preserve">67397</x:t>
  </x:si>
  <x:si>
    <x:t xml:space="preserve">持仓中加仓尝试；实际成交数量为0，仓位保持12，仅计入委托尝试，不计入实际开仓、加仓、减仓或最终平仓。 该关系待人工确认，未作为用户确认事实。</x:t>
  </x:si>
  <x:si>
    <x:t xml:space="preserve">2026-06-03 01:50:46</x:t>
  </x:si>
  <x:si>
    <x:t xml:space="preserve">67391</x:t>
  </x:si>
  <x:si>
    <x:t xml:space="preserve">17</x:t>
  </x:si>
  <x:si>
    <x:t xml:space="preserve">实际加仓；订单相关委托实际成交5，仓位由12变为17；同一订单的1条Fill仅计为1张委托。 该关系为高置信度推断，不是用户确认事实。</x:t>
  </x:si>
  <x:si>
    <x:t xml:space="preserve">2026-06-03 01:51:51</x:t>
  </x:si>
  <x:si>
    <x:t xml:space="preserve">67921</x:t>
  </x:si>
  <x:si>
    <x:t xml:space="preserve">持仓中减仓或平仓尝试；实际成交数量为0，仓位保持17，仅计入委托尝试，不计入实际开仓、加仓、减仓或最终平仓。 该关系待人工确认，未作为用户确认事实。</x:t>
  </x:si>
  <x:si>
    <x:t xml:space="preserve">2026-06-03 01:54:27</x:t>
  </x:si>
  <x:si>
    <x:t xml:space="preserve">68074</x:t>
  </x:si>
  <x:si>
    <x:t xml:space="preserve">持仓中减仓或平仓尝试；实际成交数量为0，仓位保持17，仅计入委托尝试，不计入实际开仓、加仓、减仓或最终平仓。 该关系为高置信度推断，不是用户确认事实。</x:t>
  </x:si>
  <x:si>
    <x:t xml:space="preserve">2026-06-03 02:31:48</x:t>
  </x:si>
  <x:si>
    <x:t xml:space="preserve">67236</x:t>
  </x:si>
  <x:si>
    <x:t xml:space="preserve">27.852</x:t>
  </x:si>
  <x:si>
    <x:t xml:space="preserve">实际加仓；订单相关委托实际成交10.852，仓位由17变为27.852；同一订单的12条Fill仅计为1张委托。 该关系待人工确认，未作为用户确认事实。</x:t>
  </x:si>
  <x:si>
    <x:t xml:space="preserve">2026-06-03 02:32:16</x:t>
  </x:si>
  <x:si>
    <x:t xml:space="preserve">66600</x:t>
  </x:si>
  <x:si>
    <x:t xml:space="preserve">2026-06-03 02:32:40</x:t>
  </x:si>
  <x:si>
    <x:t xml:space="preserve">67640</x:t>
  </x:si>
  <x:si>
    <x:t xml:space="preserve">持仓中减仓或平仓尝试；实际成交数量为0，仓位保持27.852，仅计入委托尝试，不计入实际开仓、加仓、减仓或最终平仓。 该关系待人工确认，未作为用户确认事实。</x:t>
  </x:si>
  <x:si>
    <x:t xml:space="preserve">2026-06-03 02:33:48</x:t>
  </x:si>
  <x:si>
    <x:t xml:space="preserve">67598</x:t>
  </x:si>
  <x:si>
    <x:t xml:space="preserve">持仓中减仓或平仓尝试；实际成交数量为0，仓位保持27.852，仅计入委托尝试，不计入实际开仓、加仓、减仓或最终平仓。 该关系为高置信度推断，不是用户确认事实。 条件委托已过期不等于仓位已平仓；最终平仓以真实使仓位归零的成交为准。</x:t>
  </x:si>
  <x:si>
    <x:t xml:space="preserve">2026-06-03 02:44:45</x:t>
  </x:si>
  <x:si>
    <x:t xml:space="preserve">66527</x:t>
  </x:si>
  <x:si>
    <x:t xml:space="preserve">2026-06-03 03:28:56</x:t>
  </x:si>
  <x:si>
    <x:t xml:space="preserve">66526</x:t>
  </x:si>
  <x:si>
    <x:t xml:space="preserve">2026-06-03 03:33:28</x:t>
  </x:si>
  <x:si>
    <x:t xml:space="preserve">最终真实平仓；订单相关委托实际成交27.852，仓位由27.852变为0；同一订单的124条Fill仅计为1张委托。 该关系为高置信度推断，不是用户确认事实。</x:t>
  </x:si>
  <x:si>
    <x:t xml:space="preserve">未发现本周期归零前创建且在归零后仍取消/过期的残留委托；下一同合约周期为T050，其新开委托未计为本周期残留。</x:t>
  </x:si>
  <x:si>
    <x:t xml:space="preserve">2026-06-04 02:01:21</x:t>
  </x:si>
  <x:si>
    <x:t xml:space="preserve">66288</x:t>
  </x:si>
  <x:si>
    <x:t xml:space="preserve">2026-06-04 02:24:33</x:t>
  </x:si>
  <x:si>
    <x:t xml:space="preserve">66284</x:t>
  </x:si>
  <x:si>
    <x:t xml:space="preserve">2026-06-04 03:07:17</x:t>
  </x:si>
  <x:si>
    <x:t xml:space="preserve">65971</x:t>
  </x:si>
  <x:si>
    <x:t xml:space="preserve">首次开仓；订单相关委托实际成交5，仓位由0变为5；同一订单的13条Fill仅计为1张委托。 该关系为高置信度推断，不是用户确认事实。</x:t>
  </x:si>
  <x:si>
    <x:t xml:space="preserve">2026-06-04 03:10:06</x:t>
  </x:si>
  <x:si>
    <x:t xml:space="preserve">2026-06-04 03:25:56</x:t>
  </x:si>
  <x:si>
    <x:t xml:space="preserve">57889</x:t>
  </x:si>
  <x:si>
    <x:t xml:space="preserve">2026-06-04 03:37:30</x:t>
  </x:si>
  <x:si>
    <x:t xml:space="preserve">65704</x:t>
  </x:si>
  <x:si>
    <x:t xml:space="preserve">实际加仓；订单相关委托实际成交3，仓位由5变为8；同一订单的6条Fill仅计为1张委托。</x:t>
  </x:si>
  <x:si>
    <x:t xml:space="preserve">2026-06-04 03:38:28</x:t>
  </x:si>
  <x:si>
    <x:t xml:space="preserve">66160</x:t>
  </x:si>
  <x:si>
    <x:t xml:space="preserve">2026-06-04 03:39:00</x:t>
  </x:si>
  <x:si>
    <x:t xml:space="preserve">60668</x:t>
  </x:si>
  <x:si>
    <x:t xml:space="preserve">2026-06-04 03:39:36</x:t>
  </x:si>
  <x:si>
    <x:t xml:space="preserve">66700</x:t>
  </x:si>
  <x:si>
    <x:t xml:space="preserve">2026-06-04 03:41:57</x:t>
  </x:si>
  <x:si>
    <x:t xml:space="preserve">65820</x:t>
  </x:si>
  <x:si>
    <x:t xml:space="preserve">2026-06-04 03:42:39</x:t>
  </x:si>
  <x:si>
    <x:t xml:space="preserve">66200</x:t>
  </x:si>
  <x:si>
    <x:t xml:space="preserve">2026-06-04 03:42:56</x:t>
  </x:si>
  <x:si>
    <x:t xml:space="preserve">2026-06-04 04:10:57</x:t>
  </x:si>
  <x:si>
    <x:t xml:space="preserve">65826</x:t>
  </x:si>
  <x:si>
    <x:t xml:space="preserve">2026-06-04 04:14:44</x:t>
  </x:si>
  <x:si>
    <x:t xml:space="preserve">2026-06-04 04:32:59</x:t>
  </x:si>
  <x:si>
    <x:t xml:space="preserve">66300</x:t>
  </x:si>
  <x:si>
    <x:t xml:space="preserve">2026-06-04 04:33:17</x:t>
  </x:si>
  <x:si>
    <x:t xml:space="preserve">2026-06-04 04:57:03</x:t>
  </x:si>
  <x:si>
    <x:t xml:space="preserve">66150</x:t>
  </x:si>
  <x:si>
    <x:t xml:space="preserve">2026-06-04 04:57:36</x:t>
  </x:si>
  <x:si>
    <x:t xml:space="preserve">66500</x:t>
  </x:si>
  <x:si>
    <x:t xml:space="preserve">2026-06-04 05:14:12</x:t>
  </x:si>
  <x:si>
    <x:t xml:space="preserve">2026-06-04 05:25:31</x:t>
  </x:si>
  <x:si>
    <x:t xml:space="preserve">2026-06-04 05:32:47</x:t>
  </x:si>
  <x:si>
    <x:t xml:space="preserve">2026-06-04 05:35:10</x:t>
  </x:si>
  <x:si>
    <x:t xml:space="preserve">2026-06-04 05:35:23</x:t>
  </x:si>
  <x:si>
    <x:t xml:space="preserve">2026-06-04 05:56:59</x:t>
  </x:si>
  <x:si>
    <x:t xml:space="preserve">65830</x:t>
  </x:si>
  <x:si>
    <x:t xml:space="preserve">2026-06-04 05:57:31</x:t>
  </x:si>
  <x:si>
    <x:t xml:space="preserve">65860</x:t>
  </x:si>
  <x:si>
    <x:t xml:space="preserve">2026-06-04 05:58:51</x:t>
  </x:si>
  <x:si>
    <x:t xml:space="preserve">65780</x:t>
  </x:si>
  <x:si>
    <x:t xml:space="preserve">2026-06-04 05:59:54</x:t>
  </x:si>
  <x:si>
    <x:t xml:space="preserve">65706</x:t>
  </x:si>
  <x:si>
    <x:t xml:space="preserve">无可确认的上一委托关系</x:t>
  </x:si>
  <x:si>
    <x:t xml:space="preserve">最终真实平仓；订单相关委托实际成交8，仓位由8变为0；同一订单的8条Fill仅计为1张委托。</x:t>
  </x:si>
  <x:si>
    <x:t xml:space="preserve">2026-06-04 06:00:03</x:t>
  </x:si>
  <x:si>
    <x:t xml:space="preserve">未发现本周期归零前创建且在归零后仍取消/过期的残留委托；下一同合约周期为T070，其新开委托未计为本周期残留。</x:t>
  </x:si>
  <x:si>
    <x:t xml:space="preserve">2026-06-05 18:33:24</x:t>
  </x:si>
  <x:si>
    <x:t xml:space="preserve">63180</x:t>
  </x:si>
  <x:si>
    <x:t xml:space="preserve">2026-06-05 21:32:55</x:t>
  </x:si>
  <x:si>
    <x:t xml:space="preserve">62477</x:t>
  </x:si>
  <x:si>
    <x:t xml:space="preserve">2026-06-05 21:39:59</x:t>
  </x:si>
  <x:si>
    <x:t xml:space="preserve">63111</x:t>
  </x:si>
  <x:si>
    <x:t xml:space="preserve">2026-06-05 21:56:28</x:t>
  </x:si>
  <x:si>
    <x:t xml:space="preserve">61053</x:t>
  </x:si>
  <x:si>
    <x:t xml:space="preserve">0.2</x:t>
  </x:si>
  <x:si>
    <x:t xml:space="preserve">首次开仓；订单相关委托实际成交0.2，仓位由0变为0.2；同一订单的2条Fill仅计为1张委托。 该关系为高置信度推断，不是用户确认事实。</x:t>
  </x:si>
  <x:si>
    <x:t xml:space="preserve">2026-06-05 22:04:33</x:t>
  </x:si>
  <x:si>
    <x:t xml:space="preserve">60556</x:t>
  </x:si>
  <x:si>
    <x:t xml:space="preserve">0.3</x:t>
  </x:si>
  <x:si>
    <x:t xml:space="preserve">实际加仓；订单相关委托实际成交0.1，仓位由0.2变为0.3；同一订单的1条Fill仅计为1张委托。</x:t>
  </x:si>
  <x:si>
    <x:t xml:space="preserve">2026-06-05 22:09:35</x:t>
  </x:si>
  <x:si>
    <x:t xml:space="preserve">61200</x:t>
  </x:si>
  <x:si>
    <x:t xml:space="preserve">0.1</x:t>
  </x:si>
  <x:si>
    <x:t xml:space="preserve">实际减仓；订单相关委托实际成交0.2，仓位由0.3变为0.1；同一订单的1条Fill仅计为1张委托。 该关系待人工确认，未作为用户确认事实。</x:t>
  </x:si>
  <x:si>
    <x:t xml:space="preserve">2026-06-05 22:24:32</x:t>
  </x:si>
  <x:si>
    <x:t xml:space="preserve">60511</x:t>
  </x:si>
  <x:si>
    <x:t xml:space="preserve">实际加仓；订单相关委托实际成交0.1，仓位由0.1变为0.2；同一订单的1条Fill仅计为1张委托。 该关系待人工确认，未作为用户确认事实。</x:t>
  </x:si>
  <x:si>
    <x:t xml:space="preserve">2026-06-05 22:30:36</x:t>
  </x:si>
  <x:si>
    <x:t xml:space="preserve">60360</x:t>
  </x:si>
  <x:si>
    <x:t xml:space="preserve">实际加仓；订单相关委托实际成交0.1，仓位由0.2变为0.3；同一订单的1条Fill仅计为1张委托。 该关系待人工确认，未作为用户确认事实。</x:t>
  </x:si>
  <x:si>
    <x:t xml:space="preserve">2026-06-05 22:50:05</x:t>
  </x:si>
  <x:si>
    <x:t xml:space="preserve">60640</x:t>
  </x:si>
  <x:si>
    <x:t xml:space="preserve">2026-06-05 22:55:24</x:t>
  </x:si>
  <x:si>
    <x:t xml:space="preserve">最终真实平仓；订单相关委托实际成交0.3，仓位由0.3变为0；同一订单的1条Fill仅计为1张委托。 该关系待人工确认，未作为用户确认事实。</x:t>
  </x:si>
  <x:si>
    <x:t xml:space="preserve">未发现本周期归零前创建且在归零后仍取消/过期的残留委托；下一同合约周期为T088，其新开委托未计为本周期残留。</x:t>
  </x:si>
  <x:si>
    <x:t xml:space="preserve">2026-06-17 07:24:26</x:t>
  </x:si>
  <x:si>
    <x:t xml:space="preserve">65880</x:t>
  </x:si>
  <x:si>
    <x:t xml:space="preserve">2026-06-17 07:43:00</x:t>
  </x:si>
  <x:si>
    <x:t xml:space="preserve">66548</x:t>
  </x:si>
  <x:si>
    <x:t xml:space="preserve">2026-06-17 08:02:27</x:t>
  </x:si>
  <x:si>
    <x:t xml:space="preserve">65878</x:t>
  </x:si>
  <x:si>
    <x:t xml:space="preserve">2026-06-17 08:10:50</x:t>
  </x:si>
  <x:si>
    <x:t xml:space="preserve">2026-06-17 08:12:26</x:t>
  </x:si>
  <x:si>
    <x:t xml:space="preserve">66487</x:t>
  </x:si>
  <x:si>
    <x:t xml:space="preserve">2026-06-17 16:36:29</x:t>
  </x:si>
  <x:si>
    <x:t xml:space="preserve">65132</x:t>
  </x:si>
  <x:si>
    <x:t xml:space="preserve">2026-06-17 18:52:10</x:t>
  </x:si>
  <x:si>
    <x:t xml:space="preserve">64888</x:t>
  </x:si>
  <x:si>
    <x:t xml:space="preserve">2026-06-17 18:56:45</x:t>
  </x:si>
  <x:si>
    <x:t xml:space="preserve">64880</x:t>
  </x:si>
  <x:si>
    <x:t xml:space="preserve">2026-06-17 19:04:46</x:t>
  </x:si>
  <x:si>
    <x:t xml:space="preserve">64704.6</x:t>
  </x:si>
  <x:si>
    <x:t xml:space="preserve">2026-06-17 19:06:20</x:t>
  </x:si>
  <x:si>
    <x:t xml:space="preserve">64878</x:t>
  </x:si>
  <x:si>
    <x:t xml:space="preserve">2026-06-17 20:22:34</x:t>
  </x:si>
  <x:si>
    <x:t xml:space="preserve">64867</x:t>
  </x:si>
  <x:si>
    <x:t xml:space="preserve">2026-06-17 21:37:46</x:t>
  </x:si>
  <x:si>
    <x:t xml:space="preserve">65211</x:t>
  </x:si>
  <x:si>
    <x:t xml:space="preserve">首次开仓；订单相关委托实际成交5，仓位由0变为5；同一订单的21条Fill仅计为1张委托。 该关系为高置信度推断，不是用户确认事实。</x:t>
  </x:si>
  <x:si>
    <x:t xml:space="preserve">2026-06-17 21:39:24</x:t>
  </x:si>
  <x:si>
    <x:t xml:space="preserve">62446</x:t>
  </x:si>
  <x:si>
    <x:t xml:space="preserve">68800</x:t>
  </x:si>
  <x:si>
    <x:t xml:space="preserve">2026-06-17 21:52:53</x:t>
  </x:si>
  <x:si>
    <x:t xml:space="preserve">65437</x:t>
  </x:si>
  <x:si>
    <x:t xml:space="preserve">持仓中加仓尝试；实际成交数量为0，仓位保持5，仅计入委托尝试，不计入实际开仓、加仓、减仓或最终平仓。 该关系为高置信度推断，不是用户确认事实。</x:t>
  </x:si>
  <x:si>
    <x:t xml:space="preserve">2026-06-17 22:15:48</x:t>
  </x:si>
  <x:si>
    <x:t xml:space="preserve">2026-06-17 22:17:57</x:t>
  </x:si>
  <x:si>
    <x:t xml:space="preserve">65433</x:t>
  </x:si>
  <x:si>
    <x:t xml:space="preserve">2026-06-17 22:49:38</x:t>
  </x:si>
  <x:si>
    <x:t xml:space="preserve">73000</x:t>
  </x:si>
  <x:si>
    <x:t xml:space="preserve">2026-06-17 22:55:34</x:t>
  </x:si>
  <x:si>
    <x:t xml:space="preserve">65497</x:t>
  </x:si>
  <x:si>
    <x:t xml:space="preserve">2026-06-17 23:04:56</x:t>
  </x:si>
  <x:si>
    <x:t xml:space="preserve">65487</x:t>
  </x:si>
  <x:si>
    <x:t xml:space="preserve">2026-06-17 23:28:54</x:t>
  </x:si>
  <x:si>
    <x:t xml:space="preserve">2026-06-17 23:38:35</x:t>
  </x:si>
  <x:si>
    <x:t xml:space="preserve">6.226</x:t>
  </x:si>
  <x:si>
    <x:t xml:space="preserve">实际加仓；订单相关委托实际成交1.226，仓位由5变为6.226；同一订单的1条Fill仅计为1张委托。 该关系待人工确认，未作为用户确认事实。</x:t>
  </x:si>
  <x:si>
    <x:t xml:space="preserve">2026-06-17 23:39:33</x:t>
  </x:si>
  <x:si>
    <x:t xml:space="preserve">65532</x:t>
  </x:si>
  <x:si>
    <x:t xml:space="preserve">持仓中加仓尝试；实际成交数量为0，仓位保持6.226，仅计入委托尝试，不计入实际开仓、加仓、减仓或最终平仓。 该关系为高置信度推断，不是用户确认事实。</x:t>
  </x:si>
  <x:si>
    <x:t xml:space="preserve">2026-06-17 23:43:45</x:t>
  </x:si>
  <x:si>
    <x:t xml:space="preserve">69000</x:t>
  </x:si>
  <x:si>
    <x:t xml:space="preserve">2026-06-17 23:50:03</x:t>
  </x:si>
  <x:si>
    <x:t xml:space="preserve">65721</x:t>
  </x:si>
  <x:si>
    <x:t xml:space="preserve">10.026</x:t>
  </x:si>
  <x:si>
    <x:t xml:space="preserve">实际加仓；订单相关委托实际成交3.8，仓位由6.226变为10.026；同一订单的15条Fill仅计为1张委托。 该关系为高置信度推断，不是用户确认事实。</x:t>
  </x:si>
  <x:si>
    <x:t xml:space="preserve">2026-06-17 23:51:04</x:t>
  </x:si>
  <x:si>
    <x:t xml:space="preserve">65827.9</x:t>
  </x:si>
  <x:si>
    <x:t xml:space="preserve">持仓中加仓尝试；实际成交数量为0，仓位保持10.026，仅计入委托尝试，不计入实际开仓、加仓、减仓或最终平仓。 该关系待人工确认，未作为用户确认事实。</x:t>
  </x:si>
  <x:si>
    <x:t xml:space="preserve">2026-06-17 23:52:16</x:t>
  </x:si>
  <x:si>
    <x:t xml:space="preserve">64889</x:t>
  </x:si>
  <x:si>
    <x:t xml:space="preserve">持仓中减仓或平仓尝试；实际成交数量为0，仓位保持10.026，仅计入委托尝试，不计入实际开仓、加仓、减仓或最终平仓。 该关系待人工确认，未作为用户确认事实。</x:t>
  </x:si>
  <x:si>
    <x:t xml:space="preserve">2026-06-18 00:00:16</x:t>
  </x:si>
  <x:si>
    <x:t xml:space="preserve">67800</x:t>
  </x:si>
  <x:si>
    <x:t xml:space="preserve">2026-06-18 00:01:11</x:t>
  </x:si>
  <x:si>
    <x:t xml:space="preserve">68500</x:t>
  </x:si>
  <x:si>
    <x:t xml:space="preserve">2026-06-18 00:17:38</x:t>
  </x:si>
  <x:si>
    <x:t xml:space="preserve">2026-06-18 00:36:13</x:t>
  </x:si>
  <x:si>
    <x:t xml:space="preserve">65389</x:t>
  </x:si>
  <x:si>
    <x:t xml:space="preserve">2026-06-18 00:41:58</x:t>
  </x:si>
  <x:si>
    <x:t xml:space="preserve">2026-06-18 00:51:15</x:t>
  </x:si>
  <x:si>
    <x:t xml:space="preserve">65436</x:t>
  </x:si>
  <x:si>
    <x:t xml:space="preserve">持仓中减仓或平仓尝试；实际成交数量为0，仓位保持10.026，仅计入委托尝试，不计入实际开仓、加仓、减仓或最终平仓。 该关系为高置信度推断，不是用户确认事实。</x:t>
  </x:si>
  <x:si>
    <x:t xml:space="preserve">2026-06-18 01:33:10</x:t>
  </x:si>
  <x:si>
    <x:t xml:space="preserve">69700</x:t>
  </x:si>
  <x:si>
    <x:t xml:space="preserve">2026-06-18 02:00:24</x:t>
  </x:si>
  <x:si>
    <x:t xml:space="preserve">65468</x:t>
  </x:si>
  <x:si>
    <x:t xml:space="preserve">最终真实平仓；订单相关委托实际成交10.026，仓位由10.026变为0；同一订单的1条Fill仅计为1张委托。 该关系为高置信度推断，不是用户确认事实。</x:t>
  </x:si>
  <x:si>
    <x:t xml:space="preserve">未发现本周期归零前创建且在归零后仍取消/过期的残留委托；下一同合约周期为T121，其新开委托未计为本周期残留。</x:t>
  </x:si>
  <x:si>
    <x:t xml:space="preserve">2026-06-18 20:54:45</x:t>
  </x:si>
  <x:si>
    <x:t xml:space="preserve">2110</x:t>
  </x:si>
  <x:si>
    <x:t xml:space="preserve">2026-06-18 21:24:57</x:t>
  </x:si>
  <x:si>
    <x:t xml:space="preserve">2107</x:t>
  </x:si>
  <x:si>
    <x:t xml:space="preserve">2026-06-18 21:32:13</x:t>
  </x:si>
  <x:si>
    <x:t xml:space="preserve">2090</x:t>
  </x:si>
  <x:si>
    <x:t xml:space="preserve">2026-06-18 21:38:59</x:t>
  </x:si>
  <x:si>
    <x:t xml:space="preserve">2095</x:t>
  </x:si>
  <x:si>
    <x:t xml:space="preserve">100</x:t>
  </x:si>
  <x:si>
    <x:t xml:space="preserve">首次开仓；订单相关委托实际成交100，仓位由0变为100；同一订单的9条Fill仅计为1张委托。 该关系为高置信度推断，不是用户确认事实。</x:t>
  </x:si>
  <x:si>
    <x:t xml:space="preserve">2068</x:t>
  </x:si>
  <x:si>
    <x:t xml:space="preserve">2026-06-18 21:39:17</x:t>
  </x:si>
  <x:si>
    <x:t xml:space="preserve">2094</x:t>
  </x:si>
  <x:si>
    <x:t xml:space="preserve">持仓中减仓或平仓尝试；实际成交数量为0，仓位保持100，仅计入委托尝试，不计入实际开仓、加仓、减仓或最终平仓。 该关系为高置信度推断，不是用户确认事实。</x:t>
  </x:si>
  <x:si>
    <x:t xml:space="preserve">2026-06-18 22:00:50</x:t>
  </x:si>
  <x:si>
    <x:t xml:space="preserve">2135.2</x:t>
  </x:si>
  <x:si>
    <x:t xml:space="preserve">200</x:t>
  </x:si>
  <x:si>
    <x:t xml:space="preserve">实际加仓；订单相关委托实际成交100，仓位由100变为200；同一订单的16条Fill仅计为1张委托。 该关系待人工确认，未作为用户确认事实。</x:t>
  </x:si>
  <x:si>
    <x:t xml:space="preserve">2026-06-18 22:01:24</x:t>
  </x:si>
  <x:si>
    <x:t xml:space="preserve">2300</x:t>
  </x:si>
  <x:si>
    <x:t xml:space="preserve">2026-06-18 22:01:42</x:t>
  </x:si>
  <x:si>
    <x:t xml:space="preserve">2115</x:t>
  </x:si>
  <x:si>
    <x:t xml:space="preserve">持仓中减仓或平仓尝试；实际成交数量为0，仓位保持200，仅计入委托尝试，不计入实际开仓、加仓、减仓或最终平仓。 该关系待人工确认，未作为用户确认事实。 条件委托已过期不等于仓位已平仓；最终平仓以真实使仓位归零的成交为准。</x:t>
  </x:si>
  <x:si>
    <x:t xml:space="preserve">2026-06-18 22:20:04</x:t>
  </x:si>
  <x:si>
    <x:t xml:space="preserve">2175</x:t>
  </x:si>
  <x:si>
    <x:t xml:space="preserve">持仓中加仓尝试；实际成交数量为0，仓位保持200，仅计入委托尝试，不计入实际开仓、加仓、减仓或最终平仓。 该关系待人工确认，未作为用户确认事实。</x:t>
  </x:si>
  <x:si>
    <x:t xml:space="preserve">2026-06-18 22:28:01</x:t>
  </x:si>
  <x:si>
    <x:t xml:space="preserve">2123</x:t>
  </x:si>
  <x:si>
    <x:t xml:space="preserve">持仓中减仓或平仓尝试；实际成交数量为0，仓位保持200，仅计入委托尝试，不计入实际开仓、加仓、减仓或最终平仓。 该关系待人工确认，未作为用户确认事实。</x:t>
  </x:si>
  <x:si>
    <x:t xml:space="preserve">2026-06-18 22:28:14</x:t>
  </x:si>
  <x:si>
    <x:t xml:space="preserve">2126</x:t>
  </x:si>
  <x:si>
    <x:t xml:space="preserve">持仓中减仓或平仓尝试；实际成交数量为0，仓位保持200，仅计入委托尝试，不计入实际开仓、加仓、减仓或最终平仓。 该关系为高置信度推断，不是用户确认事实。</x:t>
  </x:si>
  <x:si>
    <x:t xml:space="preserve">2026-06-18 22:33:24</x:t>
  </x:si>
  <x:si>
    <x:t xml:space="preserve">2116</x:t>
  </x:si>
  <x:si>
    <x:t xml:space="preserve">2026-06-18 23:07:08</x:t>
  </x:si>
  <x:si>
    <x:t xml:space="preserve">2180</x:t>
  </x:si>
  <x:si>
    <x:t xml:space="preserve">2026-06-18 23:15:30</x:t>
  </x:si>
  <x:si>
    <x:t xml:space="preserve">2121</x:t>
  </x:si>
  <x:si>
    <x:t xml:space="preserve">2026-06-18 23:34:38</x:t>
  </x:si>
  <x:si>
    <x:t xml:space="preserve">2182.71</x:t>
  </x:si>
  <x:si>
    <x:t xml:space="preserve">持仓中加仓尝试；实际成交数量为0，仓位保持200，仅计入委托尝试，不计入实际开仓、加仓、减仓或最终平仓。 该关系为高置信度推断，不是用户确认事实。</x:t>
  </x:si>
  <x:si>
    <x:t xml:space="preserve">2026-06-19 00:01:40</x:t>
  </x:si>
  <x:si>
    <x:t xml:space="preserve">2026-06-19 00:22:22</x:t>
  </x:si>
  <x:si>
    <x:t xml:space="preserve">2136</x:t>
  </x:si>
  <x:si>
    <x:t xml:space="preserve">2026-06-19 00:29:36</x:t>
  </x:si>
  <x:si>
    <x:t xml:space="preserve">2026-06-19 01:13:57</x:t>
  </x:si>
  <x:si>
    <x:t xml:space="preserve">2177.98</x:t>
  </x:si>
  <x:si>
    <x:t xml:space="preserve">2026-06-19 01:19:30</x:t>
  </x:si>
  <x:si>
    <x:t xml:space="preserve">2177.15</x:t>
  </x:si>
  <x:si>
    <x:t xml:space="preserve">2026-06-19 01:24:09</x:t>
  </x:si>
  <x:si>
    <x:t xml:space="preserve">2182.39</x:t>
  </x:si>
  <x:si>
    <x:t xml:space="preserve">2026-06-19 01:38:52</x:t>
  </x:si>
  <x:si>
    <x:t xml:space="preserve">2158</x:t>
  </x:si>
  <x:si>
    <x:t xml:space="preserve">2026-06-19 01:52:47</x:t>
  </x:si>
  <x:si>
    <x:t xml:space="preserve">2200</x:t>
  </x:si>
  <x:si>
    <x:t xml:space="preserve">2026-06-19 01:53:26</x:t>
  </x:si>
  <x:si>
    <x:t xml:space="preserve">2230</x:t>
  </x:si>
  <x:si>
    <x:t xml:space="preserve">2026-06-19 01:54:41</x:t>
  </x:si>
  <x:si>
    <x:t xml:space="preserve">2161</x:t>
  </x:si>
  <x:si>
    <x:t xml:space="preserve">持仓中减仓或平仓尝试；实际成交数量为0，仓位保持200，仅计入委托尝试，不计入实际开仓、加仓、减仓或最终平仓。 该关系为高置信度推断，不是用户确认事实。 条件委托已过期不等于仓位已平仓；最终平仓以真实使仓位归零的成交为准。</x:t>
  </x:si>
  <x:si>
    <x:t xml:space="preserve">2026-06-19 02:13:06</x:t>
  </x:si>
  <x:si>
    <x:t xml:space="preserve">最终真实平仓；订单相关委托实际成交200，仓位由200变为0；同一订单的189条Fill仅计为1张委托。 该关系为高置信度推断，不是用户确认事实。</x:t>
  </x:si>
  <x:si>
    <x:t xml:space="preserve">未发现本周期归零前创建且在归零后仍取消/过期的残留委托；此后没有同合约周期。</x:t>
  </x:si>
  <x:si>
    <x:t xml:space="preserve">2026-06-19 15:52:38</x:t>
  </x:si>
  <x:si>
    <x:t xml:space="preserve">62860</x:t>
  </x:si>
  <x:si>
    <x:t xml:space="preserve">2026-06-19 17:08:46</x:t>
  </x:si>
  <x:si>
    <x:t xml:space="preserve">62807</x:t>
  </x:si>
  <x:si>
    <x:t xml:space="preserve">2026-06-19 17:26:09</x:t>
  </x:si>
  <x:si>
    <x:t xml:space="preserve">62776</x:t>
  </x:si>
  <x:si>
    <x:t xml:space="preserve">2026-06-19 19:46:37</x:t>
  </x:si>
  <x:si>
    <x:t xml:space="preserve">2026-06-19 20:12:54</x:t>
  </x:si>
  <x:si>
    <x:t xml:space="preserve">62635.5</x:t>
  </x:si>
  <x:si>
    <x:t xml:space="preserve">2026-06-19 20:19:08</x:t>
  </x:si>
  <x:si>
    <x:t xml:space="preserve">62550</x:t>
  </x:si>
  <x:si>
    <x:t xml:space="preserve">2026-06-19 20:19:54</x:t>
  </x:si>
  <x:si>
    <x:t xml:space="preserve">2026-06-19 20:28:02</x:t>
  </x:si>
  <x:si>
    <x:t xml:space="preserve">62509.1</x:t>
  </x:si>
  <x:si>
    <x:t xml:space="preserve">10</x:t>
  </x:si>
  <x:si>
    <x:t xml:space="preserve">首次开仓；订单相关委托实际成交10，仓位由0变为10；同一订单的3条Fill仅计为1张委托。 该关系为高置信度推断，不是用户确认事实。</x:t>
  </x:si>
  <x:si>
    <x:t xml:space="preserve">2026-06-19 20:40:59</x:t>
  </x:si>
  <x:si>
    <x:t xml:space="preserve">62622</x:t>
  </x:si>
  <x:si>
    <x:t xml:space="preserve">持仓中加仓尝试；实际成交数量为0，仓位保持10，仅计入委托尝试，不计入实际开仓、加仓、减仓或最终平仓。 该关系待人工确认，未作为用户确认事实。</x:t>
  </x:si>
  <x:si>
    <x:t xml:space="preserve">2026-06-19 20:51:28</x:t>
  </x:si>
  <x:si>
    <x:t xml:space="preserve">15</x:t>
  </x:si>
  <x:si>
    <x:t xml:space="preserve">实际加仓；订单相关委托实际成交5，仓位由10变为15；同一订单的3条Fill仅计为1张委托。 该关系为高置信度推断，不是用户确认事实。</x:t>
  </x:si>
  <x:si>
    <x:t xml:space="preserve">2026-06-19 20:52:18</x:t>
  </x:si>
  <x:si>
    <x:t xml:space="preserve">62506</x:t>
  </x:si>
  <x:si>
    <x:t xml:space="preserve">持仓中减仓或平仓尝试；实际成交数量为0，仓位保持15，仅计入委托尝试，不计入实际开仓、加仓、减仓或最终平仓。 该关系待人工确认，未作为用户确认事实。</x:t>
  </x:si>
  <x:si>
    <x:t xml:space="preserve">2026-06-19 21:04:53</x:t>
  </x:si>
  <x:si>
    <x:t xml:space="preserve">63800</x:t>
  </x:si>
  <x:si>
    <x:t xml:space="preserve">未找到可靠的前序同类条件委托，不建立修改链</x:t>
  </x:si>
  <x:si>
    <x:t xml:space="preserve">条件委托已取消；未发现对应真实成交，取消原因不可得。 该关系待人工确认，未作为用户确认事实。</x:t>
  </x:si>
  <x:si>
    <x:t xml:space="preserve">2026-06-19 21:45:29</x:t>
  </x:si>
  <x:si>
    <x:t xml:space="preserve">64050</x:t>
  </x:si>
  <x:si>
    <x:t xml:space="preserve">两张同类条件委托时间相近，但数量、状态或归属证据不足，仅列为可能相关</x:t>
  </x:si>
  <x:si>
    <x:t xml:space="preserve">条件委托已取消；未发现对应真实成交，取消原因不可得。 两张同类条件委托时间相近，但数量、状态或归属证据不足，仅列为可能相关；该关系等待人工确认。 该关系待人工确认，未作为用户确认事实。</x:t>
  </x:si>
  <x:si>
    <x:t xml:space="preserve">2026-06-20 04:49:32</x:t>
  </x:si>
  <x:si>
    <x:t xml:space="preserve">62516</x:t>
  </x:si>
  <x:si>
    <x:t xml:space="preserve">2026-06-20 05:09:56</x:t>
  </x:si>
  <x:si>
    <x:t xml:space="preserve">2026-06-20 14:45:57</x:t>
  </x:si>
  <x:si>
    <x:t xml:space="preserve">买入委托；执行方式：限价；仓位作用：部分减仓</x:t>
  </x:si>
  <x:si>
    <x:t xml:space="preserve">63716</x:t>
  </x:si>
  <x:si>
    <x:t xml:space="preserve">7.5</x:t>
  </x:si>
  <x:si>
    <x:t xml:space="preserve">实际减仓；订单相关委托实际成交7.5，仓位由15变为7.5；同一订单的1条Fill仅计为1张委托。</x:t>
  </x:si>
  <x:si>
    <x:t xml:space="preserve">2026-06-20 08:02:45</x:t>
  </x:si>
  <x:si>
    <x:t xml:space="preserve">64095</x:t>
  </x:si>
  <x:si>
    <x:t xml:space="preserve">2026-06-20 14:46:25</x:t>
  </x:si>
  <x:si>
    <x:t xml:space="preserve">64300</x:t>
  </x:si>
  <x:si>
    <x:t xml:space="preserve">2026-06-20 14:52:40</x:t>
  </x:si>
  <x:si>
    <x:t xml:space="preserve">64500</x:t>
  </x:si>
  <x:si>
    <x:t xml:space="preserve">2026-06-20 15:00:42</x:t>
  </x:si>
  <x:si>
    <x:t xml:space="preserve">58222</x:t>
  </x:si>
  <x:si>
    <x:t xml:space="preserve">2026-06-20 21:49:02</x:t>
  </x:si>
  <x:si>
    <x:t xml:space="preserve">61123</x:t>
  </x:si>
  <x:si>
    <x:t xml:space="preserve">2026-06-20 21:49:17</x:t>
  </x:si>
  <x:si>
    <x:t xml:space="preserve">59666</x:t>
  </x:si>
  <x:si>
    <x:t xml:space="preserve">2026-06-20 21:51:48</x:t>
  </x:si>
  <x:si>
    <x:t xml:space="preserve">58336</x:t>
  </x:si>
  <x:si>
    <x:t xml:space="preserve">2026-06-20 23:00:10</x:t>
  </x:si>
  <x:si>
    <x:t xml:space="preserve">64811</x:t>
  </x:si>
  <x:si>
    <x:t xml:space="preserve">2026-06-20 23:02:06</x:t>
  </x:si>
  <x:si>
    <x:t xml:space="preserve">62389</x:t>
  </x:si>
  <x:si>
    <x:t xml:space="preserve">持仓中减仓或平仓尝试；实际成交数量为0，仓位保持7.5，仅计入委托尝试，不计入实际开仓、加仓、减仓或最终平仓。 该关系为高置信度推断，不是用户确认事实。</x:t>
  </x:si>
  <x:si>
    <x:t xml:space="preserve">2026-06-21 06:05:32</x:t>
  </x:si>
  <x:si>
    <x:t xml:space="preserve">64200</x:t>
  </x:si>
  <x:si>
    <x:t xml:space="preserve">2026-06-21 06:06:14</x:t>
  </x:si>
  <x:si>
    <x:t xml:space="preserve">62668</x:t>
  </x:si>
  <x:si>
    <x:t xml:space="preserve">2026-06-21 06:06:53</x:t>
  </x:si>
  <x:si>
    <x:t xml:space="preserve">64400</x:t>
  </x:si>
  <x:si>
    <x:t xml:space="preserve">2026-06-21 06:13:41</x:t>
  </x:si>
  <x:si>
    <x:t xml:space="preserve">64066</x:t>
  </x:si>
  <x:si>
    <x:t xml:space="preserve">持仓中减仓或平仓尝试；实际成交数量为0，仓位保持7.5，仅计入委托尝试，不计入实际开仓、加仓、减仓或最终平仓。 该关系待人工确认，未作为用户确认事实。 条件委托已过期不等于仓位已平仓；最终平仓以真实使仓位归零的成交为准。</x:t>
  </x:si>
  <x:si>
    <x:t xml:space="preserve">2026-06-21 06:16:02</x:t>
  </x:si>
  <x:si>
    <x:t xml:space="preserve">64800</x:t>
  </x:si>
  <x:si>
    <x:t xml:space="preserve">2026-06-21 06:25:39</x:t>
  </x:si>
  <x:si>
    <x:t xml:space="preserve">64133</x:t>
  </x:si>
  <x:si>
    <x:t xml:space="preserve">持仓中减仓或平仓尝试；实际成交数量为0，仓位保持7.5，仅计入委托尝试，不计入实际开仓、加仓、减仓或最终平仓。 该关系为高置信度推断，不是用户确认事实。 条件委托已过期不等于仓位已平仓；最终平仓以真实使仓位归零的成交为准。</x:t>
  </x:si>
  <x:si>
    <x:t xml:space="preserve">2026-06-21 06:28:14</x:t>
  </x:si>
  <x:si>
    <x:t xml:space="preserve">64256</x:t>
  </x:si>
  <x:si>
    <x:t xml:space="preserve">最终真实平仓；订单相关委托实际成交7.5，仓位由7.5变为0；同一订单的34条Fill仅计为1张委托。 该关系为高置信度推断，不是用户确认事实。</x:t>
  </x:si>
  <x:si>
    <x:t xml:space="preserve">2026-06-21 06:30:32</x:t>
  </x:si>
  <x:si>
    <x:t xml:space="preserve">未发现本周期归零前创建且在归零后仍取消/过期的残留委托；下一同合约周期为T126，其新开委托未计为本周期残留。</x:t>
  </x:si>
  <x:si>
    <x:t xml:space="preserve">账户资金轨迹｜已确认资金事件滚动值</x:t>
  </x:si>
  <x:si>
    <x:t xml:space="preserve">已确认资金事件滚动值只累计现有证据能够确认的资金事件，不等于实时账户余额或实时总权益。自动跟单仅列为“自动跟单影响”。</x:t>
  </x:si>
  <x:si>
    <x:t xml:space="preserve">前一实际08:00总资产</x:t>
  </x:si>
  <x:si>
    <x:t xml:space="preserve">开仓前已确认事件滚动值</x:t>
  </x:si>
  <x:si>
    <x:t xml:space="preserve">其他主动交易影响</x:t>
  </x:si>
  <x:si>
    <x:t xml:space="preserve">其他账户事件</x:t>
  </x:si>
  <x:si>
    <x:t xml:space="preserve">平仓后已确认事件滚动值</x:t>
  </x:si>
  <x:si>
    <x:t xml:space="preserve">后一实际08:00总资产</x:t>
  </x:si>
  <x:si>
    <x:t xml:space="preserve">展示限制说明</x:t>
  </x:si>
  <x:si>
    <x:t xml:space="preserve">人工复盘完成清单｜唯一人工输入区</x:t>
  </x:si>
  <x:si>
    <x:t xml:space="preserve">浅黄色蓝字为22个人工可编辑字段；程序只按T/U编号迁移9笔仍保留交易的既有内容。新增样本缺失项保持“待填写”或空白，不把空白改为0。</x:t>
  </x:si>
  <x:si>
    <x:t xml:space="preserve">为什么多次撤单</x:t>
  </x:si>
  <x:si>
    <x:t xml:space="preserve">是否确认方向切换</x:t>
  </x:si>
  <x:si>
    <x:t xml:space="preserve">为什么加仓</x:t>
  </x:si>
  <x:si>
    <x:t xml:space="preserve">为什么反复挂单或撤单</x:t>
  </x:si>
  <x:si>
    <x:t xml:space="preserve">为什么调整止损</x:t>
  </x:si>
  <x:si>
    <x:t xml:space="preserve">最大浮盈</x:t>
  </x:si>
  <x:si>
    <x:t xml:space="preserve">最大浮亏</x:t>
  </x:si>
  <x:si>
    <x:t xml:space="preserve">是否完成复盘</x:t>
  </x:si>
  <x:si>
    <x:t xml:space="preserve">完成日期</x:t>
  </x:si>
  <x:si>
    <x:t xml:space="preserve">补充证据</x:t>
  </x:si>
  <x:si>
    <x:t xml:space="preserve">是否确认委托归属</x:t>
  </x:si>
  <x:si>
    <x:t xml:space="preserve">是否确认止损调整</x:t>
  </x:si>
  <x:si>
    <x:t xml:space="preserve">用户确认关系</x:t>
  </x:si>
  <x:si>
    <x:t xml:space="preserve">自动跟单人工说明</x:t>
  </x:si>
  <x:si>
    <x:t xml:space="preserve">核心字段数</x:t>
  </x:si>
  <x:si>
    <x:t xml:space="preserve">待填核心字段</x:t>
  </x:si>
  <x:si>
    <x:t xml:space="preserve">已完成核心字段</x:t>
  </x:si>
  <x:si>
    <x:t xml:space="preserve">完成率</x:t>
  </x:si>
  <x:si>
    <x:t xml:space="preserve">不适用（非自动跟单）</x:t>
  </x:si>
  <x:si>
    <x:t xml:space="preserve">再次入金后，在没有熟悉行情复盘行情的情况下，于下跌中左侧猜底做多
</x:t>
  </x:si>
  <x:si>
    <x:t xml:space="preserve">这次的问题很多，
也是导致后续爆仓的导火索之一，也是暴露了我很多问题的单子之一，假如这次没错，但是也为后续埋下了伏笔，问题：1.有交易计划，但是没有写纸上，2.下单前没仔细查看开仓的情况，下单后也没检查，3.睡醒发现开的仓位不是预计的仓位数量，贪婪的情绪又出来了，4.发现开仓数量不对后，又幻想行情会不会像之前一样来回震荡，完全忘掉了之前设定的止盈止损，害怕浮盈损失，又不甘心只开了这么少的仓位，5.发现平仓后行情果然又拉回去，就又暗自窃喜，当行情再次来到上一单的开仓位后，却又不敢重仓了，轻仓又嫌小，最终直接不开仓了。</x:t>
  </x:si>
  <x:si>
    <x:t xml:space="preserve">做多失败后，
又情绪化的盲目追空，最终因为操作失误，在价格71418误触了反手做多，亏损1592.5u，不然我还是会继续扛单，反手做多后，因为我对做多更慌，马上又平仓多单</x:t>
  </x:si>
  <x:si>
    <x:t xml:space="preserve">扛单时精神紧绷，
不断地来回切手机交易所的各个界面，导致误触反手开单</x:t>
  </x:si>
  <x:si>
    <x:t xml:space="preserve">想重仓短撸博取小利润，
重仓，浮亏加重仓，不舍得小止损，侥幸心理</x:t>
  </x:si>
  <x:si>
    <x:t xml:space="preserve">没有按原计划执行止盈止损，
浮盈大幅减少后受不了，幻想着先吃一点浮盈，等价格上涨过了开仓价更高的位置后再次空，重仓拿不住，轻仓不甘心，想着一把赢回所有，知道并且确认跌破也因为更好成本的单子平掉后没有继续空进去</x:t>
  </x:si>
  <x:si>
    <x:t xml:space="preserve">明知下跌趋势中却因为价格处于低位不敢追空，
反而做多</x:t>
  </x:si>
  <x:si>
    <x:t xml:space="preserve">在看到预计做空的位置挂不上单子后心情极度焦虑紧张、坐立不安，在反弹上涨后心情又变得舒服。
在美联储利率决议的前主观认为会是利空，提前重仓空。
浮亏扛单，浮亏加重仓。</x:t>
  </x:si>
  <x:si>
    <x:t xml:space="preserve">1.受社群消息影响
2.幻想可以来回反复做空，把没有的利润当做是自己的利润
3.想在陌生品种舔一口
4.看到陌生品种把其他品种赚到的钱亏掉而不甘心止损
5.想着亏10000u就止损，最后又做不到
6.在上涨过程中的回调里依旧不舍得止损
7.在深度低的交易所交易流动性低的品种</x:t>
  </x:si>
  <x:si>
    <x:t xml:space="preserve">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
</x:t>
  </x:si>
  <x:si>
    <x:t xml:space="preserve">字段与口径说明｜F2.5.4完整用户版｜M3等结构返工版</x:t>
  </x:si>
  <x:si>
    <x:t xml:space="preserve">覆盖7张用户工作表、全部最终字段、T001证据边界、专项说明以及F2.2旧资金字段的替代与废止关系。缺失、0、待填写与证据不可得严格区分。</x:t>
  </x:si>
  <x:si>
    <x:t xml:space="preserve">工作表</x:t>
  </x:si>
  <x:si>
    <x:t xml:space="preserve">显示字段</x:t>
  </x:si>
  <x:si>
    <x:t xml:space="preserve">字段类别</x:t>
  </x:si>
  <x:si>
    <x:t xml:space="preserve">是否可编辑</x:t>
  </x:si>
  <x:si>
    <x:t xml:space="preserve">用户口径</x:t>
  </x:si>
  <x:si>
    <x:t xml:space="preserve">缺失或边界说明</x:t>
  </x:si>
  <x:si>
    <x:t xml:space="preserve">正式来源</x:t>
  </x:si>
  <x:si>
    <x:t xml:space="preserve">F2.2→F2.5处理方式</x:t>
  </x:si>
  <x:si>
    <x:t xml:space="preserve">全局</x:t>
  </x:si>
  <x:si>
    <x:t xml:space="preserve">证据等级</x:t>
  </x:si>
  <x:si>
    <x:t xml:space="preserve">证据规则</x:t>
  </x:si>
  <x:si>
    <x:t xml:space="preserve">正式事实优先使用D2-C及F2.4隐藏技术表；阶段A—E仅用于有完整行为链的9笔。</x:t>
  </x:si>
  <x:si>
    <x:t xml:space="preserve">不可把证据缺失推断为未发生。</x:t>
  </x:si>
  <x:si>
    <x:t xml:space="preserve">技术_D2C阶段结果；技术_逐笔复盘汇总</x:t>
  </x:si>
  <x:si>
    <x:t xml:space="preserve">修正后恢复</x:t>
  </x:si>
  <x:si>
    <x:t xml:space="preserve">缺失值</x:t>
  </x:si>
  <x:si>
    <x:t xml:space="preserve">缺失规则</x:t>
  </x:si>
  <x:si>
    <x:t xml:space="preserve">空白表示正式来源没有可显示值。</x:t>
  </x:si>
  <x:si>
    <x:t xml:space="preserve">不得自动填0，也不得自动填待填写。</x:t>
  </x:si>
  <x:si>
    <x:t xml:space="preserve">各正式技术表</x:t>
  </x:si>
  <x:si>
    <x:t xml:space="preserve">数值0</x:t>
  </x:si>
  <x:si>
    <x:t xml:space="preserve">0只表示证据支持该计数为零。</x:t>
  </x:si>
  <x:si>
    <x:t xml:space="preserve">T001阶段A—E字段不可用0替代。</x:t>
  </x:si>
  <x:si>
    <x:t xml:space="preserve">人工状态</x:t>
  </x:si>
  <x:si>
    <x:t xml:space="preserve">表示该字段应由用户补充，但尚未填写。</x:t>
  </x:si>
  <x:si>
    <x:t xml:space="preserve">仅用于人工输入区及其引用。</x:t>
  </x:si>
  <x:si>
    <x:t xml:space="preserve">人工复盘完成清单</x:t>
  </x:si>
  <x:si>
    <x:t xml:space="preserve">原样保留</x:t>
  </x:si>
  <x:si>
    <x:t xml:space="preserve">证据不可得</x:t>
  </x:si>
  <x:si>
    <x:t xml:space="preserve">表示当前正式输入中没有足够证据。</x:t>
  </x:si>
  <x:si>
    <x:t xml:space="preserve">不等同于0、不等同于未发生。</x:t>
  </x:si>
  <x:si>
    <x:t xml:space="preserve">T001专项边界</x:t>
  </x:si>
  <x:si>
    <x:t xml:space="preserve">交易结果</x:t>
  </x:si>
  <x:si>
    <x:t xml:space="preserve">始终采用F2.4的D2-C正式周期结果。</x:t>
  </x:si>
  <x:si>
    <x:t xml:space="preserve">不得用旧阶段A—E净结果覆盖。</x:t>
  </x:si>
  <x:si>
    <x:t xml:space="preserve">技术_主动交易用户汇总</x:t>
  </x:si>
  <x:si>
    <x:t xml:space="preserve">F2.4新增保留</x:t>
  </x:si>
  <x:si>
    <x:t xml:space="preserve">时间显示</x:t>
  </x:si>
  <x:si>
    <x:t xml:space="preserve">显示规则</x:t>
  </x:si>
  <x:si>
    <x:t xml:space="preserve">用户时间统一显示到秒。</x:t>
  </x:si>
  <x:si>
    <x:t xml:space="preserve">技术表精确值保持不变。</x:t>
  </x:si>
  <x:si>
    <x:t xml:space="preserve">账户与交易总览</x:t>
  </x:si>
  <x:si>
    <x:t xml:space="preserve">F2.4统计</x:t>
  </x:si>
  <x:si>
    <x:t xml:space="preserve">最终个人主动交易样本数。</x:t>
  </x:si>
  <x:si>
    <x:t xml:space="preserve">只统计最终10笔个人主动交易。</x:t>
  </x:si>
  <x:si>
    <x:t xml:space="preserve">正式首仓动作数量。</x:t>
  </x:si>
  <x:si>
    <x:t xml:space="preserve">技术_首仓加仓阶梯</x:t>
  </x:si>
  <x:si>
    <x:t xml:space="preserve">形成实际持仓增加的加仓动作数。</x:t>
  </x:si>
  <x:si>
    <x:t xml:space="preserve">基础限价委托尝试数。</x:t>
  </x:si>
  <x:si>
    <x:t xml:space="preserve">技术_限价平仓明细</x:t>
  </x:si>
  <x:si>
    <x:t xml:space="preserve">零成交且最终取消的限价平仓尝试数。</x:t>
  </x:si>
  <x:si>
    <x:t xml:space="preserve">零成交且最终过期的限价平仓尝试数。</x:t>
  </x:si>
  <x:si>
    <x:t xml:space="preserve">实际成交并降低仓位但未归零的限价尝试数。</x:t>
  </x:si>
  <x:si>
    <x:t xml:space="preserve">通过限价委托最终使仓位归零的交易数。</x:t>
  </x:si>
  <x:si>
    <x:t xml:space="preserve">是否满足普通资金估算展示资格的交易数。</x:t>
  </x:si>
  <x:si>
    <x:t xml:space="preserve">技术_资金展示结果</x:t>
  </x:si>
  <x:si>
    <x:t xml:space="preserve">用户工作表中的技术英文枚举残留数。</x:t>
  </x:si>
  <x:si>
    <x:t xml:space="preserve">技术_D2C阶段结果</x:t>
  </x:si>
  <x:si>
    <x:t xml:space="preserve">行为统计</x:t>
  </x:si>
  <x:si>
    <x:t xml:space="preserve">具有阶段A—E完整行为链的个人主动交易数。</x:t>
  </x:si>
  <x:si>
    <x:t xml:space="preserve">T001未计入，缺失不按0统计。</x:t>
  </x:si>
  <x:si>
    <x:t xml:space="preserve">技术_逐笔复盘汇总</x:t>
  </x:si>
  <x:si>
    <x:t xml:space="preserve">回归恢复</x:t>
  </x:si>
  <x:si>
    <x:t xml:space="preserve">9笔行为链样本首仓前开仓委托尝试合计。</x:t>
  </x:si>
  <x:si>
    <x:t xml:space="preserve">9笔行为链样本首仓前未成交撤销合计。</x:t>
  </x:si>
  <x:si>
    <x:t xml:space="preserve">9笔行为链样本客观方向切换合计。</x:t>
  </x:si>
  <x:si>
    <x:t xml:space="preserve">未成仓加仓尝试与实际成功加仓委托之和。</x:t>
  </x:si>
  <x:si>
    <x:t xml:space="preserve">9笔行为链样本止损设置合计。</x:t>
  </x:si>
  <x:si>
    <x:t xml:space="preserve">9笔行为链样本止盈设置合计。</x:t>
  </x:si>
  <x:si>
    <x:t xml:space="preserve">9笔行为链样本待人工确认项目合计。</x:t>
  </x:si>
  <x:si>
    <x:t xml:space="preserve">快速索引｜T/U编号</x:t>
  </x:si>
  <x:si>
    <x:t xml:space="preserve">快速索引</x:t>
  </x:si>
  <x:si>
    <x:t xml:space="preserve">按T/U编号显示T/U编号。</x:t>
  </x:si>
  <x:si>
    <x:t xml:space="preserve">正式来源不可得时留空。</x:t>
  </x:si>
  <x:si>
    <x:t xml:space="preserve">技术_主动交易用户汇总／技术_资金展示结果</x:t>
  </x:si>
  <x:si>
    <x:t xml:space="preserve">快速索引｜日期</x:t>
  </x:si>
  <x:si>
    <x:t xml:space="preserve">按T/U编号显示日期。</x:t>
  </x:si>
  <x:si>
    <x:t xml:space="preserve">快速索引｜合约</x:t>
  </x:si>
  <x:si>
    <x:t xml:space="preserve">按T/U编号显示合约。</x:t>
  </x:si>
  <x:si>
    <x:t xml:space="preserve">快速索引｜多空</x:t>
  </x:si>
  <x:si>
    <x:t xml:space="preserve">按T/U编号显示多空。</x:t>
  </x:si>
  <x:si>
    <x:t xml:space="preserve">快速索引｜正式开仓时间</x:t>
  </x:si>
  <x:si>
    <x:t xml:space="preserve">按T/U编号显示正式开仓时间。</x:t>
  </x:si>
  <x:si>
    <x:t xml:space="preserve">快速索引｜正式平仓时间</x:t>
  </x:si>
  <x:si>
    <x:t xml:space="preserve">按T/U编号显示正式平仓时间。</x:t>
  </x:si>
  <x:si>
    <x:t xml:space="preserve">快速索引｜持仓时长</x:t>
  </x:si>
  <x:si>
    <x:t xml:space="preserve">按T/U编号显示持仓时长。</x:t>
  </x:si>
  <x:si>
    <x:t xml:space="preserve">逐笔人工复盘总表</x:t>
  </x:si>
  <x:si>
    <x:t xml:space="preserve">快速索引｜最终出场方式</x:t>
  </x:si>
  <x:si>
    <x:t xml:space="preserve">按T/U编号显示最终出场方式。</x:t>
  </x:si>
  <x:si>
    <x:t xml:space="preserve">快速索引｜周期净结果</x:t>
  </x:si>
  <x:si>
    <x:t xml:space="preserve">按T/U编号显示周期净结果。</x:t>
  </x:si>
  <x:si>
    <x:t xml:space="preserve">快速索引｜首仓数量</x:t>
  </x:si>
  <x:si>
    <x:t xml:space="preserve">按T/U编号显示首仓数量。</x:t>
  </x:si>
  <x:si>
    <x:t xml:space="preserve">快速索引｜成功加仓次数</x:t>
  </x:si>
  <x:si>
    <x:t xml:space="preserve">按T/U编号显示成功加仓次数。</x:t>
  </x:si>
  <x:si>
    <x:t xml:space="preserve">快速索引｜最大总持仓</x:t>
  </x:si>
  <x:si>
    <x:t xml:space="preserve">按T/U编号显示最大总持仓。</x:t>
  </x:si>
  <x:si>
    <x:t xml:space="preserve">快速索引｜资金闭环等级</x:t>
  </x:si>
  <x:si>
    <x:t xml:space="preserve">按T/U编号显示资金闭环等级。</x:t>
  </x:si>
  <x:si>
    <x:t xml:space="preserve">快速索引｜行为证据覆盖</x:t>
  </x:si>
  <x:si>
    <x:t xml:space="preserve">按T/U编号显示行为证据覆盖。</x:t>
  </x:si>
  <x:si>
    <x:t xml:space="preserve">T001显示仅D2-C正式事实；其余9笔显示阶段A—E＋D2-C。</x:t>
  </x:si>
  <x:si>
    <x:t xml:space="preserve">标识</x:t>
  </x:si>
  <x:si>
    <x:t xml:space="preserve">正式10笔编号。</x:t>
  </x:si>
  <x:si>
    <x:t xml:space="preserve">正式来源不可得时留空；人工引用缺失显示待填写或空白。</x:t>
  </x:si>
  <x:si>
    <x:t xml:space="preserve">技术_辅助列表</x:t>
  </x:si>
  <x:si>
    <x:t xml:space="preserve">交易事实</x:t>
  </x:si>
  <x:si>
    <x:t xml:space="preserve">正式交易日期。</x:t>
  </x:si>
  <x:si>
    <x:t xml:space="preserve">正式交易合约。</x:t>
  </x:si>
  <x:si>
    <x:t xml:space="preserve">正式仓位方向。</x:t>
  </x:si>
  <x:si>
    <x:t xml:space="preserve">D2-C正式首仓时间。</x:t>
  </x:si>
  <x:si>
    <x:t xml:space="preserve">D2-C正式平仓时间。</x:t>
  </x:si>
  <x:si>
    <x:t xml:space="preserve">正式平仓时间减正式开仓时间，中文可读。</x:t>
  </x:si>
  <x:si>
    <x:t xml:space="preserve">正式开平仓时间公式</x:t>
  </x:si>
  <x:si>
    <x:t xml:space="preserve">最终使仓位归零的真实方式。</x:t>
  </x:si>
  <x:si>
    <x:t xml:space="preserve">D2-C正式周期净结果。</x:t>
  </x:si>
  <x:si>
    <x:t xml:space="preserve">仓位</x:t>
  </x:si>
  <x:si>
    <x:t xml:space="preserve">正式首仓成交数量。</x:t>
  </x:si>
  <x:si>
    <x:t xml:space="preserve">正式首仓成交加权均价。</x:t>
  </x:si>
  <x:si>
    <x:t xml:space="preserve">实际增加仓位的成功加仓委托数。</x:t>
  </x:si>
  <x:si>
    <x:t xml:space="preserve">成功加仓数量之和。</x:t>
  </x:si>
  <x:si>
    <x:t xml:space="preserve">周期内正式最大总持仓。</x:t>
  </x:si>
  <x:si>
    <x:t xml:space="preserve">达到最大总持仓时的正式持仓均价。</x:t>
  </x:si>
  <x:si>
    <x:t xml:space="preserve">行为</x:t>
  </x:si>
  <x:si>
    <x:t xml:space="preserve">形成首仓前不同开仓委托尝试数。</x:t>
  </x:si>
  <x:si>
    <x:t xml:space="preserve">T001留空，不代表0或未发生。</x:t>
  </x:si>
  <x:si>
    <x:t xml:space="preserve">形成首仓前零成交后撤销数。</x:t>
  </x:si>
  <x:si>
    <x:t xml:space="preserve">形成首仓前客观方向切换数。</x:t>
  </x:si>
  <x:si>
    <x:t xml:space="preserve">未形成实际加仓且最终撤销的加仓委托数。</x:t>
  </x:si>
  <x:si>
    <x:t xml:space="preserve">加仓委托部分成交后撤销剩余未成交量的次数。</x:t>
  </x:si>
  <x:si>
    <x:t xml:space="preserve">平仓过程</x:t>
  </x:si>
  <x:si>
    <x:t xml:space="preserve">限价减仓或平仓基础委托尝试数。</x:t>
  </x:si>
  <x:si>
    <x:t xml:space="preserve">零成交并取消的限价平仓尝试数。</x:t>
  </x:si>
  <x:si>
    <x:t xml:space="preserve">零成交并过期的限价平仓尝试数。</x:t>
  </x:si>
  <x:si>
    <x:t xml:space="preserve">实际成交并降低仓位但未归零的次数。</x:t>
  </x:si>
  <x:si>
    <x:t xml:space="preserve">条件计划</x:t>
  </x:si>
  <x:si>
    <x:t xml:space="preserve">止损条件委托设置次数。</x:t>
  </x:si>
  <x:si>
    <x:t xml:space="preserve">止损条件委托取消次数。</x:t>
  </x:si>
  <x:si>
    <x:t xml:space="preserve">基于时间与字段变化识别的高置信疑似调整次数。</x:t>
  </x:si>
  <x:si>
    <x:t xml:space="preserve">止盈条件委托设置次数。</x:t>
  </x:si>
  <x:si>
    <x:t xml:space="preserve">止盈条件委托取消次数。</x:t>
  </x:si>
  <x:si>
    <x:t xml:space="preserve">阶段A—E待人工确认项目数。</x:t>
  </x:si>
  <x:si>
    <x:t xml:space="preserve">资金</x:t>
  </x:si>
  <x:si>
    <x:t xml:space="preserve">已确认事件滚动模型的闭环等级。</x:t>
  </x:si>
  <x:si>
    <x:t xml:space="preserve">开仓前仅累计已确认资金事件的滚动值。</x:t>
  </x:si>
  <x:si>
    <x:t xml:space="preserve">平仓后仅累计已确认资金事件的滚动值。</x:t>
  </x:si>
  <x:si>
    <x:t xml:space="preserve">实际快照与已确认事件之间尚未分配的差额。</x:t>
  </x:si>
  <x:si>
    <x:t xml:space="preserve">资金限制</x:t>
  </x:si>
  <x:si>
    <x:t xml:space="preserve">解释滚动值、负值与未分配差额的限制。</x:t>
  </x:si>
  <x:si>
    <x:t xml:space="preserve">技术_资金展示结果＋专项公式</x:t>
  </x:si>
  <x:si>
    <x:t xml:space="preserve">行为摘要</x:t>
  </x:si>
  <x:si>
    <x:t xml:space="preserve">依次合并首仓前、持仓操作与条件计划三段摘要。</x:t>
  </x:si>
  <x:si>
    <x:t xml:space="preserve">人工引用</x:t>
  </x:si>
  <x:si>
    <x:t xml:space="preserve">引用人工复盘完成清单。</x:t>
  </x:si>
  <x:si>
    <x:t xml:space="preserve">单笔交易复盘卡</x:t>
  </x:si>
  <x:si>
    <x:t xml:space="preserve">导航</x:t>
  </x:si>
  <x:si>
    <x:t xml:space="preserve">从固定10笔个人主动交易切换全部区块。</x:t>
  </x:si>
  <x:si>
    <x:t xml:space="preserve">选择其他编号时同步刷新，不保留上一笔残留。</x:t>
  </x:si>
  <x:si>
    <x:t xml:space="preserve">交易结果｜T/U编号</x:t>
  </x:si>
  <x:si>
    <x:t xml:space="preserve">当前选择交易编号。</x:t>
  </x:si>
  <x:si>
    <x:t xml:space="preserve">交易结果｜日期</x:t>
  </x:si>
  <x:si>
    <x:t xml:space="preserve">交易结果｜合约</x:t>
  </x:si>
  <x:si>
    <x:t xml:space="preserve">交易结果｜多空</x:t>
  </x:si>
  <x:si>
    <x:t xml:space="preserve">交易结果｜正式开仓时间</x:t>
  </x:si>
  <x:si>
    <x:t xml:space="preserve">交易结果｜正式平仓时间</x:t>
  </x:si>
  <x:si>
    <x:t xml:space="preserve">交易结果｜持仓时长</x:t>
  </x:si>
  <x:si>
    <x:t xml:space="preserve">正式开平仓时间差。</x:t>
  </x:si>
  <x:si>
    <x:t xml:space="preserve">公式</x:t>
  </x:si>
  <x:si>
    <x:t xml:space="preserve">交易结果｜最终出场方式</x:t>
  </x:si>
  <x:si>
    <x:t xml:space="preserve">交易结果｜首仓成交数量</x:t>
  </x:si>
  <x:si>
    <x:t xml:space="preserve">正式首仓数量。</x:t>
  </x:si>
  <x:si>
    <x:t xml:space="preserve">交易结果｜首仓成交均价</x:t>
  </x:si>
  <x:si>
    <x:t xml:space="preserve">正式首仓均价。</x:t>
  </x:si>
  <x:si>
    <x:t xml:space="preserve">交易结果｜最大总持仓</x:t>
  </x:si>
  <x:si>
    <x:t xml:space="preserve">周期内最大正式持仓。</x:t>
  </x:si>
  <x:si>
    <x:t xml:space="preserve">交易结果｜最大持仓均价</x:t>
  </x:si>
  <x:si>
    <x:t xml:space="preserve">最大持仓时正式均价。</x:t>
  </x:si>
  <x:si>
    <x:t xml:space="preserve">交易结果｜已实现盈亏</x:t>
  </x:si>
  <x:si>
    <x:t xml:space="preserve">盈亏组成</x:t>
  </x:si>
  <x:si>
    <x:t xml:space="preserve">阶段A—E已实现盈亏；T069按确认值1,318.99999986。</x:t>
  </x:si>
  <x:si>
    <x:t xml:space="preserve">交易结果｜周期内手续费</x:t>
  </x:si>
  <x:si>
    <x:t xml:space="preserve">正式周期内手续费；T069剔除首仓前10笔费用。</x:t>
  </x:si>
  <x:si>
    <x:t xml:space="preserve">技术_逐笔复盘汇总＋T069修正公式</x:t>
  </x:si>
  <x:si>
    <x:t xml:space="preserve">交易结果｜资金费</x:t>
  </x:si>
  <x:si>
    <x:t xml:space="preserve">正式周期内资金费。</x:t>
  </x:si>
  <x:si>
    <x:t xml:space="preserve">交易结果｜正式周期净结果</x:t>
  </x:si>
  <x:si>
    <x:t xml:space="preserve">交易结果｜行为证据覆盖说明</x:t>
  </x:si>
  <x:si>
    <x:t xml:space="preserve">说明阶段A—E与D2-C覆盖范围。</x:t>
  </x:si>
  <x:si>
    <x:t xml:space="preserve">首仓前尝试｜开仓尝试</x:t>
  </x:si>
  <x:si>
    <x:t xml:space="preserve">首仓前开仓委托尝试数。</x:t>
  </x:si>
  <x:si>
    <x:t xml:space="preserve">T001阶段A—E数字留空，摘要显示证据边界说明。</x:t>
  </x:si>
  <x:si>
    <x:t xml:space="preserve">首仓前尝试｜未成交撤销</x:t>
  </x:si>
  <x:si>
    <x:t xml:space="preserve">首仓前未成交撤销数。</x:t>
  </x:si>
  <x:si>
    <x:t xml:space="preserve">首仓前尝试｜方向切换</x:t>
  </x:si>
  <x:si>
    <x:t xml:space="preserve">首仓前客观方向切换数。</x:t>
  </x:si>
  <x:si>
    <x:t xml:space="preserve">首仓前尝试｜首仓前待确认</x:t>
  </x:si>
  <x:si>
    <x:t xml:space="preserve">首仓前待人工确认数。</x:t>
  </x:si>
  <x:si>
    <x:t xml:space="preserve">首仓前尝试｜首仓前完整摘要</x:t>
  </x:si>
  <x:si>
    <x:t xml:space="preserve">完整中文首仓前意图链摘要，移除真实委托编号。</x:t>
  </x:si>
  <x:si>
    <x:t xml:space="preserve">仓位建立过程｜动作序号</x:t>
  </x:si>
  <x:si>
    <x:t xml:space="preserve">仓位阶梯</x:t>
  </x:si>
  <x:si>
    <x:t xml:space="preserve">按动作序号显示动作序号。</x:t>
  </x:si>
  <x:si>
    <x:t xml:space="preserve">仓位建立过程｜动作类型</x:t>
  </x:si>
  <x:si>
    <x:t xml:space="preserve">按动作序号显示动作类型。</x:t>
  </x:si>
  <x:si>
    <x:t xml:space="preserve">仓位建立过程｜完整成交时间</x:t>
  </x:si>
  <x:si>
    <x:t xml:space="preserve">按动作序号显示完整成交时间。</x:t>
  </x:si>
  <x:si>
    <x:t xml:space="preserve">仓位建立过程｜本次成交数量</x:t>
  </x:si>
  <x:si>
    <x:t xml:space="preserve">按动作序号显示本次成交数量。</x:t>
  </x:si>
  <x:si>
    <x:t xml:space="preserve">仓位建立过程｜本次成交均价</x:t>
  </x:si>
  <x:si>
    <x:t xml:space="preserve">按动作序号显示本次成交均价。</x:t>
  </x:si>
  <x:si>
    <x:t xml:space="preserve">仓位建立过程｜动作前总持仓</x:t>
  </x:si>
  <x:si>
    <x:t xml:space="preserve">按动作序号显示动作前总持仓。</x:t>
  </x:si>
  <x:si>
    <x:t xml:space="preserve">仓位建立过程｜动作后总持仓</x:t>
  </x:si>
  <x:si>
    <x:t xml:space="preserve">按动作序号显示动作后总持仓。</x:t>
  </x:si>
  <x:si>
    <x:t xml:space="preserve">仓位建立过程｜动作后持仓均价</x:t>
  </x:si>
  <x:si>
    <x:t xml:space="preserve">按动作序号显示动作后持仓均价。</x:t>
  </x:si>
  <x:si>
    <x:t xml:space="preserve">仓位建立过程｜动作前滚动值</x:t>
  </x:si>
  <x:si>
    <x:t xml:space="preserve">按动作序号显示动作前滚动值。</x:t>
  </x:si>
  <x:si>
    <x:t xml:space="preserve">仓位建立过程｜动作后滚动值</x:t>
  </x:si>
  <x:si>
    <x:t xml:space="preserve">按动作序号显示动作后滚动值。</x:t>
  </x:si>
  <x:si>
    <x:t xml:space="preserve">仓位建立过程｜区间外部净入金</x:t>
  </x:si>
  <x:si>
    <x:t xml:space="preserve">按动作序号显示区间外部净入金。</x:t>
  </x:si>
  <x:si>
    <x:t xml:space="preserve">仓位建立过程｜部分成交后撤余</x:t>
  </x:si>
  <x:si>
    <x:t xml:space="preserve">按动作序号显示部分成交后撤余。</x:t>
  </x:si>
  <x:si>
    <x:t xml:space="preserve">仓位建立过程｜最大总持仓</x:t>
  </x:si>
  <x:si>
    <x:t xml:space="preserve">按动作序号显示最大总持仓。</x:t>
  </x:si>
  <x:si>
    <x:t xml:space="preserve">仓位建立过程｜最大持仓均价</x:t>
  </x:si>
  <x:si>
    <x:t xml:space="preserve">按动作序号显示最大持仓均价。</x:t>
  </x:si>
  <x:si>
    <x:t xml:space="preserve">持仓中操作概要｜加仓委托尝试总数</x:t>
  </x:si>
  <x:si>
    <x:t xml:space="preserve">持仓行为</x:t>
  </x:si>
  <x:si>
    <x:t xml:space="preserve">持仓中操作概要｜实际成功加仓</x:t>
  </x:si>
  <x:si>
    <x:t xml:space="preserve">实际增加仓位的加仓数。</x:t>
  </x:si>
  <x:si>
    <x:t xml:space="preserve">持仓中操作概要｜未成交加仓撤销</x:t>
  </x:si>
  <x:si>
    <x:t xml:space="preserve">未形成实际加仓并撤销的委托数。</x:t>
  </x:si>
  <x:si>
    <x:t xml:space="preserve">持仓中操作概要｜加仓部分成交后撤余</x:t>
  </x:si>
  <x:si>
    <x:t xml:space="preserve">加仓部分成交后撤销剩余量的次数。</x:t>
  </x:si>
  <x:si>
    <x:t xml:space="preserve">持仓中操作概要｜实际部分减仓</x:t>
  </x:si>
  <x:si>
    <x:t xml:space="preserve">实际降低仓位但未归零的次数。</x:t>
  </x:si>
  <x:si>
    <x:t xml:space="preserve">持仓中操作概要｜持仓操作完整摘要</x:t>
  </x:si>
  <x:si>
    <x:t xml:space="preserve">完整中文持仓操作摘要。</x:t>
  </x:si>
  <x:si>
    <x:t xml:space="preserve">减仓与平仓挂单过程｜限价减仓或平仓尝试</x:t>
  </x:si>
  <x:si>
    <x:t xml:space="preserve">展示限价减仓或平仓尝试。</x:t>
  </x:si>
  <x:si>
    <x:t xml:space="preserve">技术_平仓意图汇总</x:t>
  </x:si>
  <x:si>
    <x:t xml:space="preserve">减仓与平仓挂单过程｜普通限价尝试</x:t>
  </x:si>
  <x:si>
    <x:t xml:space="preserve">展示普通限价尝试。</x:t>
  </x:si>
  <x:si>
    <x:t xml:space="preserve">减仓与平仓挂单过程｜条件生成限价尝试</x:t>
  </x:si>
  <x:si>
    <x:t xml:space="preserve">展示条件生成限价尝试。</x:t>
  </x:si>
  <x:si>
    <x:t xml:space="preserve">减仓与平仓挂单过程｜未成交取消</x:t>
  </x:si>
  <x:si>
    <x:t xml:space="preserve">展示未成交取消。</x:t>
  </x:si>
  <x:si>
    <x:t xml:space="preserve">减仓与平仓挂单过程｜未成交过期</x:t>
  </x:si>
  <x:si>
    <x:t xml:space="preserve">展示未成交过期。</x:t>
  </x:si>
  <x:si>
    <x:t xml:space="preserve">减仓与平仓挂单过程｜部分成交后撤余</x:t>
  </x:si>
  <x:si>
    <x:t xml:space="preserve">展示部分成交后撤余。</x:t>
  </x:si>
  <x:si>
    <x:t xml:space="preserve">减仓与平仓挂单过程｜实际限价部分减仓</x:t>
  </x:si>
  <x:si>
    <x:t xml:space="preserve">展示实际限价部分减仓。</x:t>
  </x:si>
  <x:si>
    <x:t xml:space="preserve">减仓与平仓挂单过程｜最终限价平仓</x:t>
  </x:si>
  <x:si>
    <x:t xml:space="preserve">展示最终限价平仓。</x:t>
  </x:si>
  <x:si>
    <x:t xml:space="preserve">减仓与平仓挂单过程｜最终真实出场方式</x:t>
  </x:si>
  <x:si>
    <x:t xml:space="preserve">展示最终真实出场方式。</x:t>
  </x:si>
  <x:si>
    <x:t xml:space="preserve">减仓与平仓挂单过程｜中文平仓意图摘要</x:t>
  </x:si>
  <x:si>
    <x:t xml:space="preserve">展示中文平仓意图摘要。</x:t>
  </x:si>
  <x:si>
    <x:t xml:space="preserve">减仓与平仓挂单过程｜16行动态明细</x:t>
  </x:si>
  <x:si>
    <x:t xml:space="preserve">展示16行动态明细。</x:t>
  </x:si>
  <x:si>
    <x:t xml:space="preserve">止盈止损与条件计划演变｜止损设置</x:t>
  </x:si>
  <x:si>
    <x:t xml:space="preserve">展示止损设置。</x:t>
  </x:si>
  <x:si>
    <x:t xml:space="preserve">止盈止损与条件计划演变｜止损取消</x:t>
  </x:si>
  <x:si>
    <x:t xml:space="preserve">展示止损取消。</x:t>
  </x:si>
  <x:si>
    <x:t xml:space="preserve">止盈止损与条件计划演变｜疑似止损调整</x:t>
  </x:si>
  <x:si>
    <x:t xml:space="preserve">展示疑似止损调整。</x:t>
  </x:si>
  <x:si>
    <x:t xml:space="preserve">止盈止损与条件计划演变｜止损实际成交</x:t>
  </x:si>
  <x:si>
    <x:t xml:space="preserve">展示止损实际成交。</x:t>
  </x:si>
  <x:si>
    <x:t xml:space="preserve">止盈止损与条件计划演变｜止盈设置</x:t>
  </x:si>
  <x:si>
    <x:t xml:space="preserve">展示止盈设置。</x:t>
  </x:si>
  <x:si>
    <x:t xml:space="preserve">止盈止损与条件计划演变｜止盈取消</x:t>
  </x:si>
  <x:si>
    <x:t xml:space="preserve">展示止盈取消。</x:t>
  </x:si>
  <x:si>
    <x:t xml:space="preserve">止盈止损与条件计划演变｜疑似止盈调整</x:t>
  </x:si>
  <x:si>
    <x:t xml:space="preserve">展示疑似止盈调整。</x:t>
  </x:si>
  <x:si>
    <x:t xml:space="preserve">止盈止损与条件计划演变｜止盈实际成交</x:t>
  </x:si>
  <x:si>
    <x:t xml:space="preserve">展示止盈实际成交。</x:t>
  </x:si>
  <x:si>
    <x:t xml:space="preserve">止盈止损与条件计划演变｜条件计划演变完整摘要</x:t>
  </x:si>
  <x:si>
    <x:t xml:space="preserve">展示条件计划演变完整摘要。</x:t>
  </x:si>
  <x:si>
    <x:t xml:space="preserve">资金节点｜前一张08:00实际总资产</x:t>
  </x:si>
  <x:si>
    <x:t xml:space="preserve">展示前一张08:00实际总资产。</x:t>
  </x:si>
  <x:si>
    <x:t xml:space="preserve">资金节点｜开仓前已确认资金事件滚动值</x:t>
  </x:si>
  <x:si>
    <x:t xml:space="preserve">展示开仓前已确认资金事件滚动值。</x:t>
  </x:si>
  <x:si>
    <x:t xml:space="preserve">资金节点｜持仓期间外部入金</x:t>
  </x:si>
  <x:si>
    <x:t xml:space="preserve">展示持仓期间外部入金。</x:t>
  </x:si>
  <x:si>
    <x:t xml:space="preserve">资金节点｜持仓期间外部出金</x:t>
  </x:si>
  <x:si>
    <x:t xml:space="preserve">展示持仓期间外部出金。</x:t>
  </x:si>
  <x:si>
    <x:t xml:space="preserve">资金节点｜当前交易正式净结果</x:t>
  </x:si>
  <x:si>
    <x:t xml:space="preserve">展示当前交易正式净结果。</x:t>
  </x:si>
  <x:si>
    <x:t xml:space="preserve">资金节点｜其他个人主动交易影响</x:t>
  </x:si>
  <x:si>
    <x:t xml:space="preserve">展示其他个人主动交易影响。</x:t>
  </x:si>
  <x:si>
    <x:t xml:space="preserve">资金节点｜自动跟单影响</x:t>
  </x:si>
  <x:si>
    <x:t xml:space="preserve">展示自动跟单影响。</x:t>
  </x:si>
  <x:si>
    <x:t xml:space="preserve">资金节点｜返佣及其他账户事件</x:t>
  </x:si>
  <x:si>
    <x:t xml:space="preserve">展示返佣及其他账户事件。</x:t>
  </x:si>
  <x:si>
    <x:t xml:space="preserve">资金节点｜平仓后已确认资金事件滚动值</x:t>
  </x:si>
  <x:si>
    <x:t xml:space="preserve">展示平仓后已确认资金事件滚动值。</x:t>
  </x:si>
  <x:si>
    <x:t xml:space="preserve">资金节点｜后一张08:00实际总资产</x:t>
  </x:si>
  <x:si>
    <x:t xml:space="preserve">展示后一张08:00实际总资产。</x:t>
  </x:si>
  <x:si>
    <x:t xml:space="preserve">资金节点｜未分配快照差额</x:t>
  </x:si>
  <x:si>
    <x:t xml:space="preserve">展示未分配快照差额。</x:t>
  </x:si>
  <x:si>
    <x:t xml:space="preserve">资金节点｜差额比例</x:t>
  </x:si>
  <x:si>
    <x:t xml:space="preserve">展示差额比例。</x:t>
  </x:si>
  <x:si>
    <x:t xml:space="preserve">资金节点｜最大持仓时已确认事件滚动值</x:t>
  </x:si>
  <x:si>
    <x:t xml:space="preserve">展示最大持仓时已确认事件滚动值。</x:t>
  </x:si>
  <x:si>
    <x:t xml:space="preserve">资金节点｜资金闭环等级</x:t>
  </x:si>
  <x:si>
    <x:t xml:space="preserve">展示资金闭环等级。</x:t>
  </x:si>
  <x:si>
    <x:t xml:space="preserve">资金节点｜资金限制说明</x:t>
  </x:si>
  <x:si>
    <x:t xml:space="preserve">展示资金限制说明。</x:t>
  </x:si>
  <x:si>
    <x:t xml:space="preserve">资金节点｜T043反手三节点</x:t>
  </x:si>
  <x:si>
    <x:t xml:space="preserve">展示T043反手三节点。</x:t>
  </x:si>
  <x:si>
    <x:t xml:space="preserve">人工填写摘要｜是否按计划</x:t>
  </x:si>
  <x:si>
    <x:t xml:space="preserve">按T/U编号引用是否按计划。</x:t>
  </x:si>
  <x:si>
    <x:t xml:space="preserve">人工填写摘要｜最严重错误</x:t>
  </x:si>
  <x:si>
    <x:t xml:space="preserve">按T/U编号引用最严重错误。</x:t>
  </x:si>
  <x:si>
    <x:t xml:space="preserve">人工填写摘要｜做对的动作</x:t>
  </x:si>
  <x:si>
    <x:t xml:space="preserve">按T/U编号引用做对的动作。</x:t>
  </x:si>
  <x:si>
    <x:t xml:space="preserve">人工填写摘要｜应停止操作的时点</x:t>
  </x:si>
  <x:si>
    <x:t xml:space="preserve">按T/U编号引用应停止操作的时点。</x:t>
  </x:si>
  <x:si>
    <x:t xml:space="preserve">人工填写摘要｜正确做法</x:t>
  </x:si>
  <x:si>
    <x:t xml:space="preserve">按T/U编号引用正确做法。</x:t>
  </x:si>
  <x:si>
    <x:t xml:space="preserve">人工填写摘要｜下次阻断规则</x:t>
  </x:si>
  <x:si>
    <x:t xml:space="preserve">按T/U编号引用下次阻断规则。</x:t>
  </x:si>
  <x:si>
    <x:t xml:space="preserve">人工填写摘要｜重新复盘结论</x:t>
  </x:si>
  <x:si>
    <x:t xml:space="preserve">按T/U编号引用重新复盘结论。</x:t>
  </x:si>
  <x:si>
    <x:t xml:space="preserve">人工填写摘要｜复盘状态</x:t>
  </x:si>
  <x:si>
    <x:t xml:space="preserve">按T/U编号引用复盘状态。</x:t>
  </x:si>
  <x:si>
    <x:t xml:space="preserve">完整操作过程</x:t>
  </x:si>
  <x:si>
    <x:t xml:space="preserve">事件事实/判断</x:t>
  </x:si>
  <x:si>
    <x:t xml:space="preserve">逐事件显示T/U编号。</x:t>
  </x:si>
  <x:si>
    <x:t xml:space="preserve">T001仅有D2-C正式首仓和平仓事件；未显示的阶段A—E事件不代表未发生。</x:t>
  </x:si>
  <x:si>
    <x:t xml:space="preserve">技术_完整操作链及F2.4正式事件表</x:t>
  </x:si>
  <x:si>
    <x:t xml:space="preserve">逐事件显示事件时间。</x:t>
  </x:si>
  <x:si>
    <x:t xml:space="preserve">逐事件显示所属阶段。</x:t>
  </x:si>
  <x:si>
    <x:t xml:space="preserve">逐事件显示事件来源。</x:t>
  </x:si>
  <x:si>
    <x:t xml:space="preserve">逐事件显示用户意图。</x:t>
  </x:si>
  <x:si>
    <x:t xml:space="preserve">逐事件显示委托类型。</x:t>
  </x:si>
  <x:si>
    <x:t xml:space="preserve">逐事件显示委托价格或触发价格。</x:t>
  </x:si>
  <x:si>
    <x:t xml:space="preserve">逐事件显示委托数量。</x:t>
  </x:si>
  <x:si>
    <x:t xml:space="preserve">逐事件显示实际成交数量。</x:t>
  </x:si>
  <x:si>
    <x:t xml:space="preserve">逐事件显示最终状态。</x:t>
  </x:si>
  <x:si>
    <x:t xml:space="preserve">逐事件显示仓位变化前。</x:t>
  </x:si>
  <x:si>
    <x:t xml:space="preserve">逐事件显示仓位变化后。</x:t>
  </x:si>
  <x:si>
    <x:t xml:space="preserve">逐事件显示是否影响实际仓位。</x:t>
  </x:si>
  <x:si>
    <x:t xml:space="preserve">逐事件显示是否计入实际开仓。</x:t>
  </x:si>
  <x:si>
    <x:t xml:space="preserve">逐事件显示是否计入实际加仓。</x:t>
  </x:si>
  <x:si>
    <x:t xml:space="preserve">逐事件显示是否计入实际减仓。</x:t>
  </x:si>
  <x:si>
    <x:t xml:space="preserve">逐事件显示是否计入最终平仓。</x:t>
  </x:si>
  <x:si>
    <x:t xml:space="preserve">逐事件显示与上一委托的关系。</x:t>
  </x:si>
  <x:si>
    <x:t xml:space="preserve">逐事件显示判断等级。</x:t>
  </x:si>
  <x:si>
    <x:t xml:space="preserve">逐事件显示中文解释。</x:t>
  </x:si>
  <x:si>
    <x:t xml:space="preserve">逐事件显示是否需要人工确认。</x:t>
  </x:si>
  <x:si>
    <x:t xml:space="preserve">人工确认</x:t>
  </x:si>
  <x:si>
    <x:t xml:space="preserve">逐事件显示用户人工确认。</x:t>
  </x:si>
  <x:si>
    <x:t xml:space="preserve">逐事件显示关联说明。</x:t>
  </x:si>
  <x:si>
    <x:t xml:space="preserve">账户资金轨迹</x:t>
  </x:si>
  <x:si>
    <x:t xml:space="preserve">按T/U编号显示前一实际08:00总资产。</x:t>
  </x:si>
  <x:si>
    <x:t xml:space="preserve">按T/U编号显示开仓前已确认事件滚动值。</x:t>
  </x:si>
  <x:si>
    <x:t xml:space="preserve">不等于实时账户余额或实时总权益；负值不得解释为实际账户余额。</x:t>
  </x:si>
  <x:si>
    <x:t xml:space="preserve">按T/U编号显示持仓期间外部入金。</x:t>
  </x:si>
  <x:si>
    <x:t xml:space="preserve">按T/U编号显示持仓期间外部出金。</x:t>
  </x:si>
  <x:si>
    <x:t xml:space="preserve">按T/U编号显示当前交易正式净结果。</x:t>
  </x:si>
  <x:si>
    <x:t xml:space="preserve">按T/U编号显示其他主动交易影响。</x:t>
  </x:si>
  <x:si>
    <x:t xml:space="preserve">按T/U编号显示自动跟单影响。</x:t>
  </x:si>
  <x:si>
    <x:t xml:space="preserve">按T/U编号显示其他账户事件。</x:t>
  </x:si>
  <x:si>
    <x:t xml:space="preserve">按T/U编号显示平仓后已确认事件滚动值。</x:t>
  </x:si>
  <x:si>
    <x:t xml:space="preserve">按T/U编号显示后一实际08:00总资产。</x:t>
  </x:si>
  <x:si>
    <x:t xml:space="preserve">按T/U编号显示未分配快照差额。</x:t>
  </x:si>
  <x:si>
    <x:t xml:space="preserve">按T/U编号显示差额比例。</x:t>
  </x:si>
  <x:si>
    <x:t xml:space="preserve">按T/U编号显示展示限制说明。</x:t>
  </x:si>
  <x:si>
    <x:t xml:space="preserve">人工填写</x:t>
  </x:si>
  <x:si>
    <x:t xml:space="preserve">用户按T/U编号填写是否按计划；这是唯一人工输入源。</x:t>
  </x:si>
  <x:si>
    <x:t xml:space="preserve">缺失显示待填写或空白；不得由程序覆盖，不得把空白变成0。</x:t>
  </x:si>
  <x:si>
    <x:t xml:space="preserve">用户输入</x:t>
  </x:si>
  <x:si>
    <x:t xml:space="preserve">用户按T/U编号填写为什么多次撤单；这是唯一人工输入源。</x:t>
  </x:si>
  <x:si>
    <x:t xml:space="preserve">用户按T/U编号填写是否确认方向切换；这是唯一人工输入源。</x:t>
  </x:si>
  <x:si>
    <x:t xml:space="preserve">用户按T/U编号填写为什么加仓；这是唯一人工输入源。</x:t>
  </x:si>
  <x:si>
    <x:t xml:space="preserve">用户按T/U编号填写为什么反复挂单或撤单；这是唯一人工输入源。</x:t>
  </x:si>
  <x:si>
    <x:t xml:space="preserve">用户按T/U编号填写为什么调整止损；这是唯一人工输入源。</x:t>
  </x:si>
  <x:si>
    <x:t xml:space="preserve">用户按T/U编号填写最严重错误；这是唯一人工输入源。</x:t>
  </x:si>
  <x:si>
    <x:t xml:space="preserve">用户按T/U编号填写做对的动作；这是唯一人工输入源。</x:t>
  </x:si>
  <x:si>
    <x:t xml:space="preserve">用户按T/U编号填写应停止操作的时点；这是唯一人工输入源。</x:t>
  </x:si>
  <x:si>
    <x:t xml:space="preserve">用户按T/U编号填写正确做法；这是唯一人工输入源。</x:t>
  </x:si>
  <x:si>
    <x:t xml:space="preserve">用户按T/U编号填写下次阻断规则；这是唯一人工输入源。</x:t>
  </x:si>
  <x:si>
    <x:t xml:space="preserve">用户按T/U编号填写最大浮盈；这是唯一人工输入源。</x:t>
  </x:si>
  <x:si>
    <x:t xml:space="preserve">用户按T/U编号填写最大浮亏；这是唯一人工输入源。</x:t>
  </x:si>
  <x:si>
    <x:t xml:space="preserve">用户按T/U编号填写重新复盘结论；这是唯一人工输入源。</x:t>
  </x:si>
  <x:si>
    <x:t xml:space="preserve">用户按T/U编号填写是否完成复盘；这是唯一人工输入源。</x:t>
  </x:si>
  <x:si>
    <x:t xml:space="preserve">用户按T/U编号填写完成日期；这是唯一人工输入源。</x:t>
  </x:si>
  <x:si>
    <x:t xml:space="preserve">用户按T/U编号填写补充证据；这是唯一人工输入源。</x:t>
  </x:si>
  <x:si>
    <x:t xml:space="preserve">用户按T/U编号填写是否确认委托归属；这是唯一人工输入源。</x:t>
  </x:si>
  <x:si>
    <x:t xml:space="preserve">用户按T/U编号填写是否确认止损调整；这是唯一人工输入源。</x:t>
  </x:si>
  <x:si>
    <x:t xml:space="preserve">用户按T/U编号填写用户确认关系；这是唯一人工输入源。</x:t>
  </x:si>
  <x:si>
    <x:t xml:space="preserve">用户按T/U编号填写自动跟单人工说明；这是唯一人工输入源。</x:t>
  </x:si>
  <x:si>
    <x:t xml:space="preserve">用户按T/U编号填写备注；这是唯一人工输入源。</x:t>
  </x:si>
  <x:si>
    <x:t xml:space="preserve">专项</x:t>
  </x:si>
  <x:si>
    <x:t xml:space="preserve">T001证据边界</x:t>
  </x:si>
  <x:si>
    <x:t xml:space="preserve">证据边界</x:t>
  </x:si>
  <x:si>
    <x:t xml:space="preserve">T001仅显示D2-C正式首仓、平仓、仓位与资金事实。</x:t>
  </x:si>
  <x:si>
    <x:t xml:space="preserve">阶段A—E行为数字留空，摘要固定说明证据不可得。</x:t>
  </x:si>
  <x:si>
    <x:t xml:space="preserve">技术_主动交易用户汇总；技术_资金展示结果</x:t>
  </x:si>
  <x:si>
    <x:t xml:space="preserve">T043反手三节点</x:t>
  </x:si>
  <x:si>
    <x:t xml:space="preserve">资金节点</x:t>
  </x:si>
  <x:si>
    <x:t xml:space="preserve">按反手操作前、T042平仓完成后、T043首仓完成后展示三节点。</x:t>
  </x:si>
  <x:si>
    <x:t xml:space="preserve">同秒只展示可证实逻辑顺序，不伪造毫秒。</x:t>
  </x:si>
  <x:si>
    <x:t xml:space="preserve">T049资金限制</x:t>
  </x:si>
  <x:si>
    <x:t xml:space="preserve">显示外部入金、负滚动值及43,918.85 USDT未分配差额。</x:t>
  </x:si>
  <x:si>
    <x:t xml:space="preserve">负滚动值不得解释为实际账户总资产，差额不归因于T049。</x:t>
  </x:si>
  <x:si>
    <x:t xml:space="preserve">T069首仓前费用</x:t>
  </x:si>
  <x:si>
    <x:t xml:space="preserve">资金修正</x:t>
  </x:si>
  <x:si>
    <x:t xml:space="preserve">正式首仓前10笔账户费用合计-21.43 USDT，只影响开仓前滚动值。</x:t>
  </x:si>
  <x:si>
    <x:t xml:space="preserve">不属于T069正式周期净结果，不计入周期内手续费。</x:t>
  </x:si>
  <x:si>
    <x:t xml:space="preserve">技术_T067资金修正（历史工作表名称，现对应新T069）</x:t>
  </x:si>
  <x:si>
    <x:t xml:space="preserve">T069盈亏组成</x:t>
  </x:si>
  <x:si>
    <x:t xml:space="preserve">盈亏修正</x:t>
  </x:si>
  <x:si>
    <x:t xml:space="preserve">已实现盈亏1,319.00；周期内手续费-189.10；资金费0.00；正式净结果1,129.90 USDT。</x:t>
  </x:si>
  <x:si>
    <x:t xml:space="preserve">三项技术精确值必须闭合正式周期净结果。</x:t>
  </x:si>
  <x:si>
    <x:t xml:space="preserve">技术_逐笔复盘汇总；技术_主动交易用户汇总</x:t>
  </x:si>
  <x:si>
    <x:t xml:space="preserve">T125资金限制</x:t>
  </x:si>
  <x:si>
    <x:t xml:space="preserve">显示按已确认资金事件计算的负滚动值。</x:t>
  </x:si>
  <x:si>
    <x:t xml:space="preserve">不得解释为实际账户余额或总资产。</x:t>
  </x:si>
  <x:si>
    <x:t xml:space="preserve">F2.2旧字段</x:t>
  </x:si>
  <x:si>
    <x:t xml:space="preserve">主动/跟单</x:t>
  </x:si>
  <x:si>
    <x:t xml:space="preserve">替代/废止</x:t>
  </x:si>
  <x:si>
    <x:t xml:space="preserve">最终10笔均为个人主动交易；自动跟单退出个人人工复盘，字段无区分价值。</x:t>
  </x:si>
  <x:si>
    <x:t xml:space="preserve">旧隐藏技术表可保留历史结果，但用户工作表不得恢复。</x:t>
  </x:si>
  <x:si>
    <x:t xml:space="preserve">F2.2只读参考</x:t>
  </x:si>
  <x:si>
    <x:t xml:space="preserve">正确删除</x:t>
  </x:si>
  <x:si>
    <x:t xml:space="preserve">开仓前预估资金</x:t>
  </x:si>
  <x:si>
    <x:t xml:space="preserve">由开仓前已确认资金事件滚动值替代。</x:t>
  </x:si>
  <x:si>
    <x:t xml:space="preserve">已被新口径替代</x:t>
  </x:si>
  <x:si>
    <x:t xml:space="preserve">平仓后账户层预估资金</x:t>
  </x:si>
  <x:si>
    <x:t xml:space="preserve">由平仓后已确认资金事件滚动值替代。</x:t>
  </x:si>
  <x:si>
    <x:t xml:space="preserve">仅计本交易后的理论资金</x:t>
  </x:si>
  <x:si>
    <x:t xml:space="preserve">无法代表实际账户资金，正确删除。</x:t>
  </x:si>
  <x:si>
    <x:t xml:space="preserve">首仓后预估资金</x:t>
  </x:si>
  <x:si>
    <x:t xml:space="preserve">由仓位动作后已确认事件滚动值替代。</x:t>
  </x:si>
  <x:si>
    <x:t xml:space="preserve">最大持仓时预估资金</x:t>
  </x:si>
  <x:si>
    <x:t xml:space="preserve">由最大持仓时已确认事件滚动值替代。</x:t>
  </x:si>
  <x:si>
    <x:t xml:space="preserve">旧资金可靠度及说明</x:t>
  </x:si>
  <x:si>
    <x:t xml:space="preserve">由资金闭环等级与资金限制说明替代。</x:t>
  </x:si>
  <x:si>
    <x:t xml:space="preserve">旧净结果占比</x:t>
  </x:si>
  <x:si>
    <x:t xml:space="preserve">依赖旧预估资金，不再显示。</x:t>
  </x:si>
  <x:si>
    <x:t xml:space="preserve">旧首仓仓位倍数</x:t>
  </x:si>
  <x:si>
    <x:t xml:space="preserve">旧最大仓位倍数</x:t>
  </x:si>
  <x:si>
    <x:t xml:space="preserve">U005个人人工复盘</x:t>
  </x:si>
  <x:si>
    <x:t xml:space="preserve">自动跟单样本退出最终个人主动交易样本。</x:t>
  </x:si>
  <x:si>
    <x:t xml:space="preserve">数据来源</x:t>
  </x:si>
  <x:si>
    <x:t xml:space="preserve">9笔阶段A—E行为、盈亏组成和完整摘要的正式来源。</x:t>
  </x:si>
  <x:si>
    <x:t xml:space="preserve">不得以F2.2复制表或旧资金模型替代。</x:t>
  </x:si>
  <x:si>
    <x:t xml:space="preserve">技术_完整操作链</x:t>
  </x:si>
  <x:si>
    <x:t xml:space="preserve">完整事件链和23字段事实判断的正式来源。</x:t>
  </x:si>
  <x:si>
    <x:t xml:space="preserve">技术_条件委托演变／技术_条件逐笔汇总</x:t>
  </x:si>
  <x:si>
    <x:t xml:space="preserve">止盈止损与条件计划演变的正式来源。</x:t>
  </x:si>
  <x:si>
    <x:t xml:space="preserve">最终10笔D2-C正式交易、仓位和净结果来源。</x:t>
  </x:si>
  <x:si>
    <x:t xml:space="preserve">10条首仓、14条成功加仓和24条仓位建立动作来源。</x:t>
  </x:si>
  <x:si>
    <x:t xml:space="preserve">技术_限价平仓明细／技术_平仓意图汇总</x:t>
  </x:si>
  <x:si>
    <x:t xml:space="preserve">40次限价减仓或平仓尝试及结局来源。</x:t>
  </x:si>
  <x:si>
    <x:t xml:space="preserve">已确认资金事件滚动值、差额、闭环等级和专项节点来源。</x:t>
  </x:si>
  <x:si>
    <x:t xml:space="preserve">22个人工字段的唯一用户输入源。</x:t>
  </x:si>
  <x:si>
    <x:t xml:space="preserve">仓位方向</x:t>
  </x:si>
  <x:si>
    <x:t xml:space="preserve">个人主动/自动跟单</x:t>
  </x:si>
  <x:si>
    <x:t xml:space="preserve">正式首仓时间</x:t>
  </x:si>
  <x:si>
    <x:t xml:space="preserve">最终真实出场方式</x:t>
  </x:si>
  <x:si>
    <x:t xml:space="preserve">形成首仓真实委托编号</x:t>
  </x:si>
  <x:si>
    <x:t xml:space="preserve">最终平仓真实委托编号</x:t>
  </x:si>
  <x:si>
    <x:t xml:space="preserve">交易结果内容类型</x:t>
  </x:si>
  <x:si>
    <x:t xml:space="preserve">已实现盈亏技术精确值</x:t>
  </x:si>
  <x:si>
    <x:t xml:space="preserve">手续费技术精确值</x:t>
  </x:si>
  <x:si>
    <x:t xml:space="preserve">资金费技术精确值</x:t>
  </x:si>
  <x:si>
    <x:t xml:space="preserve">周期净结果技术精确值</x:t>
  </x:si>
  <x:si>
    <x:t xml:space="preserve">用户显示周期净结果</x:t>
  </x:si>
  <x:si>
    <x:t xml:space="preserve">交易结果中文摘要</x:t>
  </x:si>
  <x:si>
    <x:t xml:space="preserve">首仓前开仓尝试次数</x:t>
  </x:si>
  <x:si>
    <x:t xml:space="preserve">首仓前未成交撤销次数</x:t>
  </x:si>
  <x:si>
    <x:t xml:space="preserve">首仓前过期次数</x:t>
  </x:si>
  <x:si>
    <x:t xml:space="preserve">首仓前方向切换次数</x:t>
  </x:si>
  <x:si>
    <x:t xml:space="preserve">首仓前疑似改价重挂次数</x:t>
  </x:si>
  <x:si>
    <x:t xml:space="preserve">第一次尝试时间</x:t>
  </x:si>
  <x:si>
    <x:t xml:space="preserve">尝试至开仓时长</x:t>
  </x:si>
  <x:si>
    <x:t xml:space="preserve">形成首仓委托类型</x:t>
  </x:si>
  <x:si>
    <x:t xml:space="preserve">形成首仓数量技术精确值</x:t>
  </x:si>
  <x:si>
    <x:t xml:space="preserve">形成首仓均价技术精确值</x:t>
  </x:si>
  <x:si>
    <x:t xml:space="preserve">用户显示形成首仓均价</x:t>
  </x:si>
  <x:si>
    <x:t xml:space="preserve">首仓前需要人工确认数量</x:t>
  </x:si>
  <x:si>
    <x:t xml:space="preserve">首仓前中文摘要</x:t>
  </x:si>
  <x:si>
    <x:t xml:space="preserve">首仓前内容类型</x:t>
  </x:si>
  <x:si>
    <x:t xml:space="preserve">加仓尝试次数</x:t>
  </x:si>
  <x:si>
    <x:t xml:space="preserve">实际成功加仓次数</x:t>
  </x:si>
  <x:si>
    <x:t xml:space="preserve">未成交加仓撤销次数</x:t>
  </x:si>
  <x:si>
    <x:t xml:space="preserve">部分成交后撤余次数</x:t>
  </x:si>
  <x:si>
    <x:t xml:space="preserve">疑似加仓改价重挂次数</x:t>
  </x:si>
  <x:si>
    <x:t xml:space="preserve">实际部分减仓次数</x:t>
  </x:si>
  <x:si>
    <x:t xml:space="preserve">平仓委托尝试次数</x:t>
  </x:si>
  <x:si>
    <x:t xml:space="preserve">最终平仓次数</x:t>
  </x:si>
  <x:si>
    <x:t xml:space="preserve">最大持仓数量技术精确值</x:t>
  </x:si>
  <x:si>
    <x:t xml:space="preserve">最大持仓正式均价技术精确值</x:t>
  </x:si>
  <x:si>
    <x:t xml:space="preserve">用户显示最大持仓正式均价</x:t>
  </x:si>
  <x:si>
    <x:t xml:space="preserve">持仓操作中文摘要</x:t>
  </x:si>
  <x:si>
    <x:t xml:space="preserve">持仓操作内容类型</x:t>
  </x:si>
  <x:si>
    <x:t xml:space="preserve">止损设置次数</x:t>
  </x:si>
  <x:si>
    <x:t xml:space="preserve">止损取消次数</x:t>
  </x:si>
  <x:si>
    <x:t xml:space="preserve">止损过期次数</x:t>
  </x:si>
  <x:si>
    <x:t xml:space="preserve">疑似止损调整次数</x:t>
  </x:si>
  <x:si>
    <x:t xml:space="preserve">止损实际触发次数</x:t>
  </x:si>
  <x:si>
    <x:t xml:space="preserve">止损实际成交次数</x:t>
  </x:si>
  <x:si>
    <x:t xml:space="preserve">止损最终平仓次数</x:t>
  </x:si>
  <x:si>
    <x:t xml:space="preserve">止盈设置次数</x:t>
  </x:si>
  <x:si>
    <x:t xml:space="preserve">止盈取消次数</x:t>
  </x:si>
  <x:si>
    <x:t xml:space="preserve">止盈过期次数</x:t>
  </x:si>
  <x:si>
    <x:t xml:space="preserve">疑似止盈调整次数</x:t>
  </x:si>
  <x:si>
    <x:t xml:space="preserve">止盈实际触发次数</x:t>
  </x:si>
  <x:si>
    <x:t xml:space="preserve">止盈实际成交次数</x:t>
  </x:si>
  <x:si>
    <x:t xml:space="preserve">止盈最终平仓次数</x:t>
  </x:si>
  <x:si>
    <x:t xml:space="preserve">条件委托人工确认数量</x:t>
  </x:si>
  <x:si>
    <x:t xml:space="preserve">条件委托归属可靠度</x:t>
  </x:si>
  <x:si>
    <x:t xml:space="preserve">条件演变中文摘要</x:t>
  </x:si>
  <x:si>
    <x:t xml:space="preserve">条件委托内容类型</x:t>
  </x:si>
  <x:si>
    <x:t xml:space="preserve">前一实际快照时间</x:t>
  </x:si>
  <x:si>
    <x:t xml:space="preserve">前一实际总资产技术精确值</x:t>
  </x:si>
  <x:si>
    <x:t xml:space="preserve">用户显示前一实际总资产</x:t>
  </x:si>
  <x:si>
    <x:t xml:space="preserve">开仓前预估资金技术精确值</x:t>
  </x:si>
  <x:si>
    <x:t xml:space="preserve">开仓前预估最低值技术精确值</x:t>
  </x:si>
  <x:si>
    <x:t xml:space="preserve">开仓前预估最高值技术精确值</x:t>
  </x:si>
  <x:si>
    <x:t xml:space="preserve">用户显示开仓前预估资金</x:t>
  </x:si>
  <x:si>
    <x:t xml:space="preserve">首仓后预估资金技术精确值</x:t>
  </x:si>
  <x:si>
    <x:t xml:space="preserve">用户显示首仓后预估资金</x:t>
  </x:si>
  <x:si>
    <x:t xml:space="preserve">最大持仓时预估资金技术精确值</x:t>
  </x:si>
  <x:si>
    <x:t xml:space="preserve">用户显示最大持仓时预估资金</x:t>
  </x:si>
  <x:si>
    <x:t xml:space="preserve">仅计本交易后理论资金技术精确值</x:t>
  </x:si>
  <x:si>
    <x:t xml:space="preserve">用户显示仅计本交易后理论资金</x:t>
  </x:si>
  <x:si>
    <x:t xml:space="preserve">平仓后账户层预估资金技术精确值</x:t>
  </x:si>
  <x:si>
    <x:t xml:space="preserve">用户显示平仓后账户层预估资金</x:t>
  </x:si>
  <x:si>
    <x:t xml:space="preserve">后一实际快照时间</x:t>
  </x:si>
  <x:si>
    <x:t xml:space="preserve">后一实际总资产技术精确值</x:t>
  </x:si>
  <x:si>
    <x:t xml:space="preserve">用户显示后一实际总资产</x:t>
  </x:si>
  <x:si>
    <x:t xml:space="preserve">其他账户事件净额技术精确值</x:t>
  </x:si>
  <x:si>
    <x:t xml:space="preserve">用户显示其他账户事件净额</x:t>
  </x:si>
  <x:si>
    <x:t xml:space="preserve">净结果占开仓前资金比例技术精确值</x:t>
  </x:si>
  <x:si>
    <x:t xml:space="preserve">用户显示净结果占开仓前资金比例</x:t>
  </x:si>
  <x:si>
    <x:t xml:space="preserve">资金可靠度技术值</x:t>
  </x:si>
  <x:si>
    <x:t xml:space="preserve">用户显示资金可靠度</x:t>
  </x:si>
  <x:si>
    <x:t xml:space="preserve">可靠度说明</x:t>
  </x:si>
  <x:si>
    <x:t xml:space="preserve">主要未计入因素</x:t>
  </x:si>
  <x:si>
    <x:t xml:space="preserve">资金中文摘要</x:t>
  </x:si>
  <x:si>
    <x:t xml:space="preserve">资金内容类型</x:t>
  </x:si>
  <x:si>
    <x:t xml:space="preserve">首仓数量技术精确值</x:t>
  </x:si>
  <x:si>
    <x:t xml:space="preserve">首仓正式均价技术精确值</x:t>
  </x:si>
  <x:si>
    <x:t xml:space="preserve">用户显示首仓正式均价</x:t>
  </x:si>
  <x:si>
    <x:t xml:space="preserve">首仓名义价值技术精确值</x:t>
  </x:si>
  <x:si>
    <x:t xml:space="preserve">用户显示首仓名义价值</x:t>
  </x:si>
  <x:si>
    <x:t xml:space="preserve">首仓仓位倍数技术精确值</x:t>
  </x:si>
  <x:si>
    <x:t xml:space="preserve">用户显示首仓仓位倍数</x:t>
  </x:si>
  <x:si>
    <x:t xml:space="preserve">最大持仓数量</x:t>
  </x:si>
  <x:si>
    <x:t xml:space="preserve">最大持仓正式均价</x:t>
  </x:si>
  <x:si>
    <x:t xml:space="preserve">用户显示最大持仓均价</x:t>
  </x:si>
  <x:si>
    <x:t xml:space="preserve">最大名义价值技术精确值</x:t>
  </x:si>
  <x:si>
    <x:t xml:space="preserve">用户显示最大名义价值</x:t>
  </x:si>
  <x:si>
    <x:t xml:space="preserve">最大仓位倍数技术精确值</x:t>
  </x:si>
  <x:si>
    <x:t xml:space="preserve">用户显示最大仓位倍数</x:t>
  </x:si>
  <x:si>
    <x:t xml:space="preserve">仓位风险中文摘要</x:t>
  </x:si>
  <x:si>
    <x:t xml:space="preserve">仓位风险内容类型</x:t>
  </x:si>
  <x:si>
    <x:t xml:space="preserve">原当时判断</x:t>
  </x:si>
  <x:si>
    <x:t xml:space="preserve">原交易计划</x:t>
  </x:si>
  <x:si>
    <x:t xml:space="preserve">原入场原因</x:t>
  </x:si>
  <x:si>
    <x:t xml:space="preserve">原加仓原因</x:t>
  </x:si>
  <x:si>
    <x:t xml:space="preserve">原出场原因</x:t>
  </x:si>
  <x:si>
    <x:t xml:space="preserve">原当时情绪</x:t>
  </x:si>
  <x:si>
    <x:t xml:space="preserve">原追单标签</x:t>
  </x:si>
  <x:si>
    <x:t xml:space="preserve">原报复性交易标签</x:t>
  </x:si>
  <x:si>
    <x:t xml:space="preserve">原始备注</x:t>
  </x:si>
  <x:si>
    <x:t xml:space="preserve">阶段08既有行为标签</x:t>
  </x:si>
  <x:si>
    <x:t xml:space="preserve">原人工复盘内容类型</x:t>
  </x:si>
  <x:si>
    <x:t xml:space="preserve">阶段08标签内容类型</x:t>
  </x:si>
  <x:si>
    <x:t xml:space="preserve">当时为什么开仓</x:t>
  </x:si>
  <x:si>
    <x:t xml:space="preserve">当时为什么多次撤销开仓委托</x:t>
  </x:si>
  <x:si>
    <x:t xml:space="preserve">是否发生方向犹豫</x:t>
  </x:si>
  <x:si>
    <x:t xml:space="preserve">为什么设置取消或调整止损</x:t>
  </x:si>
  <x:si>
    <x:t xml:space="preserve">是否按照原计划执行</x:t>
  </x:si>
  <x:si>
    <x:t xml:space="preserve">最严重的错误动作</x:t>
  </x:si>
  <x:si>
    <x:t xml:space="preserve">哪个时点应该停止操作</x:t>
  </x:si>
  <x:si>
    <x:t xml:space="preserve">用户确认的委托关系</x:t>
  </x:si>
  <x:si>
    <x:t xml:space="preserve">为什么启用或继续跟单</x:t>
  </x:si>
  <x:si>
    <x:t xml:space="preserve">是否人工干预跟单</x:t>
  </x:si>
  <x:si>
    <x:t xml:space="preserve">跟单风险是否符合预期</x:t>
  </x:si>
  <x:si>
    <x:t xml:space="preserve">新人工填写内容类型</x:t>
  </x:si>
  <x:si>
    <x:t xml:space="preserve">用户可见完整交易摘要</x:t>
  </x:si>
  <x:si>
    <x:t xml:space="preserve">需要人工确认数量</x:t>
  </x:si>
  <x:si>
    <x:t xml:space="preserve">待人工确认事项</x:t>
  </x:si>
  <x:si>
    <x:t xml:space="preserve">待人工填写事项</x:t>
  </x:si>
  <x:si>
    <x:t xml:space="preserve">不可得指标说明</x:t>
  </x:si>
  <x:si>
    <x:t xml:space="preserve">数据可靠度总说明</x:t>
  </x:si>
  <x:si>
    <x:t xml:space="preserve">汇总结论内容类型</x:t>
  </x:si>
  <x:si>
    <x:t xml:space="preserve">2026-06-02</x:t>
  </x:si>
  <x:si>
    <x:t xml:space="preserve">BTCUSDT</x:t>
  </x:si>
  <x:si>
    <x:t xml:space="preserve">空头</x:t>
  </x:si>
  <x:si>
    <x:t xml:space="preserve">个人主动</x:t>
  </x:si>
  <x:si>
    <x:t xml:space="preserve">1小时59分37秒</x:t>
  </x:si>
  <x:si>
    <x:t xml:space="preserve">T042误触反手中的原空头结束</x:t>
  </x:si>
  <x:si>
    <x:t xml:space="preserve">1026954976434</x:t>
  </x:si>
  <x:si>
    <x:t xml:space="preserve">1027061028920</x:t>
  </x:si>
  <x:si>
    <x:t xml:space="preserve">交易所实际事实+正式精确计算</x:t>
  </x:si>
  <x:si>
    <x:t xml:space="preserve">-1192.8</x:t>
  </x:si>
  <x:si>
    <x:t xml:space="preserve">-399.70279997</x:t>
  </x:si>
  <x:si>
    <x:t xml:space="preserve">-1592.50279997</x:t>
  </x:si>
  <x:si>
    <x:t xml:space="preserve">-1,592.50</x:t>
  </x:si>
  <x:si>
    <x:t xml:space="preserve">周期已实现盈亏-1,192.80 USDT，手续费-399.70 USDT，资金费0.00 USDT；周期正式净结果为-1,592.50 USDT。</x:t>
  </x:si>
  <x:si>
    <x:t xml:space="preserve">0秒</x:t>
  </x:si>
  <x:si>
    <x:t xml:space="preserve">71,000.00</x:t>
  </x:si>
  <x:si>
    <x:t xml:space="preserve">本周期首仓前开仓意图链共1张不同开仓委托：0张未成交撤销、0张过期未成交、0张其他未成仓尝试、1张最终成功形成正式首仓；首仓前部分成交后撤余0张。真实委托1026954976434以限价成交4，是本意图链中形成首仓的成功委托。从首次尝试到正式开仓历时0秒；次数按委托单统计。</x:t>
  </x:si>
  <x:si>
    <x:t xml:space="preserve">交易所实际事实+高置信度推断+待人工确认</x:t>
  </x:si>
  <x:si>
    <x:t xml:space="preserve">2</x:t>
  </x:si>
  <x:si>
    <x:t xml:space="preserve">71269</x:t>
  </x:si>
  <x:si>
    <x:t xml:space="preserve">71,269.00</x:t>
  </x:si>
  <x:si>
    <x:t xml:space="preserve">持仓期间记录1张未形成实际加仓的加仓尝试，其中1张未成交撤销；另有1张真实成交委托成功增加仓位。部分成交后撤余0次，实际部分减仓0次，减仓或平仓委托尝试共2次，最终真实归零成交1次。加仓尝试和实际加仓分别统计，均不按Fill数量重复计算。</x:t>
  </x:si>
  <x:si>
    <x:t xml:space="preserve">交易所实际事实+正式精确计算+高置信度推断</x:t>
  </x:si>
  <x:si>
    <x:t xml:space="preserve">较高（均为B级高置信推断）</x:t>
  </x:si>
  <x:si>
    <x:t xml:space="preserve">持仓相关止损设置2次，其中取消1次、过期1次，识别出1次高置信度疑似调整；最终通过T042误触反手中的原空头结束归零；1张过期记录缺少终止时间或完整因果证据，具体原因不可得。</x:t>
  </x:si>
  <x:si>
    <x:t xml:space="preserve">设置/取消/过期/成交=交易所实际事实；疑似调整=高置信度推断；原因缺失=不可得</x:t>
  </x:si>
  <x:si>
    <x:t xml:space="preserve">2026-06-01 08:00:00</x:t>
  </x:si>
  <x:si>
    <x:t xml:space="preserve">16595.74</x:t>
  </x:si>
  <x:si>
    <x:t xml:space="preserve">16,595.74</x:t>
  </x:si>
  <x:si>
    <x:t xml:space="preserve">18312.88901795</x:t>
  </x:si>
  <x:si>
    <x:t xml:space="preserve">18,312.89</x:t>
  </x:si>
  <x:si>
    <x:t xml:space="preserve">18256.08901795</x:t>
  </x:si>
  <x:si>
    <x:t xml:space="preserve">18,256.09</x:t>
  </x:si>
  <x:si>
    <x:t xml:space="preserve">18210.21861795</x:t>
  </x:si>
  <x:si>
    <x:t xml:space="preserve">18,210.22</x:t>
  </x:si>
  <x:si>
    <x:t xml:space="preserve">16720.38621798</x:t>
  </x:si>
  <x:si>
    <x:t xml:space="preserve">16,720.39</x:t>
  </x:si>
  <x:si>
    <x:t xml:space="preserve">16743.19229798</x:t>
  </x:si>
  <x:si>
    <x:t xml:space="preserve">16,743.19</x:t>
  </x:si>
  <x:si>
    <x:t xml:space="preserve">2026-06-02 08:00:00</x:t>
  </x:si>
  <x:si>
    <x:t xml:space="preserve">3139.14</x:t>
  </x:si>
  <x:si>
    <x:t xml:space="preserve">3,139.14</x:t>
  </x:si>
  <x:si>
    <x:t xml:space="preserve">22.80608</x:t>
  </x:si>
  <x:si>
    <x:t xml:space="preserve">22.81</x:t>
  </x:si>
  <x:si>
    <x:t xml:space="preserve">-0.08696076290360599607633030323</x:t>
  </x:si>
  <x:si>
    <x:t xml:space="preserve">-8.70%</x:t>
  </x:si>
  <x:si>
    <x:t xml:space="preserve">低</x:t>
  </x:si>
  <x:si>
    <x:t xml:space="preserve">较低</x:t>
  </x:si>
  <x:si>
    <x:t xml:space="preserve">快照距离为12至24小时；阶段07桥接差额超过开仓基线5%；存在同期账户事件或并行仓位</x:t>
  </x:si>
  <x:si>
    <x:t xml:space="preserve">UNREALIZED_PNL_NOT_AVAILABLE|SNAPSHOT_SCOPE_DIFFERENCE|MULTI_ASSET_VALUATION_POSSIBLE</x:t>
  </x:si>
  <x:si>
    <x:t xml:space="preserve">前一张08:00实际总资产为16,595.74 USDT。开仓前快照锚定预估资金为18,312.89 USDT。本交易净亏损1,592.50 USDT，占开仓前预估资金的8.70%；仅计算本交易后理论资金为16,720.39 USDT。计入同期其他账户事件后，平仓时账户层预估资金为16,743.19 USDT。同期其他账户事件净额为22.81 USDT，不归因于当前交易。该笔资金数值基于实际08:00快照和正式资金事件推算，但因距离快照较远、并行交易或桥接差额等因素，可靠度较低，仅用于复盘参考，不代表成交时实时账户权益。</x:t>
  </x:si>
  <x:si>
    <x:t xml:space="preserve">实际快照=交易所/用户确认实际事实；周期结果=正式精确计算；账户资金=快照锚定预估</x:t>
  </x:si>
  <x:si>
    <x:t xml:space="preserve">284000</x:t>
  </x:si>
  <x:si>
    <x:t xml:space="preserve">284,000.00</x:t>
  </x:si>
  <x:si>
    <x:t xml:space="preserve">15.50820297778399446142972304</x:t>
  </x:si>
  <x:si>
    <x:t xml:space="preserve">15.51倍</x:t>
  </x:si>
  <x:si>
    <x:t xml:space="preserve">570152</x:t>
  </x:si>
  <x:si>
    <x:t xml:space="preserve">570,152.00</x:t>
  </x:si>
  <x:si>
    <x:t xml:space="preserve">31.13391881756866200765168822</x:t>
  </x:si>
  <x:si>
    <x:t xml:space="preserve">31.13倍</x:t>
  </x:si>
  <x:si>
    <x:t xml:space="preserve">首仓成本口径名义价值284,000.00 USDT，约为开仓前预估资金的15.51倍；最大成本口径名义价值570,152.00 USDT，约为31.13倍。成本口径仓位倍数不等于实际杠杆。</x:t>
  </x:si>
  <x:si>
    <x:t xml:space="preserve">正式精确计算+用户格式化展示</x:t>
  </x:si>
  <x:si>
    <x:t xml:space="preserve">未记录</x:t>
  </x:si>
  <x:si>
    <x:t xml:space="preserve">上一单保本损被打了之后行情持续上涨，在看到我上一单多单几乎是开在了短期内的低点后，情绪瞬间又难受了，又在算假如不设保本损，现在又盈利多少，现在又是多安全，于是在反弹不久又想着可能反弹刺破71000整数一点又会下去，于是我又在71000整数位挂单做空了4个btc，这个时候没设止损，开仓后行情持续上涨的过程里我在71538又浮亏加仓了4个btc，总仓位来到了8个btc，开仓均价71269，在上涨到最高71788后行情开始回调下跌，最后在扛单两个小时左右因为过于紧张不断地切换手机交易所里的界面导致误触“反手”按钮，最终在71418平仓了空单，同时也开了多单，这个时候我马上点开仓位记录，发现亏损很多，因为“反手”相当于收了两次高额手续费，这个时候心情很难受也很不服。</x:t>
  </x:si>
  <x:si>
    <x:t xml:space="preserve">既有复盘标签：开平价方向结果不利（非认知判断）[OBJECTIVE_DATA]｜成交价基准浮亏加仓与亏损并存[OBJECTIVE_DATA]｜止损相关文本信号与亏损并存（模型分类）[MODEL_INFERENCE]｜手续费[OBJECTIVE_DATA]</x:t>
  </x:si>
  <x:si>
    <x:t xml:space="preserve">用户原始填写</x:t>
  </x:si>
  <x:si>
    <x:t xml:space="preserve">阶段08既有标签</x:t>
  </x:si>
  <x:si>
    <x:t xml:space="preserve">用户原始填写（已映射项）/待用户填写</x:t>
  </x:si>
  <x:si>
    <x:t xml:space="preserve">本周期首仓前开仓意图链共1张不同开仓委托：0张未成交撤销、0张过期未成交、0张其他未成仓尝试、1张最终成功形成正式首仓；首仓前部分成交后撤余0张。真实委托1026954976434以限价成交4，是本意图链中形成首仓的成功委托。从首次尝试到正式开仓历时0秒；次数按委托单统计。持仓期间记录1张未形成实际加仓的加仓尝试，其中1张未成交撤销；另有1张真实成交委托成功增加仓位。部分成交后撤余0次，实际部分减仓0次，减仓或平仓委托尝试共2次，最终真实归零成交1次。加仓尝试和实际加仓分别统计，均不按Fill数量重复计算。条件计划记录止损设置2次、取消1次、过期1次、疑似调整1次、实际成交0次；止盈设置0次、取消0次、过期0次、疑似调整0次、实际成交0次。条件委托已过期，具体原因不可得。最终由真实委托1027061028920以市价成交使仓位归零；阶段C正式出场方式为“T042误触反手中的原空头结束”。前一张08:00实际总资产为16,595.74 USDT。开仓前快照锚定预估资金为18,312.89 USDT。本交易净亏损1,592.50 USDT，占开仓前预估资金的8.70%；仅计算本交易后理论资金为16,720.39 USDT。计入同期其他账户事件后，平仓时账户层预估资金为16,743.19 USDT。同期其他账户事件净额为22.81 USDT，不归因于当前交易。该笔资金数值基于实际08:00快照和正式资金事件推算，但因距离快照较远、并行交易或桥接差额等因素，可靠度较低，仅用于复盘参考，不代表成交时实时账户权益。首仓成本口径名义价值284,000.00 USDT，约为开仓前预估资金的15.51倍；最大成本口径名义价值570,152.00 USDT，约为31.13倍。成本口径仓位倍数不等于实际杠杆。待人工填写：是否按原计划执行、最严重的错误动作、做对的动作、应停止操作的时点、正确做法、下次阻断规则、重新复盘结论、加仓依据、设置、取消或调整止损的原因、用户确认的委托关系。</x:t>
  </x:si>
  <x:si>
    <x:t xml:space="preserve">1026989312770：时间相邻，可能属于连续操作</x:t>
  </x:si>
  <x:si>
    <x:t xml:space="preserve">是否按原计划执行、最严重的错误动作、做对的动作、应停止操作的时点、正确做法、下次阻断规则、重新复盘结论、加仓依据、设置、取消或调整止损的原因、用户确认的委托关系</x:t>
  </x:si>
  <x:si>
    <x:t xml:space="preserve">实时总权益、实时钱包余额、实时可用余额、实际保证金、初始保证金、维持保证金、实际杠杆路径、精确强平价、MFE、MAE、盘中真实最大浮盈、盘中真实最大浮亏、盘中真实最大回撤均不可得。</x:t>
  </x:si>
  <x:si>
    <x:t xml:space="preserve">该笔资金数值基于实际08:00快照和正式资金事件推算，但因距离快照较远、并行交易或桥接差额等因素，可靠度较低，仅用于复盘参考，不代表成交时实时账户权益。</x:t>
  </x:si>
  <x:si>
    <x:t xml:space="preserve">交易所实际事实+正式精确计算+快照锚定预估+高置信度推断+待人工确认+待用户填写</x:t>
  </x:si>
  <x:si>
    <x:t xml:space="preserve">多头</x:t>
  </x:si>
  <x:si>
    <x:t xml:space="preserve">8秒</x:t>
  </x:si>
  <x:si>
    <x:t xml:space="preserve">1027061030176</x:t>
  </x:si>
  <x:si>
    <x:t xml:space="preserve">1027061066339</x:t>
  </x:si>
  <x:si>
    <x:t xml:space="preserve">-25.28449957</x:t>
  </x:si>
  <x:si>
    <x:t xml:space="preserve">-571.33215743</x:t>
  </x:si>
  <x:si>
    <x:t xml:space="preserve">-596.616657</x:t>
  </x:si>
  <x:si>
    <x:t xml:space="preserve">-596.62</x:t>
  </x:si>
  <x:si>
    <x:t xml:space="preserve">周期已实现盈亏-25.28 USDT，手续费-571.33 USDT，资金费0.00 USDT；周期正式净结果为-596.62 USDT。</x:t>
  </x:si>
  <x:si>
    <x:t xml:space="preserve">71418.1</x:t>
  </x:si>
  <x:si>
    <x:t xml:space="preserve">71,418.10</x:t>
  </x:si>
  <x:si>
    <x:t xml:space="preserve">本周期首仓前开仓意图链共1张不同开仓委托：0张未成交撤销、0张过期未成交、0张其他未成仓尝试、1张最终成功形成正式首仓；首仓前部分成交后撤余0张。真实委托1027061030176以市价成交8，是本意图链中形成首仓的成功委托。从首次尝试到正式开仓历时0秒；次数按委托单统计。</x:t>
  </x:si>
  <x:si>
    <x:t xml:space="preserve">持仓期间记录0张未形成实际加仓的加仓尝试，其中0张未成交撤销；另有0张真实成交委托成功增加仓位。部分成交后撤余0次，实际部分减仓0次，减仓或平仓委托尝试共1次，最终真实归零成交1次。加仓尝试和实际加仓分别统计，均不按Fill数量重复计算。</x:t>
  </x:si>
  <x:si>
    <x:t xml:space="preserve">无相关条件委托记录</x:t>
  </x:si>
  <x:si>
    <x:t xml:space="preserve">未找到可纳入本周期的条件委托记录；最终通过普通市价平仓归零。</x:t>
  </x:si>
  <x:si>
    <x:t xml:space="preserve">18221.66469795</x:t>
  </x:si>
  <x:si>
    <x:t xml:space="preserve">16,743.19—18,221.66</x:t>
  </x:si>
  <x:si>
    <x:t xml:space="preserve">17935.99229798</x:t>
  </x:si>
  <x:si>
    <x:t xml:space="preserve">17,935.99</x:t>
  </x:si>
  <x:si>
    <x:t xml:space="preserve">17625.04804095</x:t>
  </x:si>
  <x:si>
    <x:t xml:space="preserve">17,625.05</x:t>
  </x:si>
  <x:si>
    <x:t xml:space="preserve">16146.57564098</x:t>
  </x:si>
  <x:si>
    <x:t xml:space="preserve">16,146.58</x:t>
  </x:si>
  <x:si>
    <x:t xml:space="preserve">-1478.47239997</x:t>
  </x:si>
  <x:si>
    <x:t xml:space="preserve">-1,478.47</x:t>
  </x:si>
  <x:si>
    <x:t xml:space="preserve">-0.0327421597801172045246360103</x:t>
  </x:si>
  <x:si>
    <x:t xml:space="preserve">-3.27%</x:t>
  </x:si>
  <x:si>
    <x:t xml:space="preserve">快照距离为12至24小时；阶段07桥接差额超过开仓基线5%；存在同秒事件先后顺序不确定；同期账户事件或并行仓位复杂</x:t>
  </x:si>
  <x:si>
    <x:t xml:space="preserve">前一张08:00实际总资产为16,595.74 USDT。T043发生同秒反手事件，现有证据不能唯一确定同秒资金事件的先后顺序，因此开仓前预估资金以区间显示为16,743.19—18,221.66 USDT。本交易净亏损596.62 USDT，占开仓前预估资金的3.27%；仅计算本交易后理论资金为17,625.05 USDT。计入同期其他账户事件后，平仓时账户层预估资金为16,146.58 USDT。同期其他账户事件净额为-1,478.47 USDT，不归因于当前交易。该笔资金数值基于实际08:00快照和正式资金事件推算，但因距离快照较远、并行交易或桥接差额等因素，可靠度较低，仅用于复盘参考，不代表成交时实时账户权益。</x:t>
  </x:si>
  <x:si>
    <x:t xml:space="preserve">571344.8</x:t>
  </x:si>
  <x:si>
    <x:t xml:space="preserve">571,344.80</x:t>
  </x:si>
  <x:si>
    <x:t xml:space="preserve">31.35524714513478324774170088</x:t>
  </x:si>
  <x:si>
    <x:t xml:space="preserve">31.36倍</x:t>
  </x:si>
  <x:si>
    <x:t xml:space="preserve">首仓成本口径名义价值571,344.80 USDT，约为开仓前预估资金的31.36倍；最大成本口径名义价值571,344.80 USDT，约为31.36倍。成本口径仓位倍数不等于实际杠杆。</x:t>
  </x:si>
  <x:si>
    <x:t xml:space="preserve">上一单空单持仓中误触“反手”按钮被动开的同等仓位多单，随后马上平仓了。</x:t>
  </x:si>
  <x:si>
    <x:t xml:space="preserve">既有复盘标签：开平价方向结果不利（非认知判断）[OBJECTIVE_DATA]｜止损相关文本信号与亏损并存（模型分类）[MODEL_INFERENCE]｜手续费[OBJECTIVE_DATA]</x:t>
  </x:si>
  <x:si>
    <x:t xml:space="preserve">本周期首仓前开仓意图链共1张不同开仓委托：0张未成交撤销、0张过期未成交、0张其他未成仓尝试、1张最终成功形成正式首仓；首仓前部分成交后撤余0张。真实委托1027061030176以市价成交8，是本意图链中形成首仓的成功委托。从首次尝试到正式开仓历时0秒；次数按委托单统计。持仓期间记录0张未形成实际加仓的加仓尝试，其中0张未成交撤销；另有0张真实成交委托成功增加仓位。部分成交后撤余0次，实际部分减仓0次，减仓或平仓委托尝试共1次，最终真实归零成交1次。加仓尝试和实际加仓分别统计，均不按Fill数量重复计算。条件计划记录止损设置0次、取消0次、过期0次、疑似调整0次、实际成交0次；止盈设置0次、取消0次、过期0次、疑似调整0次、实际成交0次。最终由真实委托1027061066339以市价成交使仓位归零；阶段C正式出场方式为“普通市价平仓”。前一张08:00实际总资产为16,595.74 USDT。T043发生同秒反手事件，现有证据不能唯一确定同秒资金事件的先后顺序，因此开仓前预估资金以区间显示为16,743.19—18,221.66 USDT。本交易净亏损596.62 USDT，占开仓前预估资金的3.27%；仅计算本交易后理论资金为17,625.05 USDT。计入同期其他账户事件后，平仓时账户层预估资金为16,146.58 USDT。同期其他账户事件净额为-1,478.47 USDT，不归因于当前交易。该笔资金数值基于实际08:00快照和正式资金事件推算，但因距离快照较远、并行交易或桥接差额等因素，可靠度较低，仅用于复盘参考，不代表成交时实时账户权益。首仓成本口径名义价值571,344.80 USDT，约为开仓前预估资金的31.36倍；最大成本口径名义价值571,344.80 USDT，约为31.36倍。成本口径仓位倍数不等于实际杠杆。待人工填写：是否按原计划执行、最严重的错误动作、做对的动作、应停止操作的时点、正确做法、下次阻断规则、重新复盘结论。</x:t>
  </x:si>
  <x:si>
    <x:t xml:space="preserve">无</x:t>
  </x:si>
  <x:si>
    <x:t xml:space="preserve">是否按原计划执行、最严重的错误动作、做对的动作、应停止操作的时点、正确做法、下次阻断规则、重新复盘结论</x:t>
  </x:si>
  <x:si>
    <x:t xml:space="preserve">8小时26分7秒</x:t>
  </x:si>
  <x:si>
    <x:t xml:space="preserve">条件止损触发平仓</x:t>
  </x:si>
  <x:si>
    <x:t xml:space="preserve">1027792632376</x:t>
  </x:si>
  <x:si>
    <x:t xml:space="preserve">1028236678944</x:t>
  </x:si>
  <x:si>
    <x:t xml:space="preserve">-36690.80369957</x:t>
  </x:si>
  <x:si>
    <x:t xml:space="preserve">-1411.82434834</x:t>
  </x:si>
  <x:si>
    <x:t xml:space="preserve">-39.29930331</x:t>
  </x:si>
  <x:si>
    <x:t xml:space="preserve">-38141.92735122</x:t>
  </x:si>
  <x:si>
    <x:t xml:space="preserve">-38,141.93</x:t>
  </x:si>
  <x:si>
    <x:t xml:space="preserve">周期已实现盈亏-36,690.80 USDT，手续费-1,411.82 USDT，资金费-39.30 USDT；周期正式净结果为-38,141.93 USDT。</x:t>
  </x:si>
  <x:si>
    <x:t xml:space="preserve">43分46秒</x:t>
  </x:si>
  <x:si>
    <x:t xml:space="preserve">69,540.00</x:t>
  </x:si>
  <x:si>
    <x:t xml:space="preserve">本周期首仓前开仓意图链共5张不同开仓委托：4张未成交撤销、0张过期未成交、0张其他未成仓尝试、1张最终成功形成正式首仓；首仓前部分成交后撤余0张。真实委托1027792632376以限价成交4，是本意图链中形成首仓的成功委托。客观识别方向切换4次；具体主观原因待人工填写。从首次尝试到正式开仓历时43分46秒；次数按委托单统计。</x:t>
  </x:si>
  <x:si>
    <x:t xml:space="preserve">67803.3113148310938088660052743940725857089036795177696847922</x:t>
  </x:si>
  <x:si>
    <x:t xml:space="preserve">67,803.31</x:t>
  </x:si>
  <x:si>
    <x:t xml:space="preserve">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Fill数量重复计算。</x:t>
  </x:si>
  <x:si>
    <x:t xml:space="preserve">14</x:t>
  </x:si>
  <x:si>
    <x:t xml:space="preserve">13</x:t>
  </x:si>
  <x:si>
    <x:t xml:space="preserve">3</x:t>
  </x:si>
  <x:si>
    <x:t xml:space="preserve">中（含C级待人工确认）</x:t>
  </x:si>
  <x:si>
    <x:t xml:space="preserve">持仓相关止损设置14次，其中取消13次、过期0次，识别出10次高置信度疑似调整；止盈设置8次，其中取消8次、过期0次，识别出7次高置信度疑似调整；共有1张条件委托经生成基础Order和真实Fill后使仓位归零。</x:t>
  </x:si>
  <x:si>
    <x:t xml:space="preserve">3315.43985308</x:t>
  </x:si>
  <x:si>
    <x:t xml:space="preserve">3,315.44</x:t>
  </x:si>
  <x:si>
    <x:t xml:space="preserve">3259.80785308</x:t>
  </x:si>
  <x:si>
    <x:t xml:space="preserve">3,259.81</x:t>
  </x:si>
  <x:si>
    <x:t xml:space="preserve">27857.88737538</x:t>
  </x:si>
  <x:si>
    <x:t xml:space="preserve">27,857.89</x:t>
  </x:si>
  <x:si>
    <x:t xml:space="preserve">-34826.48749814</x:t>
  </x:si>
  <x:si>
    <x:t xml:space="preserve">-34,826.49</x:t>
  </x:si>
  <x:si>
    <x:t xml:space="preserve">-5729.22065526</x:t>
  </x:si>
  <x:si>
    <x:t xml:space="preserve">-5,729.22</x:t>
  </x:si>
  <x:si>
    <x:t xml:space="preserve">2026-06-03 08:00:00</x:t>
  </x:si>
  <x:si>
    <x:t xml:space="preserve">33920.31</x:t>
  </x:si>
  <x:si>
    <x:t xml:space="preserve">33,920.31</x:t>
  </x:si>
  <x:si>
    <x:t xml:space="preserve">29097.26684288</x:t>
  </x:si>
  <x:si>
    <x:t xml:space="preserve">29,097.27</x:t>
  </x:si>
  <x:si>
    <x:t xml:space="preserve">-11.50433397722074534097190886</x:t>
  </x:si>
  <x:si>
    <x:t xml:space="preserve">-1150.43%</x:t>
  </x:si>
  <x:si>
    <x:t xml:space="preserve">阶段07桥接差额超过开仓基线5%；同期账户事件或并行仓位复杂</x:t>
  </x:si>
  <x:si>
    <x:t xml:space="preserve">UNREALIZED_PNL_NOT_AVAILABLE|SNAPSHOT_SCOPE_DIFFERENCE|MULTI_ASSET_VALUATION_POSSIBLE|EVENT_TIME_BOUNDARY</x:t>
  </x:si>
  <x:si>
    <x:t xml:space="preserve">前一张08:00实际总资产为3,139.14 USDT。开仓前快照锚定预估资金为3,315.44 USDT。本交易净亏损38,141.93 USDT，占开仓前预估资金的1150.43%；仅计算本交易后理论资金为-34,826.49 USDT。计入同期其他账户事件后，平仓时账户层预估资金为-5,729.22 USDT。同期其他账户事件净额为29,097.27 USDT，不归因于当前交易。该笔资金数值基于实际08:00快照和正式资金事件推算，但因距离快照较远、并行交易或桥接差额等因素，可靠度较低，仅用于复盘参考，不代表成交时实时账户权益。</x:t>
  </x:si>
  <x:si>
    <x:t xml:space="preserve">278160</x:t>
  </x:si>
  <x:si>
    <x:t xml:space="preserve">278,160.00</x:t>
  </x:si>
  <x:si>
    <x:t xml:space="preserve">83.89837014886366282335054835</x:t>
  </x:si>
  <x:si>
    <x:t xml:space="preserve">83.90倍</x:t>
  </x:si>
  <x:si>
    <x:t xml:space="preserve">1888457.826740675624764535979</x:t>
  </x:si>
  <x:si>
    <x:t xml:space="preserve">1,888,457.83</x:t>
  </x:si>
  <x:si>
    <x:t xml:space="preserve">569.594958866867438857195454</x:t>
  </x:si>
  <x:si>
    <x:t xml:space="preserve">569.59倍</x:t>
  </x:si>
  <x:si>
    <x:t xml:space="preserve">首仓成本口径名义价值278,160.00 USDT，约为开仓前预估资金的83.90倍；最大成本口径名义价值1,888,457.83 USDT，约为569.59倍。成本口径仓位倍数不等于实际杠杆。</x:t>
  </x:si>
  <x:si>
    <x:t xml:space="preserve">上一单空单平仓后，这个时候我依然是重仓短撸思维，多次在不同的价格挂了多空单，然后又取消，最后一次在69540重仓开了4个btc多单，这一次没有像前面那样如期上涨到69700左右再下跌，而是下跌到69360-69500之间震荡，中间跌到69360附近浮亏的时候就想着赶紧保本平仓吧，于是设置了69598的保本价，这样不会亏手续费。最终行情最高涨到69588后再次下跌，这个时候开始难受了，也有点意识到可能涨不上去了，但是又侥幸心理作祟想着扛回去，而且本来就是想着重仓赚个100点的差价，不想小亏平仓。前面刚开始因为无聊打开电脑画线。那一刻开始有了重仓短撸之后，就一直都是看小级别的k线，看着就像震荡，所以也一直没舍得小亏出场，加上自己想着要是下跌，我就继续加仓，这样我成本又好，又能变相克服自己不敢一次性开更大仓位的心理。（还有这个时候我的保证金余额是14500u左右，从复盘的第一条开始也是我本轮入金的开始，本轮入金14500，来来回回，本金也差不多是维持再14500u左右），这时候价格又从69360-69500之间震荡后，下跌96200开头，这个时候已经是一点反弹的迹象都没有了，但是此刻我还是很淡定的，心想着美股马上开盘了，真的要下跌的话一般美股开盘都会反弹一下再跌下去，反弹上去之后我再平多做空就行了。但是没想到美股开盘前就跌破了69000，这个时候我以为最多只会像之前的某段行情那样，69200是支撑，极限跌到68888这个吉利数字打多头止损就会上去，于是想着跌到68888就浮亏加仓，但是在临近68888的时候我又撤单了，从68888反弹到69160附近后又再次下跌，这个时候我不敢在68888加仓了，在我看来69200已经变成了压力位，但是我没想过止损平仓，于是我又猜测可能会深度打损下跌到68600附近就会上来，而不是大家可能猜到的68888，于是我在68568挂单5个btc空单，美股开盘后已经从68888反弹到了69000附近，随后又在68700-68000震荡，最后下跌触发了我的68568的5个btc空单挂单，总仓位9个btc，这个时候开仓均价来到了69200，但是最终反弹也只是反弹到了68700又下去了，下去跌破68000在67700附近震荡时，我的爆仓价是67300附近，因为害怕爆仓索性在68000平掉了4个比特币，平掉之后看到反弹很弱害怕爆仓，又急切的想要回本，于是马上紧急联系入金商家又入金了29000u，有了更多的保证金后，于是在跌到了67333时又加仓2个比特币，在下跌又小反弹的过程中，我又在67480加仓5个比特币，这个时候最高涨到了67800，如果平仓的话我当天的亏损就是4000u而已，但是没有，当价格再次下跌。我又在67390加仓5个比特币，之后价格再度上涨到67600附近，如果保本平仓要涨到67900，但是最终又跌下去了，跌下去到了67236时又加仓10.852个比特币，最终总共开了27.852个比特币，整个加仓的过程中不断地拿计算器计算浮亏加仓的平均价格，去计算假如我在某个位置早点或者迟点重仓加仓的话，在某个时刻都已经回本了，最终加完最终的仓位27.852个btc后没多久。价格再度走弱下跌，当价格下跌到67100附近徘徊时，看到可能又面临爆仓，于是我又马上联系入金商家，因为已经是半夜凌晨打了很多个电话都没回复，最终在跌破67000后挂了爆仓价附近66500左右止损，最终价格最低下跌到了66388触及了我的止损，最后亏了38141u。</x:t>
  </x:si>
  <x:si>
    <x:t xml:space="preserve">既有复盘标签：开平价方向结果不利（非认知判断）[OBJECTIVE_DATA]｜成交价基准浮亏加仓与亏损并存[OBJECTIVE_DATA]｜止损相关文本信号与亏损并存（模型分类）[MODEL_INFERENCE]｜长持仓与亏损并存（模型分类）[MODEL_INFERENCE]｜报复性交易自述与亏损并存[COMBINED_EVIDENCE]</x:t>
  </x:si>
  <x:si>
    <x:t xml:space="preserve">本周期首仓前开仓意图链共5张不同开仓委托：4张未成交撤销、0张过期未成交、0张其他未成仓尝试、1张最终成功形成正式首仓；首仓前部分成交后撤余0张。真实委托1027792632376以限价成交4，是本意图链中形成首仓的成功委托。客观识别方向切换4次；具体主观原因待人工填写。从首次尝试到正式开仓历时43分46秒；次数按委托单统计。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Fill数量重复计算。条件计划记录止损设置14次、取消13次、过期0次、疑似调整10次、实际成交1次；止盈设置8次、取消8次、过期0次、疑似调整7次、实际成交0次。最终由真实委托1028236678944以市价成交使仓位归零；阶段C正式出场方式为“条件止损触发平仓”。前一张08:00实际总资产为3,139.14 USDT。开仓前快照锚定预估资金为3,315.44 USDT。本交易净亏损38,141.93 USDT，占开仓前预估资金的1150.43%；仅计算本交易后理论资金为-34,826.49 USDT。计入同期其他账户事件后，平仓时账户层预估资金为-5,729.22 USDT。同期其他账户事件净额为29,097.27 USDT，不归因于当前交易。该笔资金数值基于实际08:00快照和正式资金事件推算，但因距离快照较远、并行交易或桥接差额等因素，可靠度较低，仅用于复盘参考，不代表成交时实时账户权益。首仓成本口径名义价值278,160.00 USDT，约为开仓前预估资金的83.90倍；最大成本口径名义价值1,888,457.83 USDT，约为569.59倍。成本口径仓位倍数不等于实际杠杆。待人工填写：是否按原计划执行、最严重的错误动作、做对的动作、应停止操作的时点、正确做法、下次阻断规则、重新复盘结论、多次撤销开仓委托的原因、确认方向切换及主观原因、加仓依据、设置、取消或调整止损的原因、用户确认的委托关系。</x:t>
  </x:si>
  <x:si>
    <x:t xml:space="preserve">23</x:t>
  </x:si>
  <x:si>
    <x:t xml:space="preserve">1027822121418：时间相邻，可能属于连续操作；1027833108440：时间相邻，可能属于连续操作；1027833251905：时间相邻，可能属于连续操作；1027835919490：时间相邻，可能属于连续操作；1027837463184：时间相邻，可能属于连续操作；1027838392012：时间相邻，可能属于连续操作；1027852240518：时间相邻，可能属于连续操作；1027941467404：时间相邻，可能属于连续操作；1027974281197：时间相邻，可能属于连续操作；1027980203840：时间相邻，可能属于连续操作；1027984742420：时间相邻，可能属于连续操作；1028025235008：时间相邻，可能属于连续操作；P0-COND-0361：确认该C级候选是否确属本T/U；确认与前序同类条件委托是否属于同一调整链；1028096371686：时间相邻，可能属于连续操作；1028104831447：时间相邻，可能属于连续操作；1028108526872：时间相邻，可能属于连续操作；1028110869695：时间相邻，可能属于连续操作；1028153124931：时间相邻，可能属于连续操作；1028155011561：时间相邻，可能属于连续操作；1028185137059：时间相邻，可能属于连续操作；1028186365580：时间相邻，可能属于连续操作；P0-COND-0357：确认与前序同类条件委托是否属于同一调整链；P0-COND-0352：确认与前序同类条件委托是否属于同一调整链</x:t>
  </x:si>
  <x:si>
    <x:t xml:space="preserve">是否按原计划执行、最严重的错误动作、做对的动作、应停止操作的时点、正确做法、下次阻断规则、重新复盘结论、多次撤销开仓委托的原因、确认方向切换及主观原因、加仓依据、设置、取消或调整止损的原因、用户确认的委托关系</x:t>
  </x:si>
  <x:si>
    <x:t xml:space="preserve">2026-06-05</x:t>
  </x:si>
  <x:si>
    <x:t xml:space="preserve">58分56秒</x:t>
  </x:si>
  <x:si>
    <x:t xml:space="preserve">1031930167587</x:t>
  </x:si>
  <x:si>
    <x:t xml:space="preserve">1032003900695</x:t>
  </x:si>
  <x:si>
    <x:t xml:space="preserve">78.09999999</x:t>
  </x:si>
  <x:si>
    <x:t xml:space="preserve">-17.61436</x:t>
  </x:si>
  <x:si>
    <x:t xml:space="preserve">60.48563999</x:t>
  </x:si>
  <x:si>
    <x:t xml:space="preserve">60.49</x:t>
  </x:si>
  <x:si>
    <x:t xml:space="preserve">周期已实现盈亏78.10 USDT，手续费-17.61 USDT，资金费0.00 USDT；周期正式净结果为60.49 USDT。</x:t>
  </x:si>
  <x:si>
    <x:t xml:space="preserve">3小时23分4秒</x:t>
  </x:si>
  <x:si>
    <x:t xml:space="preserve">61,053.00</x:t>
  </x:si>
  <x:si>
    <x:t xml:space="preserve">本周期首仓前开仓意图链共4张不同开仓委托：3张未成交撤销、0张过期未成交、0张其他未成仓尝试、1张最终成功形成正式首仓；首仓前部分成交后撤余0张。真实委托1031930167587以限价成交0.2，是本意图链中形成首仓的成功委托。客观识别方向切换1次；具体主观原因待人工填写。识别出2次高置信度疑似改价或改量重挂。从首次尝试到正式开仓历时3小时23分4秒；次数按委托单统计。</x:t>
  </x:si>
  <x:si>
    <x:t xml:space="preserve">60706.6</x:t>
  </x:si>
  <x:si>
    <x:t xml:space="preserve">60,706.60</x:t>
  </x:si>
  <x:si>
    <x:t xml:space="preserve">持仓期间记录0张未形成实际加仓的加仓尝试，其中0张未成交撤销；另有3张真实成交委托成功增加仓位。部分成交后撤余0次，实际部分减仓1次，减仓或平仓委托尝试共2次，最终真实归零成交1次。加仓尝试和实际加仓分别统计，均不按Fill数量重复计算。</x:t>
  </x:si>
  <x:si>
    <x:t xml:space="preserve">高（含正式A级闭环）</x:t>
  </x:si>
  <x:si>
    <x:t xml:space="preserve">持仓相关止损设置1次，其中取消0次、过期0次，识别出0次高置信度疑似调整；共有1张条件委托经生成基础Order和真实Fill后使仓位归零。</x:t>
  </x:si>
  <x:si>
    <x:t xml:space="preserve">2026-06-05 08:00:00</x:t>
  </x:si>
  <x:si>
    <x:t xml:space="preserve">30062.76</x:t>
  </x:si>
  <x:si>
    <x:t xml:space="preserve">30,062.76</x:t>
  </x:si>
  <x:si>
    <x:t xml:space="preserve">30572.59864316</x:t>
  </x:si>
  <x:si>
    <x:t xml:space="preserve">30,572.60</x:t>
  </x:si>
  <x:si>
    <x:t xml:space="preserve">30570.15652316</x:t>
  </x:si>
  <x:si>
    <x:t xml:space="preserve">30,570.16</x:t>
  </x:si>
  <x:si>
    <x:t xml:space="preserve">30568.94540316</x:t>
  </x:si>
  <x:si>
    <x:t xml:space="preserve">30,568.95</x:t>
  </x:si>
  <x:si>
    <x:t xml:space="preserve">30633.08428315</x:t>
  </x:si>
  <x:si>
    <x:t xml:space="preserve">30,633.08</x:t>
  </x:si>
  <x:si>
    <x:t xml:space="preserve">30636.89973421</x:t>
  </x:si>
  <x:si>
    <x:t xml:space="preserve">30,636.90</x:t>
  </x:si>
  <x:si>
    <x:t xml:space="preserve">2026-06-06 08:00:00</x:t>
  </x:si>
  <x:si>
    <x:t xml:space="preserve">30166.53</x:t>
  </x:si>
  <x:si>
    <x:t xml:space="preserve">30,166.53</x:t>
  </x:si>
  <x:si>
    <x:t xml:space="preserve">3.81545106</x:t>
  </x:si>
  <x:si>
    <x:t xml:space="preserve">3.82</x:t>
  </x:si>
  <x:si>
    <x:t xml:space="preserve">0.001978426521604581931990113651</x:t>
  </x:si>
  <x:si>
    <x:t xml:space="preserve">0.20%</x:t>
  </x:si>
  <x:si>
    <x:t xml:space="preserve">中</x:t>
  </x:si>
  <x:si>
    <x:t xml:space="preserve">中等</x:t>
  </x:si>
  <x:si>
    <x:t xml:space="preserve">快照距离为12至24小时；阶段07桥接差额为开仓基线1%至5%；存在同期账户事件或并行仓位</x:t>
  </x:si>
  <x:si>
    <x:t xml:space="preserve">SNAPSHOT_SCOPE_DIFFERENCE|MULTI_ASSET_VALUATION_POSSIBLE</x:t>
  </x:si>
  <x:si>
    <x:t xml:space="preserve">前一张08:00实际总资产为30,062.76 USDT。开仓前快照锚定预估资金为30,572.60 USDT。本交易净盈利60.49 USDT，占开仓前预估资金的0.20%；仅计算本交易后理论资金为30,633.08 USDT。计入同期其他账户事件后，平仓时账户层预估资金为30,636.90 USDT。同期其他账户事件净额为3.82 USDT，不归因于当前交易。资金估算可靠度为中等；资金值来自实际08:00快照和正式事件的锚定推算，不代表成交时实时账户权益。</x:t>
  </x:si>
  <x:si>
    <x:t xml:space="preserve">12210.6</x:t>
  </x:si>
  <x:si>
    <x:t xml:space="preserve">12,210.60</x:t>
  </x:si>
  <x:si>
    <x:t xml:space="preserve">0.3993968632670312618239435734</x:t>
  </x:si>
  <x:si>
    <x:t xml:space="preserve">0.40倍</x:t>
  </x:si>
  <x:si>
    <x:t xml:space="preserve">18211.98</x:t>
  </x:si>
  <x:si>
    <x:t xml:space="preserve">18,211.98</x:t>
  </x:si>
  <x:si>
    <x:t xml:space="preserve">0.5956961726599764139118817978</x:t>
  </x:si>
  <x:si>
    <x:t xml:space="preserve">0.60倍</x:t>
  </x:si>
  <x:si>
    <x:t xml:space="preserve">首仓成本口径名义价值12,210.60 USDT，约为开仓前预估资金的0.40倍；最大成本口径名义价值18,211.98 USDT，约为0.60倍。成本口径仓位倍数不等于实际杠杆。</x:t>
  </x:si>
  <x:si>
    <x:t xml:space="preserve">Zec扛单保本平仓后，因为是不熟悉的品种，加上反弹得很猛，所以下定决心不再碰zec，上一单btc保本损后下跌到62200附近接着又反弹上去63050附近，短线震荡一会后价格再度跌破63000到了62800震荡，这个时候看起来是反弹走弱了，但是想到我上一单空单开仓位也是在附近，因为又想着要更高的位置再开空，于是又忽略了这些走弱的信号，当价格再次下跌跌破62500的时候我还是挂空单在63000上方，这个时候我跟朋友出去喝酒吃饭了，开始吃饭看到价格维持在62700-62800的时候内心还是舒服的，心想着一会美股开盘后才是真行情，但是随后在后续吃饭的过程中看到走势越来越弱，心情、情绪又开始不稳定了，因为这个时候4h收线价格再次跌破62000最低跌到了61600附近，当价格再次从61600反弹到62437最高价时再次下跌测试61600，随后再次反弹，这个时候美股准备开盘了，我也准备结束饭局了，我又猜测价格会不会上涨到62500下方，前高62437上方然后再下跌，于是把空单挂在了62477，随后后美股开盘后先下跌再上涨到最高62310后就持续下跌，等饭局结束后再看手机，这个时候价格再次跌到前低61050附近，想到自己因为一顿饭没能专注的看行情导致错失了一波下跌行情，也因为过于追求完美点位导致再一次错失。但是我明知比特币已经处于下跌趋势的情况下，还是犯了老毛病，去做多处于下跌行情且是在61000关口徘徊的btc，随后在61053开仓0.2个btc做多，接着又在60360-61200之间加仓、减仓、加仓又平仓。这里我已经知道是要继续跌了的，但是前面跌了这么多了已经不敢在这里做空了，不能做多的原因我都知道：1.第二次震荡下跌到61000附近，而不是加速下跌，2.弱反弹，跟2月下跌当天猛拉1万点以上不同，这次拉到64739就下跌了。这一单也算是摆烂单吧，也算是不珍惜本金，开的仓位小也不算是想赚钱的单子，纯属是害怕错过行情。</x:t>
  </x:si>
  <x:si>
    <x:t xml:space="preserve">既有复盘标签：反弹收益（模型分类）[MODEL_INFERENCE]</x:t>
  </x:si>
  <x:si>
    <x:t xml:space="preserve">本周期首仓前开仓意图链共4张不同开仓委托：3张未成交撤销、0张过期未成交、0张其他未成仓尝试、1张最终成功形成正式首仓；首仓前部分成交后撤余0张。真实委托1031930167587以限价成交0.2，是本意图链中形成首仓的成功委托。客观识别方向切换1次；具体主观原因待人工填写。识别出2次高置信度疑似改价或改量重挂。从首次尝试到正式开仓历时3小时23分4秒；次数按委托单统计。持仓期间记录0张未形成实际加仓的加仓尝试，其中0张未成交撤销；另有3张真实成交委托成功增加仓位。部分成交后撤余0次，实际部分减仓1次，减仓或平仓委托尝试共2次，最终真实归零成交1次。加仓尝试和实际加仓分别统计，均不按Fill数量重复计算。条件计划记录止损设置1次、取消0次、过期0次、疑似调整0次、实际成交1次；止盈设置0次、取消0次、过期0次、疑似调整0次、实际成交0次。最终由真实委托1032003900695以市价成交使仓位归零；阶段C正式出场方式为“条件止损触发平仓”。前一张08:00实际总资产为30,062.76 USDT。开仓前快照锚定预估资金为30,572.60 USDT。本交易净盈利60.49 USDT，占开仓前预估资金的0.20%；仅计算本交易后理论资金为30,633.08 USDT。计入同期其他账户事件后，平仓时账户层预估资金为30,636.90 USDT。同期其他账户事件净额为3.82 USDT，不归因于当前交易。资金估算可靠度为中等；资金值来自实际08:00快照和正式事件的锚定推算，不代表成交时实时账户权益。首仓成本口径名义价值12,210.60 USDT，约为开仓前预估资金的0.40倍；最大成本口径名义价值18,211.98 USDT，约为0.60倍。成本口径仓位倍数不等于实际杠杆。待人工填写：是否按原计划执行、最严重的错误动作、做对的动作、应停止操作的时点、正确做法、下次阻断规则、重新复盘结论、多次撤销开仓委托的原因、确认方向切换及主观原因、加仓依据、设置、取消或调整止损的原因、用户确认的委托关系。</x:t>
  </x:si>
  <x:si>
    <x:t xml:space="preserve">1031936908330：时间相邻，可能属于连续操作；1031959959104：时间相邻，可能属于连续操作；1031972247039：时间相邻，可能属于连续操作；1032003900695：时间相邻，可能属于连续操作</x:t>
  </x:si>
  <x:si>
    <x:t xml:space="preserve">资金估算可靠度为中等；资金值来自实际08:00快照和正式事件的锚定推算，不代表成交时实时账户权益。</x:t>
  </x:si>
  <x:si>
    <x:t xml:space="preserve">2026-06-18</x:t>
  </x:si>
  <x:si>
    <x:t xml:space="preserve">SNDKUSDT</x:t>
  </x:si>
  <x:si>
    <x:t xml:space="preserve">4小时34分7秒</x:t>
  </x:si>
  <x:si>
    <x:t xml:space="preserve">1050071253</x:t>
  </x:si>
  <x:si>
    <x:t xml:space="preserve">1060465810</x:t>
  </x:si>
  <x:si>
    <x:t xml:space="preserve">-22038.20290012</x:t>
  </x:si>
  <x:si>
    <x:t xml:space="preserve">-178.023281</x:t>
  </x:si>
  <x:si>
    <x:t xml:space="preserve">-22216.22618112</x:t>
  </x:si>
  <x:si>
    <x:t xml:space="preserve">-22,216.23</x:t>
  </x:si>
  <x:si>
    <x:t xml:space="preserve">周期已实现盈亏-22,038.20 USDT，手续费-178.02 USDT，资金费0.00 USDT；周期正式净结果为-22,216.23 USDT。</x:t>
  </x:si>
  <x:si>
    <x:t xml:space="preserve">44分14秒</x:t>
  </x:si>
  <x:si>
    <x:t xml:space="preserve">2,095.00</x:t>
  </x:si>
  <x:si>
    <x:t xml:space="preserve">本周期首仓前开仓意图链共4张不同开仓委托：3张未成交撤销、0张过期未成交、0张其他未成仓尝试、1张最终成功形成正式首仓；首仓前部分成交后撤余0张。真实委托1050071253以限价成交100，是本意图链中形成首仓的成功委托。识别出3次高置信度疑似改价或改量重挂。从首次尝试到正式开仓历时44分14秒；次数按委托单统计。</x:t>
  </x:si>
  <x:si>
    <x:t xml:space="preserve">6</x:t>
  </x:si>
  <x:si>
    <x:t xml:space="preserve">2115.1</x:t>
  </x:si>
  <x:si>
    <x:t xml:space="preserve">2,115.10</x:t>
  </x:si>
  <x:si>
    <x:t xml:space="preserve">持仓期间记录6张未形成实际加仓的加仓尝试，其中6张未成交撤销；另有1张真实成交委托成功增加仓位。部分成交后撤余0次，实际部分减仓0次，减仓或平仓委托尝试共10次，最终真实归零成交1次。识别出3次高置信度疑似加仓改价重挂。加仓尝试和实际加仓分别统计，均不按Fill数量重复计算。</x:t>
  </x:si>
  <x:si>
    <x:t xml:space="preserve">持仓相关止损设置3次，其中取消2次、过期0次，识别出1次高置信度疑似调整；止盈设置3次，其中取消2次、过期1次，识别出1次高置信度疑似调整；共有1张条件委托经生成基础Order和真实Fill后使仓位归零；1张过期记录缺少终止时间或完整因果证据，具体原因不可得。</x:t>
  </x:si>
  <x:si>
    <x:t xml:space="preserve">2026-06-18 08:00:00</x:t>
  </x:si>
  <x:si>
    <x:t xml:space="preserve">25258.33</x:t>
  </x:si>
  <x:si>
    <x:t xml:space="preserve">25,258.33</x:t>
  </x:si>
  <x:si>
    <x:t xml:space="preserve">25268.8287816</x:t>
  </x:si>
  <x:si>
    <x:t xml:space="preserve">25,268.83</x:t>
  </x:si>
  <x:si>
    <x:t xml:space="preserve">3052.60260048</x:t>
  </x:si>
  <x:si>
    <x:t xml:space="preserve">3,052.60</x:t>
  </x:si>
  <x:si>
    <x:t xml:space="preserve">6301.74698804</x:t>
  </x:si>
  <x:si>
    <x:t xml:space="preserve">6,301.75</x:t>
  </x:si>
  <x:si>
    <x:t xml:space="preserve">2026-06-19 08:00:00</x:t>
  </x:si>
  <x:si>
    <x:t xml:space="preserve">13440.01</x:t>
  </x:si>
  <x:si>
    <x:t xml:space="preserve">13,440.01</x:t>
  </x:si>
  <x:si>
    <x:t xml:space="preserve">3249.14438756</x:t>
  </x:si>
  <x:si>
    <x:t xml:space="preserve">3,249.14</x:t>
  </x:si>
  <x:si>
    <x:t xml:space="preserve">-0.8791949311594998314023480541</x:t>
  </x:si>
  <x:si>
    <x:t xml:space="preserve">-87.92%</x:t>
  </x:si>
  <x:si>
    <x:t xml:space="preserve">前一张08:00实际总资产为25,258.33 USDT。开仓前快照锚定预估资金为25,268.83 USDT。本交易净亏损22,216.23 USDT，占开仓前预估资金的87.92%；仅计算本交易后理论资金为3,052.60 USDT。计入同期其他账户事件后，平仓时账户层预估资金为6,301.75 USDT。同期其他账户事件净额为3,249.14 USDT，不归因于当前交易。该笔资金数值基于实际08:00快照和正式资金事件推算，但因距离快照较远、并行交易或桥接差额等因素，可靠度较低，仅用于复盘参考，不代表成交时实时账户权益。</x:t>
  </x:si>
  <x:si>
    <x:t xml:space="preserve">209500</x:t>
  </x:si>
  <x:si>
    <x:t xml:space="preserve">209,500.00</x:t>
  </x:si>
  <x:si>
    <x:t xml:space="preserve">8.290847265250045529636927128</x:t>
  </x:si>
  <x:si>
    <x:t xml:space="preserve">8.29倍</x:t>
  </x:si>
  <x:si>
    <x:t xml:space="preserve">423020</x:t>
  </x:si>
  <x:si>
    <x:t xml:space="preserve">423,020.00</x:t>
  </x:si>
  <x:si>
    <x:t xml:space="preserve">16.74078381931300362743204255</x:t>
  </x:si>
  <x:si>
    <x:t xml:space="preserve">16.74倍</x:t>
  </x:si>
  <x:si>
    <x:t xml:space="preserve">首仓成本口径名义价值209,500.00 USDT，约为开仓前预估资金的8.29倍；最大成本口径名义价值423,020.00 USDT，约为16.74倍。成本口径仓位倍数不等于实际杠杆。</x:t>
  </x:si>
  <x:si>
    <x:t xml:space="preserve">在社群看到群友说的kol看跌到上涨趋势线63600附近后，想到64630开的btc空单因为没看kol直播，导致自己没能在第一次下跌到63600附近的时候平仓，转念一想要是自己在63600平仓后又再次在64600附近做空，这样不就能多赚3000多u。想着错失了所谓的3000多u后，又想赚回来，于是在美股开盘前想到了前2天发生的事情：当时是2026.6.16美股开盘前，看着kol比特肥的直播，他也是在用小仓位在sndk2050左右的位置做空，当是当时sndk基本都是在我上一单sndk空单做空时的行情震荡，价格在我上一单sndk平仓后，再次上涨突破2125附近的前高并突破新高到2165，之后在2130-2165之间震荡后下跌，之后又在2112-2140之间震荡，到了美股开盘前想要再次尝试赌sndk开盘后先拉后跌，于是又想着挂新高附近2162做空，但是看到在前面新高2165附近因为币安深度低的问题，sndk插针打到一个假的新高2173，于是把本来想要在2162做空的挂单挂到了2187做空，想着要么插一针要么真的创新高到吉利数字2188再下跌，但是美股开盘后价格涨到6164就快速跌下去了，而且还跌破了我上一单sndk空单开仓价2067，之后接着跌破2000整数大关，到了后面行情基本就是多次在涨到2050-2080之间后又下跌到1950左右，也因此我没能在预计2162高位做空的情况下，看到跌这么多心情肯定也是难受的，真的要做空的时候不跌，当犹豫的时候又跌这么多。
有了前面这些事情的影响下，在美股开盘前，我从外面吃饭回来，看到sndk的价格走势又有了舔一口的想法，也有了想通过sndk把所谓的没能在btc上来回做而失去的利润拿回来的想法，这个时候sndk从低点1950左右反弹到2000上方后，就一直在小步反弹，并且在美股开盘前从2030反弹到2060左右，这个时候我又想sndk会不会像之前多次在美股开盘时拉升然后下跌？于是看了过往的历史k线后，又通过猜测打算在2110挂单空，美股开盘后sndk先是反弹到2072然后下跌到2032，这个时候我心里很急，想着干嘛把空单挂那么高，前面sndk都跌破2000了，反弹也不会反弹到2100整数上方的，于是我又把2110的挂单改到2090，这个时候行情跌到2032低点后开始反弹，当反弹到2085时我又把2090的挂单改到了2095，刚改到2095空100个sndk马上就成交了，没设止损，设了2068止盈，空进去后价格持续拉升到2099，看到这种情况感觉不妙，于是把止盈改到了2094，当看到价格快接近2094时又马上取消了止盈，这个时候最低下跌到了2091后行情再度持续反弹，之后最低只是回调到2101就再也没有回头，看着还未触发止盈的btc空单浮盈3000u左右，但是sndk浮亏了2000u了，心想着好不容易终于有一单赚钱了，不能让好不容易赚到的钱亏掉，当价格上涨到2135的时候，我又加仓了100sndk，总仓位200sndk，均价2115。加仓后，btc的空单也触发止盈了，触发止盈后我的账户资产也回到了50000上方，看着资产回到了50000上方，加上好不容易赚一笔钱，这个时候还是舍不得止损，当浮亏到了8000u的时候想着要是浮亏10000u就平仓，但是当真正浮亏10000u的时候还是舍不得，止损我又放到了爆仓价附近，最后价格上涨到2188后又下跌到2150附近，这个时候心里相对舒服多了，没那么紧张了，但是没多久又开始拉升，这个时候已经是非常累非常困了，但是一眯眼又吓醒，当价格再度拉升到2180上方时我挂了6次限价单想再次浮亏加仓，但是计算了加仓后的爆仓价后又害怕，于是想着那就亏10000u以下平，于是又挂了2162附近平仓，把止损从爆仓价附近改到了亏损本金一半平仓，刚改完没多久就被触发了止损，点进去k线一看，又是币安交易所搞鬼，一根分钟k极速上涨到2242又极速跌回正常价格2180，这个时候内心极度的痛苦，本来不应该发生的事情，就因为在币安交易所，就因为币安的深度低导致无辜的被打损，被打损后价格也回到了我设置的2162平仓价，这个时候的心情更加的无言，在经历这件事后，再看到账户从50000u变成了27000u，瞬间一股无力感来袭，最后跟币安客服交涉也没用。</x:t>
  </x:si>
  <x:si>
    <x:t xml:space="preserve">既有复盘标签：开平价方向结果不利（非认知判断）[OBJECTIVE_DATA]｜成交价基准浮亏加仓与亏损并存[OBJECTIVE_DATA]｜止损相关文本信号与亏损并存（模型分类）[MODEL_INFERENCE]</x:t>
  </x:si>
  <x:si>
    <x:t xml:space="preserve">本周期首仓前开仓意图链共4张不同开仓委托：3张未成交撤销、0张过期未成交、0张其他未成仓尝试、1张最终成功形成正式首仓；首仓前部分成交后撤余0张。真实委托1050071253以限价成交100，是本意图链中形成首仓的成功委托。识别出3次高置信度疑似改价或改量重挂。从首次尝试到正式开仓历时44分14秒；次数按委托单统计。持仓期间记录6张未形成实际加仓的加仓尝试，其中6张未成交撤销；另有1张真实成交委托成功增加仓位。部分成交后撤余0次，实际部分减仓0次，减仓或平仓委托尝试共10次，最终真实归零成交1次。识别出3次高置信度疑似加仓改价重挂。加仓尝试和实际加仓分别统计，均不按Fill数量重复计算。条件计划记录止损设置3次、取消2次、过期0次、疑似调整1次、实际成交1次；止盈设置3次、取消2次、过期1次、疑似调整1次、实际成交0次。条件委托已过期，具体原因不可得。最终由真实委托1060465810以市价成交使仓位归零；阶段C正式出场方式为“条件止损触发平仓”。前一张08:00实际总资产为25,258.33 USDT。开仓前快照锚定预估资金为25,268.83 USDT。本交易净亏损22,216.23 USDT，占开仓前预估资金的87.92%；仅计算本交易后理论资金为3,052.60 USDT。计入同期其他账户事件后，平仓时账户层预估资金为6,301.75 USDT。同期其他账户事件净额为3,249.14 USDT，不归因于当前交易。该笔资金数值基于实际08:00快照和正式资金事件推算，但因距离快照较远、并行交易或桥接差额等因素，可靠度较低，仅用于复盘参考，不代表成交时实时账户权益。首仓成本口径名义价值209,500.00 USDT，约为开仓前预估资金的8.29倍；最大成本口径名义价值423,020.00 USDT，约为16.74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</x:si>
  <x:si>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11</x:t>
  </x:si>
  <x:si>
    <x:t xml:space="preserve">P0-COND-0086：确认该C级候选是否确属本T/U；1052090647：时间相邻，可能属于连续操作；1052170210：时间相邻，可能属于连续操作；1053208737：时间相邻，可能属于连续操作；1053686946：时间相邻，可能属于连续操作；1055496361：时间相邻，可能属于连续操作；1057409275：时间相邻，可能属于连续操作；1059274157：时间相邻，可能属于连续操作；1059825264：时间相邻，可能属于连续操作；P0-COND-0084：确认与前序同类条件委托是否属于同一调整链；P0-COND-0081：确认与前序同类条件委托是否属于同一调整链</x:t>
  </x:si>
  <x:si>
    <x:t xml:space="preserve">是否按原计划执行、最严重的错误动作、做对的动作、应停止操作的时点、正确做法、下次阻断规则、重新复盘结论、多次撤销开仓委托的原因、加仓依据、设置、取消或调整止损的原因、用户确认的委托关系</x:t>
  </x:si>
  <x:si>
    <x:t xml:space="preserve">2026-06-19</x:t>
  </x:si>
  <x:si>
    <x:t xml:space="preserve">1天10小时2分30秒</x:t>
  </x:si>
  <x:si>
    <x:t xml:space="preserve">普通限价平仓</x:t>
  </x:si>
  <x:si>
    <x:t xml:space="preserve">1046507354503</x:t>
  </x:si>
  <x:si>
    <x:t xml:space="preserve">1047668429253</x:t>
  </x:si>
  <x:si>
    <x:t xml:space="preserve">-21573.37599972</x:t>
  </x:si>
  <x:si>
    <x:t xml:space="preserve">-379.59507518</x:t>
  </x:si>
  <x:si>
    <x:t xml:space="preserve">113.87935608</x:t>
  </x:si>
  <x:si>
    <x:t xml:space="preserve">-21839.09171882</x:t>
  </x:si>
  <x:si>
    <x:t xml:space="preserve">-21,839.09</x:t>
  </x:si>
  <x:si>
    <x:t xml:space="preserve">周期已实现盈亏-21,573.38 USDT，手续费-379.60 USDT，资金费113.88 USDT；周期正式净结果为-21,839.09 USDT。</x:t>
  </x:si>
  <x:si>
    <x:t xml:space="preserve">4小时35分24秒</x:t>
  </x:si>
  <x:si>
    <x:t xml:space="preserve">62,509.10</x:t>
  </x:si>
  <x:si>
    <x:t xml:space="preserve">本周期首仓前开仓意图链共8张不同开仓委托：7张未成交撤销、0张过期未成交、0张其他未成仓尝试、1张最终成功形成正式首仓；首仓前部分成交后撤余0张。真实委托1046507354503以限价成交10，是本意图链中形成首仓的成功委托。识别出5次高置信度疑似改价或改量重挂。从首次尝试到正式开仓历时4小时35分24秒；次数按委托单统计。</x:t>
  </x:si>
  <x:si>
    <x:t xml:space="preserve">62546.7333333333333333333333333333333333333333333333333333333</x:t>
  </x:si>
  <x:si>
    <x:t xml:space="preserve">62,546.73</x:t>
  </x:si>
  <x:si>
    <x:t xml:space="preserve">持仓期间记录1张未形成实际加仓的加仓尝试，其中1张未成交撤销；另有1张真实成交委托成功增加仓位。部分成交后撤余0次，实际部分减仓1次，减仓或平仓委托尝试共7次，最终真实归零成交1次。加仓尝试和实际加仓分别统计，均不按Fill数量重复计算。</x:t>
  </x:si>
  <x:si>
    <x:t xml:space="preserve">持仓相关止损设置9次，其中取消8次、过期1次，识别出6次高置信度疑似调整；止盈设置6次，其中取消5次、过期1次，识别出4次高置信度疑似调整；最终通过普通限价平仓归零；2张过期记录缺少终止时间或完整因果证据，具体原因不可得。</x:t>
  </x:si>
  <x:si>
    <x:t xml:space="preserve">13779.67468092</x:t>
  </x:si>
  <x:si>
    <x:t xml:space="preserve">13,779.67</x:t>
  </x:si>
  <x:si>
    <x:t xml:space="preserve">13654.65648092</x:t>
  </x:si>
  <x:si>
    <x:t xml:space="preserve">13,654.66</x:t>
  </x:si>
  <x:si>
    <x:t xml:space="preserve">13617.03812092</x:t>
  </x:si>
  <x:si>
    <x:t xml:space="preserve">13,617.04</x:t>
  </x:si>
  <x:si>
    <x:t xml:space="preserve">-8059.4170379</x:t>
  </x:si>
  <x:si>
    <x:t xml:space="preserve">-8,059.42</x:t>
  </x:si>
  <x:si>
    <x:t xml:space="preserve">-8009.82526614</x:t>
  </x:si>
  <x:si>
    <x:t xml:space="preserve">-8,009.83</x:t>
  </x:si>
  <x:si>
    <x:t xml:space="preserve">2026-06-21 08:00:00</x:t>
  </x:si>
  <x:si>
    <x:t xml:space="preserve">6362.6</x:t>
  </x:si>
  <x:si>
    <x:t xml:space="preserve">6,362.60</x:t>
  </x:si>
  <x:si>
    <x:t xml:space="preserve">49.59177176</x:t>
  </x:si>
  <x:si>
    <x:t xml:space="preserve">49.59</x:t>
  </x:si>
  <x:si>
    <x:t xml:space="preserve">-1.584877163251136565279852772</x:t>
  </x:si>
  <x:si>
    <x:t xml:space="preserve">-158.49%</x:t>
  </x:si>
  <x:si>
    <x:t xml:space="preserve">前一张08:00实际总资产为13,440.01 USDT。开仓前快照锚定预估资金为13,779.67 USDT。本交易净亏损21,839.09 USDT，占开仓前预估资金的158.49%；仅计算本交易后理论资金为-8,059.42 USDT。计入同期其他账户事件后，平仓时账户层预估资金为-8,009.83 USDT。同期其他账户事件净额为49.59 USDT，不归因于当前交易。该笔资金数值基于实际08:00快照和正式资金事件推算，但因距离快照较远、并行交易或桥接差额等因素，可靠度较低，仅用于复盘参考，不代表成交时实时账户权益。</x:t>
  </x:si>
  <x:si>
    <x:t xml:space="preserve">625091</x:t>
  </x:si>
  <x:si>
    <x:t xml:space="preserve">625,091.00</x:t>
  </x:si>
  <x:si>
    <x:t xml:space="preserve">45.36326252066974040355093774</x:t>
  </x:si>
  <x:si>
    <x:t xml:space="preserve">45.36倍</x:t>
  </x:si>
  <x:si>
    <x:t xml:space="preserve">938201</x:t>
  </x:si>
  <x:si>
    <x:t xml:space="preserve">938,201.00</x:t>
  </x:si>
  <x:si>
    <x:t xml:space="preserve">68.08585991504416335597839888</x:t>
  </x:si>
  <x:si>
    <x:t xml:space="preserve">68.09倍</x:t>
  </x:si>
  <x:si>
    <x:t xml:space="preserve">首仓成本口径名义价值625,091.00 USDT，约为开仓前预估资金的45.36倍；最大成本口径名义价值938,201.00 USDT，约为68.09倍。成本口径仓位倍数不等于实际杠杆。</x:t>
  </x:si>
  <x:si>
    <x:t xml:space="preserve">上一单重仓btc的空单平仓后，睡醒看到触发止盈平仓后依然下跌到最低62237，于是又陷入懊恼，要是自己不睡觉不就可以盈利几千u了吗，懊恼过后看到btc又从我睡醒后看到的价格62700附近下跌到62300附近，这个时候内心又开始焦虑、焦躁、抓耳挠腮了，后面不管做什么都要拿着手机看，总是在祈祷着不要下跌，最后在看到价格从62300上涨到62600上方又舒服了，这时候价格在62650附近徘徊，想着要不要在这里就空进去，但是想到上一单btc触发了止盈平仓后跌到最低62237时又反弹，反弹到最高62880后又下跌到62400附近又反弹到62700上方，于是想着起码要在这两个高点附近空，这样也安心一点，还有一点就是上一单开仓价是62708，想着起码也要比上一单的开仓价高，就这样又不断地在62700-62800之间挂单，加上此时的价格在62650左右徘徊，想着只要上去一点就能触发限价空单挂单了，这个时候kol胡总开始了直播，我进去看直播又听到他讲行情可能会下跌，加之刚好他讲的时候btc从62650左右突然跌到了62550附近，这个时候心情又突然非常焦虑非常的懊恼自己前面在62650左右时干嘛不做空，于是又把挂单改到62635空，在坐立不安的情绪影响下，当价格再次从下跌到62460后又反弹时，马上又把62635的挂单改到62509重仓空10个btc，改好之后接着就挂单成功了，空进去没多久开始下跌到62400-62550之间震荡，当价格再次下跌到62315后，行情突然开始爆拉，当反弹到62622的时候我马上加仓了5个btc，总仓位来到了15个btc，开仓均价62546，想着这样成本更好了，但是加进去后行情继续上涨，最高涨到62977，这个时候我已经害怕了，想挂62506平仓，但是回调到最低62629就接着反弹，且反弹破了前高63200，之后行情开始在62900-63380之间反复震荡，中间最低插针到62836后又迅速反弹，这波反弹是受到以色列跟黎巴嫩停战影响拉升的，在扛单的过程中，依然是时刻手机不离手，我开始反复查看各个社群，各个kol发文，各种直播，到了2026.6.20早上，以为btc最多只是会涨到63600下跌趋势线附近就会下跌，所以最开始的止损是想设在63600附近的，但是又怕打一针上去又下来，最后又是设了爆仓价附近止损，谁知又涨到最高63894，涨到63894后又下跌，但是最低跌到63555又开始小步慢涨，这时候感觉情况不对劲，于是我在63716平仓了一半7.5个btc，剩下的7.5个btc空单继续持有，持有的过程中最高涨到了64370，涨到64370后又迅速收回到64180，之后下跌最低插针到63661后又小步慢涨反弹，这时候我发现在小级别15k又有了走三角收敛的趋势，在小幅度突破三角收敛来到64000上方想平仓了又看到下跌到63900，于是又有了侥幸心理没平仓，当价格再次上涨到64000上方时我没手动平仓，而且不断地挂限价单平仓，因为限价单平仓手续费便宜，每挂一次就上涨一点，之后不断地挂限价单止盈，挂了几次几个位置之后，最后在64256限价平仓了。最终整个单子开仓均价62546，平仓均价63984。</x:t>
  </x:si>
  <x:si>
    <x:t xml:space="preserve">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x:t>
  </x:si>
  <x:si>
    <x:t xml:space="preserve">本周期首仓前开仓意图链共8张不同开仓委托：7张未成交撤销、0张过期未成交、0张其他未成仓尝试、1张最终成功形成正式首仓；首仓前部分成交后撤余0张。真实委托1046507354503以限价成交10，是本意图链中形成首仓的成功委托。识别出5次高置信度疑似改价或改量重挂。从首次尝试到正式开仓历时4小时35分24秒；次数按委托单统计。持仓期间记录1张未形成实际加仓的加仓尝试，其中1张未成交撤销；另有1张真实成交委托成功增加仓位。部分成交后撤余0次，实际部分减仓1次，减仓或平仓委托尝试共7次，最终真实归零成交1次。加仓尝试和实际加仓分别统计，均不按Fill数量重复计算。条件计划记录止损设置9次、取消8次、过期1次、疑似调整6次、实际成交0次；止盈设置6次、取消5次、过期1次、疑似调整4次、实际成交0次。条件委托已过期，具体原因不可得。最终由真实委托1047668429253以限价成交使仓位归零；阶段C正式出场方式为“普通限价平仓”。前一张08:00实际总资产为13,440.01 USDT。开仓前快照锚定预估资金为13,779.67 USDT。本交易净亏损21,839.09 USDT，占开仓前预估资金的158.49%；仅计算本交易后理论资金为-8,059.42 USDT。计入同期其他账户事件后，平仓时账户层预估资金为-8,009.83 USDT。同期其他账户事件净额为49.59 USDT，不归因于当前交易。该笔资金数值基于实际08:00快照和正式资金事件推算，但因距离快照较远、并行交易或桥接差额等因素，可靠度较低，仅用于复盘参考，不代表成交时实时账户权益。首仓成本口径名义价值625,091.00 USDT，约为开仓前预估资金的45.36倍；最大成本口径名义价值938,201.00 USDT，约为68.09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</x:si>
  <x:si>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1046486693437：时间相邻，可能属于连续操作；1046504898347：时间相邻，可能属于连续操作；1046516252596：本区间首张订单级委托；1046524572647：时间相邻，可能属于连续操作；P0-COND-0067：确认该C级候选是否确属本T/U；P0-COND-0066：确认该C级候选是否确属本T/U；确认与前序同类条件委托是否属于同一调整链；1046832109976：无可确认的上一委托关系；P0-COND-0065：确认该C级候选是否确属本T/U；1046917544477：无可确认的上一委托关系；1047423392188：无可确认的上一委托关系；1047658985943：时间相邻，可能属于连续操作；P0-COND-0064：确认与前序同类条件委托是否属于同一调整链；P0-COND-0061：确认与前序同类条件委托是否属于同一调整链</x:t>
  </x:si>
  <x:si>
    <x:t xml:space="preserve">2026-06-17</x:t>
  </x:si>
  <x:si>
    <x:t xml:space="preserve">4小时22分38秒</x:t>
  </x:si>
  <x:si>
    <x:t xml:space="preserve">1044516184446</x:t>
  </x:si>
  <x:si>
    <x:t xml:space="preserve">1044748235436</x:t>
  </x:si>
  <x:si>
    <x:t xml:space="preserve">-300.30600009</x:t>
  </x:si>
  <x:si>
    <x:t xml:space="preserve">-262.49280595</x:t>
  </x:si>
  <x:si>
    <x:t xml:space="preserve">-17.01164938</x:t>
  </x:si>
  <x:si>
    <x:t xml:space="preserve">-579.81045542</x:t>
  </x:si>
  <x:si>
    <x:t xml:space="preserve">-579.81</x:t>
  </x:si>
  <x:si>
    <x:t xml:space="preserve">周期已实现盈亏-300.31 USDT，手续费-262.49 USDT，资金费-17.01 USDT；周期正式净结果为-579.81 USDT。</x:t>
  </x:si>
  <x:si>
    <x:t xml:space="preserve">14小时13分20秒</x:t>
  </x:si>
  <x:si>
    <x:t xml:space="preserve">65,211.00</x:t>
  </x:si>
  <x:si>
    <x:t xml:space="preserve">本周期首仓前开仓意图链共12张不同开仓委托：11张未成交撤销、0张过期未成交、0张其他未成仓尝试、1张最终成功形成正式首仓；首仓前部分成交后撤余0张。真实委托1044516184446以限价成交5，是本意图链中形成首仓的成功委托。识别出11次高置信度疑似改价或改量重挂。从首次尝试到正式开仓历时14小时13分20秒；次数按委托单统计。</x:t>
  </x:si>
  <x:si>
    <x:t xml:space="preserve">65438.0472770795930580490724117295032914422501496110113704369</x:t>
  </x:si>
  <x:si>
    <x:t xml:space="preserve">65,438.05</x:t>
  </x:si>
  <x:si>
    <x:t xml:space="preserve">持仓期间记录9张未形成实际加仓的加仓尝试，其中9张未成交撤销；另有2张真实成交委托成功增加仓位。部分成交后撤余1次，实际部分减仓0次，减仓或平仓委托尝试共4次，最终真实归零成交1次。识别出5次高置信度疑似加仓改价重挂。加仓尝试和实际加仓分别统计，均不按Fill数量重复计算。</x:t>
  </x:si>
  <x:si>
    <x:t xml:space="preserve">持仓相关止损设置7次，其中取消6次、过期1次，识别出6次高置信度疑似调整；止盈设置3次，其中取消3次、过期0次，识别出2次高置信度疑似调整；最终通过普通限价平仓归零；1张过期记录缺少终止时间或完整因果证据，具体原因不可得。</x:t>
  </x:si>
  <x:si>
    <x:t xml:space="preserve">2026-06-17 08:00:00</x:t>
  </x:si>
  <x:si>
    <x:t xml:space="preserve">46985.15</x:t>
  </x:si>
  <x:si>
    <x:t xml:space="preserve">46,985.15</x:t>
  </x:si>
  <x:si>
    <x:t xml:space="preserve">46919.93900004</x:t>
  </x:si>
  <x:si>
    <x:t xml:space="preserve">46,919.94</x:t>
  </x:si>
  <x:si>
    <x:t xml:space="preserve">46870.18731012</x:t>
  </x:si>
  <x:si>
    <x:t xml:space="preserve">46,870.19</x:t>
  </x:si>
  <x:si>
    <x:t xml:space="preserve">46405.33954458</x:t>
  </x:si>
  <x:si>
    <x:t xml:space="preserve">46,405.34</x:t>
  </x:si>
  <x:si>
    <x:t xml:space="preserve">46431.58281906</x:t>
  </x:si>
  <x:si>
    <x:t xml:space="preserve">46,431.58</x:t>
  </x:si>
  <x:si>
    <x:t xml:space="preserve">26.24327448</x:t>
  </x:si>
  <x:si>
    <x:t xml:space="preserve">26.24</x:t>
  </x:si>
  <x:si>
    <x:t xml:space="preserve">-0.01234029167556132097056197543</x:t>
  </x:si>
  <x:si>
    <x:t xml:space="preserve">-1.23%</x:t>
  </x:si>
  <x:si>
    <x:t xml:space="preserve">快照距离为12至24小时；阶段07桥接差额超过开仓基线5%；同期账户事件或并行仓位复杂</x:t>
  </x:si>
  <x:si>
    <x:t xml:space="preserve">前一张08:00实际总资产为46,985.15 USDT。开仓前快照锚定预估资金为46,985.15 USDT。本交易净亏损579.81 USDT，占开仓前预估资金的1.23%；仅计算本交易后理论资金为46,405.34 USDT。计入同期其他账户事件后，平仓时账户层预估资金为46,431.58 USDT。同期其他账户事件净额为26.24 USDT，不归因于当前交易。该笔资金数值基于实际08:00快照和正式资金事件推算，但因距离快照较远、并行交易或桥接差额等因素，可靠度较低，仅用于复盘参考，不代表成交时实时账户权益。</x:t>
  </x:si>
  <x:si>
    <x:t xml:space="preserve">326055</x:t>
  </x:si>
  <x:si>
    <x:t xml:space="preserve">326,055.00</x:t>
  </x:si>
  <x:si>
    <x:t xml:space="preserve">6.939533022667800358198281798</x:t>
  </x:si>
  <x:si>
    <x:t xml:space="preserve">6.94倍</x:t>
  </x:si>
  <x:si>
    <x:t xml:space="preserve">656081.862</x:t>
  </x:si>
  <x:si>
    <x:t xml:space="preserve">656,081.86</x:t>
  </x:si>
  <x:si>
    <x:t xml:space="preserve">13.96360045674005510251643338</x:t>
  </x:si>
  <x:si>
    <x:t xml:space="preserve">13.96倍</x:t>
  </x:si>
  <x:si>
    <x:t xml:space="preserve">首仓成本口径名义价值326,055.00 USDT，约为开仓前预估资金的6.94倍；最大成本口径名义价值656,081.86 USDT，约为13.96倍。成本口径仓位倍数不等于实际杠杆。</x:t>
  </x:si>
  <x:si>
    <x:t xml:space="preserve">在早上平仓了xau空单后，又继续看btc行情，看到价格从我上一单btc空单加完仓又触发我的保本平仓后就一直在65500-65800之间震荡，这个时候又想挂空单在66000空，但是想到熬了一晚上，现在已经熬到了早上，要睡觉了，要是睡觉期间有波动也不合适，而且睡觉前挂单也是不好的习惯，于是就睡觉了。中午睡醒后看到价格确实上涨到最高66092后又下跌，下跌后就一直在65700-65900之间震荡，在我吃完午饭准备睡午觉时看到价格又触碰到了66000开头，看到这种情况觉得可能还要反弹，于是又安心睡觉了。午觉睡醒后已经是下午16：30了，这个时候打开手机一看，行情从我睡午觉前的66000下跌跌到了65200，也就是跌破了上一单btc空单提到的1h级别的m顶颈部位65300，也相当于是跌破了支撑位，看到的时候想第一时间挂限价单进去（限价单手续便宜，现价开进去手续贵），但此时处于持续下跌中，我挂65132的限价单没能成交，而且还跌到了65000，看着价格远离了我睡醒后第一时间看到的价格，也属于心理预期的做空位，加上不想在65000整数位空，害怕空进去后浮盈了设保本损容易被打，没有在65132的位置好，于是又在等反弹，后面跌破65000行情在64800-64950震荡时，又想挂65100做空，眼看着要反弹，但是又是反弹到65040左右又下跌，这个时候心情是非常糟糕非常恶心的，又是坐立不安又是抓耳挠腮的一直期盼着先不要跌，先反弹接我上车，在等待的过程中行情也来到了64700-64900之间震荡，这个时候我不断地在64704-64888之间挂单又取消，在犹犹豫豫中，行情再度下跌，跌到了最低64525，这个时候心情也越来越糟糕越来越难受，而我也不敢在这个位置附近追空只能干等，一直看一直焦虑的等待着，随后价格又从64525反弹，当价格反弹到64800上方震荡后心里又舒服很多，接着开车出去剪头发也一直掏手机看，开车时看到价格又下跌到64600附近又开始难受了，索性就不看了，当剪完头发后发现当价格再度接近65000的时候心情瞬间又舒服了，这个时候回到办公室，决定打开电脑严阵以待，因为美股准备开盘了，加上凌晨2点有美联储利率决定会议，我也猜测大概率会是鹰派利空，打开电脑后，我决定在认为的上涨支撑位65300、现在下跌了属于压力位了的65300下方65211挂单重仓5个btc空，随后行情果然从65000反弹且触发成交了我在65211挂单的空单，成交后没设止盈止损，行情反弹后就一直在65100-65300之间震荡，当第一次上涨到65300的时候想加仓的，但是忍住了，这个时候心情还是轻松的认定了会跌，就算是上涨了我再加仓5个btc，把仓位开到10个，到时候又能变相克服不敢一次性重仓的心理，又能又更好的成本，假如能下跌破59000创新低，还能一把回本，而且这个时候的成本还比前面在62000-64000之间做空时还好，这个时候还很有心情的一边看kol直播一边看浮盈浮亏，这个时候我也画了一条1h级别的下跌趋势线，当价格再次上涨突破65400之后，我开始有了加仓的想法，于是在65487挂单5个btc，但是第一次上涨到65487只成交了1.226个btc，于是我马上把剩下的挂单取消，因为看到我加完仓后行情没有走弱，于是我又以为可能会涨到趋势线附近65700左右才会下跌，随即又在65721挂单加仓3.8个btc，加仓后行情又持续拉升，最后又在66170附近加仓1.2个btc，总仓位10个btc，均价65438，加完仓后我才设止盈止损，止损先是设了近期最高点67255上方止损，随着持续上涨我又设了爆仓价止损，行情在我加完仓后上涨到最高66400下跌，之后就一直在65800-66100震荡，这个时候浮亏扛单非常的害怕焦虑，一直盯着小级别k线看，中间一度想要再次加仓但也都取消了，这个过程里也不断地修改止盈想要逃命，眼看着就要到凌晨2点的美联储利率决议了，虽然事先也知道大概率会是鹰派利空，但是还是害怕会先涨后跌，通过观察前面的上涨反弹时的k线止盈不敢算手续费了，直接放在了可能会触及的回调低点开仓价上方的65468，最终到了凌晨2点利率决议出来，行情急剧下跌并且快速跌破65000到最低64746，同时也触发了我的止盈。</x:t>
  </x:si>
  <x:si>
    <x:t xml:space="preserve">本周期首仓前开仓意图链共12张不同开仓委托：11张未成交撤销、0张过期未成交、0张其他未成仓尝试、1张最终成功形成正式首仓；首仓前部分成交后撤余0张。真实委托1044516184446以限价成交5，是本意图链中形成首仓的成功委托。识别出11次高置信度疑似改价或改量重挂。从首次尝试到正式开仓历时14小时13分20秒；次数按委托单统计。持仓期间记录9张未形成实际加仓的加仓尝试，其中9张未成交撤销；另有2张真实成交委托成功增加仓位。部分成交后撤余1次，实际部分减仓0次，减仓或平仓委托尝试共4次，最终真实归零成交1次。识别出5次高置信度疑似加仓改价重挂。加仓尝试和实际加仓分别统计，均不按Fill数量重复计算。条件计划记录止损设置7次、取消6次、过期1次、疑似调整6次、实际成交0次；止盈设置3次、取消3次、过期0次、疑似调整2次、实际成交0次。条件委托已过期，具体原因不可得。最终由真实委托1044748235436以限价成交使仓位归零；阶段C正式出场方式为“普通限价平仓”。前一张08:00实际总资产为46,985.15 USDT。开仓前快照锚定预估资金为46,985.15 USDT。本交易净亏损579.81 USDT，占开仓前预估资金的1.23%；仅计算本交易后理论资金为46,405.34 USDT。计入同期其他账户事件后，平仓时账户层预估资金为46,431.58 USDT。同期其他账户事件净额为26.24 USDT，不归因于当前交易。该笔资金数值基于实际08:00快照和正式资金事件推算，但因距离快照较远、并行交易或桥接差额等因素，可靠度较低，仅用于复盘参考，不代表成交时实时账户权益。首仓成本口径名义价值326,055.00 USDT，约为开仓前预估资金的6.94倍；最大成本口径名义价值656,081.86 USDT，约为13.96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</x:si>
  <x:si>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1044640297635：时间相邻，可能属于连续操作；1044643231487：时间相邻，可能属于连续操作；1044659662887：时间相邻，可能属于连续操作；1044660719869：时间相邻，可能属于连续操作；1044680293733：时间相邻，可能属于连续操作；1044695373182：时间相邻，可能属于连续操作</x:t>
  </x:si>
  <x:si>
    <x:t xml:space="preserve">2026-06-04</x:t>
  </x:si>
  <x:si>
    <x:t xml:space="preserve">2小时52分46秒</x:t>
  </x:si>
  <x:si>
    <x:t xml:space="preserve">1029440498491</x:t>
  </x:si>
  <x:si>
    <x:t xml:space="preserve">1029591268792</x:t>
  </x:si>
  <x:si>
    <x:t xml:space="preserve">1318.99999986</x:t>
  </x:si>
  <x:si>
    <x:t xml:space="preserve">-210.52299999</x:t>
  </x:si>
  <x:si>
    <x:t xml:space="preserve">1108.47699987</x:t>
  </x:si>
  <x:si>
    <x:t xml:space="preserve">1,108.48</x:t>
  </x:si>
  <x:si>
    <x:t xml:space="preserve">周期已实现盈亏1,319.00 USDT，手续费-210.52 USDT，资金费0.00 USDT；周期正式净结果为1,108.48 USDT。</x:t>
  </x:si>
  <x:si>
    <x:t xml:space="preserve">1小时5分56秒</x:t>
  </x:si>
  <x:si>
    <x:t xml:space="preserve">65,971.00</x:t>
  </x:si>
  <x:si>
    <x:t xml:space="preserve">本周期首仓前开仓意图链共3张不同开仓委托：2张未成交撤销、0张过期未成交、0张其他未成仓尝试、1张最终成功形成正式首仓；首仓前部分成交后撤余0张。真实委托1029440498491以限价成交5，是本意图链中形成首仓的成功委托。识别出2次高置信度疑似改价或改量重挂。从首次尝试到正式开仓历时1小时5分56秒；次数按委托单统计。</x:t>
  </x:si>
  <x:si>
    <x:t xml:space="preserve">65870.875</x:t>
  </x:si>
  <x:si>
    <x:t xml:space="preserve">65,870.88</x:t>
  </x:si>
  <x:si>
    <x:t xml:space="preserve">持仓期间记录0张未形成实际加仓的加仓尝试，其中0张未成交撤销；另有1张真实成交委托成功增加仓位。部分成交后撤余0次，实际部分减仓0次，减仓或平仓委托尝试共1次，最终真实归零成交1次。加仓尝试和实际加仓分别统计，均不按Fill数量重复计算。</x:t>
  </x:si>
  <x:si>
    <x:t xml:space="preserve">20</x:t>
  </x:si>
  <x:si>
    <x:t xml:space="preserve">19</x:t>
  </x:si>
  <x:si>
    <x:t xml:space="preserve">持仓相关止损设置20次，其中取消20次、过期0次，识别出19次高置信度疑似调整；止盈设置2次，其中取消1次、过期1次，识别出1次高置信度疑似调整；最终通过普通限价平仓归零；1张过期记录缺少终止时间或完整因果证据，具体原因不可得。</x:t>
  </x:si>
  <x:si>
    <x:t xml:space="preserve">64238.99169097</x:t>
  </x:si>
  <x:si>
    <x:t xml:space="preserve">64,238.99</x:t>
  </x:si>
  <x:si>
    <x:t xml:space="preserve">64173.02069097</x:t>
  </x:si>
  <x:si>
    <x:t xml:space="preserve">64,173.02</x:t>
  </x:si>
  <x:si>
    <x:t xml:space="preserve">64146.79249098</x:t>
  </x:si>
  <x:si>
    <x:t xml:space="preserve">64,146.79</x:t>
  </x:si>
  <x:si>
    <x:t xml:space="preserve">65347.46869084</x:t>
  </x:si>
  <x:si>
    <x:t xml:space="preserve">65,347.47</x:t>
  </x:si>
  <x:si>
    <x:t xml:space="preserve">65368.54737084</x:t>
  </x:si>
  <x:si>
    <x:t xml:space="preserve">65,368.55</x:t>
  </x:si>
  <x:si>
    <x:t xml:space="preserve">2026-06-04 08:00:00</x:t>
  </x:si>
  <x:si>
    <x:t xml:space="preserve">38327.89</x:t>
  </x:si>
  <x:si>
    <x:t xml:space="preserve">38,327.89</x:t>
  </x:si>
  <x:si>
    <x:t xml:space="preserve">21.07868</x:t>
  </x:si>
  <x:si>
    <x:t xml:space="preserve">21.08</x:t>
  </x:si>
  <x:si>
    <x:t xml:space="preserve">0.01725551679270547013642074951</x:t>
  </x:si>
  <x:si>
    <x:t xml:space="preserve">1.73%</x:t>
  </x:si>
  <x:si>
    <x:t xml:space="preserve">前一张08:00实际总资产为33,920.31 USDT。开仓前快照锚定预估资金为64,238.99 USDT。本交易净盈利1,108.48 USDT，占开仓前预估资金的1.73%；仅计算本交易后理论资金为65,347.47 USDT。计入同期其他账户事件后，平仓时账户层预估资金为65,368.55 USDT。同期其他账户事件净额为21.08 USDT，不归因于当前交易。该笔资金数值基于实际08:00快照和正式资金事件推算，但因距离快照较远、并行交易或桥接差额等因素，可靠度较低，仅用于复盘参考，不代表成交时实时账户权益。</x:t>
  </x:si>
  <x:si>
    <x:t xml:space="preserve">329855</x:t>
  </x:si>
  <x:si>
    <x:t xml:space="preserve">329,855.00</x:t>
  </x:si>
  <x:si>
    <x:t xml:space="preserve">5.134809736535253431148006927</x:t>
  </x:si>
  <x:si>
    <x:t xml:space="preserve">5.13倍</x:t>
  </x:si>
  <x:si>
    <x:t xml:space="preserve">526967</x:t>
  </x:si>
  <x:si>
    <x:t xml:space="preserve">526,967.00</x:t>
  </x:si>
  <x:si>
    <x:t xml:space="preserve">8.203226515992702535513397604</x:t>
  </x:si>
  <x:si>
    <x:t xml:space="preserve">8.20倍</x:t>
  </x:si>
  <x:si>
    <x:t xml:space="preserve">首仓成本口径名义价值329,855.00 USDT，约为开仓前预估资金的5.13倍；最大成本口径名义价值526,967.00 USDT，约为8.20倍。成本口径仓位倍数不等于实际杠杆。</x:t>
  </x:si>
  <x:si>
    <x:t xml:space="preserve">上一单btc的空单平仓后。价格再次上涨到最高66140，然后又下跌，最后又反弹到66000-66100之间小幅震荡了一会，这个时候又是不断地冒出要是前面67190的高位做空就好了的想法，依然是因此犹豫不决，在价格再度上涨到66000上方时又想着能不能反弹到66800给我做空，但是反弹得很弱，当价格再度临近66100上方时决定不等66800了，就挂单66280附近做空，因为这个时候参考了前面几根1h里最高点66300的k线，想着会不会上去打了66300上方的止损再跌下去，但是高点越来越低，短线以及其他形态越来越弱，最终在65971开了5个比特币的头仓，中间跌到65700再次加仓3个比特币，总仓位来到了8个btc，开仓均价65870，加完仓后行情下跌到65200后再度反弹到65500然后又急剧下跌到64711，之后又极速反弹到65500附近震荡上涨到最高65829，最终我在反弹到最高65829下跌后的65706限价平仓了，因为看着下跌到64711后的浮盈减少那么多，生怕继续上涨导致一点利润都没有，甚至还会亏损，心想着还不如先吃一点，等反弹更高再做空，成本还更好，最后实在受不了就平仓了，平仓后行情就继续下跌，在跌到65500的时候盘面上看我知道下跌已经确认了，但是想到前面那么好的位置没拿住，这个时候再开已经没有了勇气。整个持仓的过程中，改了19次止损，改的19次止损价格的范围在65820-66700之间，假如我设在66850上方都不会触发止损，哪怕是设置在第一次设的止损66160也不会触发，还能设了止损就睡觉，然后睡醒了就能收钱了。整个持仓的过程里，从一开始开仓，然后加仓，就已经做好了能接受66500止损的准备，但是在后面浮盈又浮盈减少后心态就变了，甚至在临近开仓价附近是连保本止损都不愿意设了，不舍得亏一点手续费也不舍得小亏一点本金。</x:t>
  </x:si>
  <x:si>
    <x:t xml:space="preserve">本周期首仓前开仓意图链共3张不同开仓委托：2张未成交撤销、0张过期未成交、0张其他未成仓尝试、1张最终成功形成正式首仓；首仓前部分成交后撤余0张。真实委托1029440498491以限价成交5，是本意图链中形成首仓的成功委托。识别出2次高置信度疑似改价或改量重挂。从首次尝试到正式开仓历时1小时5分56秒；次数按委托单统计。持仓期间记录0张未形成实际加仓的加仓尝试，其中0张未成交撤销；另有1张真实成交委托成功增加仓位。部分成交后撤余0次，实际部分减仓0次，减仓或平仓委托尝试共1次，最终真实归零成交1次。加仓尝试和实际加仓分别统计，均不按Fill数量重复计算。条件计划记录止损设置20次、取消20次、过期0次、疑似调整19次、实际成交0次；止盈设置2次、取消1次、过期1次、疑似调整1次、实际成交0次。条件委托已过期，具体原因不可得。最终由真实委托1029591268792以限价成交使仓位归零；阶段C正式出场方式为“普通限价平仓”。前一张08:00实际总资产为33,920.31 USDT。开仓前快照锚定预估资金为64,238.99 USDT。本交易净盈利1,108.48 USDT，占开仓前预估资金的1.73%；仅计算本交易后理论资金为65,347.47 USDT。计入同期其他账户事件后，平仓时账户层预估资金为65,368.55 USDT。同期其他账户事件净额为21.08 USDT，不归因于当前交易。该笔资金数值基于实际08:00快照和正式资金事件推算，但因距离快照较远、并行交易或桥接差额等因素，可靠度较低，仅用于复盘参考，不代表成交时实时账户权益。首仓成本口径名义价值329,855.00 USDT，约为开仓前预估资金的5.13倍；最大成本口径名义价值526,967.00 USDT，约为8.20倍。成本口径仓位倍数不等于实际杠杆。待人工填写：是否按原计划执行、最严重的错误动作、做对的动作、应停止操作的时点、正确做法、下次阻断规则、重新复盘结论、多次撤销开仓委托的原因、加仓依据、设置、取消或调整止损的原因、用户确认的委托关系。</x:t>
  </x:si>
  <x:si>
    <x:t xml:space="preserve">1029591268792：无可确认的上一委托关系</x:t>
  </x:si>
  <x:si>
    <x:t xml:space="preserve">2026-06-01</x:t>
  </x:si>
  <x:si>
    <x:t xml:space="preserve">2小时27分16秒</x:t>
  </x:si>
  <x:si>
    <x:t xml:space="preserve">1026199990926</x:t>
  </x:si>
  <x:si>
    <x:t xml:space="preserve">1026312431034</x:t>
  </x:si>
  <x:si>
    <x:t xml:space="preserve">555</x:t>
  </x:si>
  <x:si>
    <x:t xml:space="preserve">-29.5334</x:t>
  </x:si>
  <x:si>
    <x:t xml:space="preserve">4.2004629</x:t>
  </x:si>
  <x:si>
    <x:t xml:space="preserve">529.6670629</x:t>
  </x:si>
  <x:si>
    <x:t xml:space="preserve">529.67</x:t>
  </x:si>
  <x:si>
    <x:t xml:space="preserve">周期已实现盈亏555.00 USDT，手续费-29.53 USDT，资金费4.20 USDT；周期正式净结果为529.67 USDT。</x:t>
  </x:si>
  <x:si>
    <x:t xml:space="preserve">57分9秒</x:t>
  </x:si>
  <x:si>
    <x:t xml:space="preserve">74,111.00</x:t>
  </x:si>
  <x:si>
    <x:t xml:space="preserve">本周期首仓前开仓意图链共4张不同开仓委托：3张未成交撤销、0张过期未成交、0张其他未成仓尝试、1张最终成功形成正式首仓；首仓前部分成交后撤余0张。真实委托1026199990926以限价成交1，是本意图链中形成首仓的成功委托。识别出2次高置信度疑似改价或改量重挂。从首次尝试到正式开仓历时57分9秒；次数按委托单统计。</x:t>
  </x:si>
  <x:si>
    <x:t xml:space="preserve">持仓期间未发现未成交加仓尝试或实际加仓，未发生部分减仓；最终由一张真实限价委托使仓位归零。</x:t>
  </x:si>
  <x:si>
    <x:t xml:space="preserve">持仓相关止损设置1次，其中取消0次、过期1次，识别出0次高置信度疑似调整；止盈设置1次，其中取消0次、过期1次，识别出0次高置信度疑似调整；最终通过普通限价平仓归零；2张过期记录缺少终止时间或完整因果证据，具体原因不可得。</x:t>
  </x:si>
  <x:si>
    <x:t xml:space="preserve">2026-05-31 08:00:00</x:t>
  </x:si>
  <x:si>
    <x:t xml:space="preserve">15392.53</x:t>
  </x:si>
  <x:si>
    <x:t xml:space="preserve">15,392.53</x:t>
  </x:si>
  <x:si>
    <x:t xml:space="preserve">15759.87276468</x:t>
  </x:si>
  <x:si>
    <x:t xml:space="preserve">15,759.87</x:t>
  </x:si>
  <x:si>
    <x:t xml:space="preserve">15745.05056468</x:t>
  </x:si>
  <x:si>
    <x:t xml:space="preserve">15,745.05</x:t>
  </x:si>
  <x:si>
    <x:t xml:space="preserve">16289.53982758</x:t>
  </x:si>
  <x:si>
    <x:t xml:space="preserve">16,289.54</x:t>
  </x:si>
  <x:si>
    <x:t xml:space="preserve">16292.50426758</x:t>
  </x:si>
  <x:si>
    <x:t xml:space="preserve">16,292.50</x:t>
  </x:si>
  <x:si>
    <x:t xml:space="preserve">2.96444</x:t>
  </x:si>
  <x:si>
    <x:t xml:space="preserve">2.96</x:t>
  </x:si>
  <x:si>
    <x:t xml:space="preserve">0.03360858750630622543620630507</x:t>
  </x:si>
  <x:si>
    <x:t xml:space="preserve">3.36%</x:t>
  </x:si>
  <x:si>
    <x:t xml:space="preserve">前一张08:00实际总资产为15,392.53 USDT。开仓前快照锚定预估资金为15,759.87 USDT。本交易净盈利529.67 USDT，占开仓前预估资金的3.36%；仅计算本交易后理论资金为16,289.54 USDT。计入同期其他账户事件后，平仓时账户层预估资金为16,292.50 USDT。同期其他账户事件净额为2.96 USDT，不归因于当前交易。该笔资金数值基于实际08:00快照和正式资金事件推算，但因距离快照较远、并行交易或桥接差额等因素，可靠度较低，仅用于复盘参考，不代表成交时实时账户权益。</x:t>
  </x:si>
  <x:si>
    <x:t xml:space="preserve">4.702512584117604329334040368</x:t>
  </x:si>
  <x:si>
    <x:t xml:space="preserve">4.70倍</x:t>
  </x:si>
  <x:si>
    <x:t xml:space="preserve">首仓成本口径名义价值74,111.00 USDT，约为开仓前预估资金的4.70倍；最大成本口径名义价值74,111.00 USDT，约为4.70倍。成本口径仓位倍数不等于实际杠杆。</x:t>
  </x:si>
  <x:si>
    <x:t xml:space="preserve">这次的开空是有了前两2单btc空单跟1单btc多单得到的经验，可以说有计划也可以说是凭当时近期的经验以及走势来赌的，有止损止盈目标，开仓原因有几个：1、价格持续在74200下方受到压制，2、在73000-74200的位置震荡了很久都没有上涨突破74200的压力位，更加没有触及下跌趋势线附近，3、74200附近做空的价格跟成本有优势，止损也小。但是也目光短浅了，因为没有大局观，也因为自己原本设定的是到了位置后左侧重仓空，给小止损，谁知因为上一单的追空导致一直熬夜到早上，左侧74111空进去之后设了止盈止损后就睡觉了，但是睡醒看到下跌，再看看收益才几百u，才发现原本预计开5个比特币空单，最后因为熬夜精神不佳，只开了1个btc空单，接着又想着会不会又是下跌到73500附近又上去74200附近然后又下来，最后索性平仓了，最后走势果然是平仓后又上去74200附近后又下来，最终开启了本轮的大跌15000点，但是我已经没有空单了，而是在后续开始了各种傻逼操作，中途做多，浮亏加仓做多，只为了反弹后能在前面自己没能拿住的位置去开空，想抓住每一波行情，又想能重新再更高的位置或者原本自己已经开了空单的位置再次做空。</x:t>
  </x:si>
  <x:si>
    <x:t xml:space="preserve">本周期首仓前开仓意图链共4张不同开仓委托：3张未成交撤销、0张过期未成交、0张其他未成仓尝试、1张最终成功形成正式首仓；首仓前部分成交后撤余0张。真实委托1026199990926以限价成交1，是本意图链中形成首仓的成功委托。识别出2次高置信度疑似改价或改量重挂。从首次尝试到正式开仓历时57分9秒；次数按委托单统计。持仓期间未发现未成交加仓尝试或实际加仓，未发生部分减仓；最终由一张真实限价委托使仓位归零。条件计划记录止损设置1次、取消0次、过期1次、疑似调整0次、实际成交0次；止盈设置1次、取消0次、过期1次、疑似调整0次、实际成交0次。条件委托已过期，具体原因不可得。最终由真实委托1026312431034以限价成交使仓位归零；阶段C正式出场方式为“普通限价平仓”。前一张08:00实际总资产为15,392.53 USDT。开仓前快照锚定预估资金为15,759.87 USDT。本交易净盈利529.67 USDT，占开仓前预估资金的3.36%；仅计算本交易后理论资金为16,289.54 USDT。计入同期其他账户事件后，平仓时账户层预估资金为16,292.50 USDT。同期其他账户事件净额为2.96 USDT，不归因于当前交易。该笔资金数值基于实际08:00快照和正式资金事件推算，但因距离快照较远、并行交易或桥接差额等因素，可靠度较低，仅用于复盘参考，不代表成交时实时账户权益。首仓成本口径名义价值74,111.00 USDT，约为开仓前预估资金的4.70倍；最大成本口径名义价值74,111.00 USDT，约为4.70倍。成本口径仓位倍数不等于实际杠杆。待人工填写：是否按原计划执行、最严重的错误动作、做对的动作、应停止操作的时点、正确做法、下次阻断规则、重新复盘结论、多次撤销开仓委托的原因、设置、取消或调整止损的原因、用户确认的委托关系。</x:t>
  </x:si>
  <x:si>
    <x:t xml:space="preserve">1026195785205：时间相邻，可能属于连续操作；P0-COND-0406：确认该C级候选是否确属本T/U；P0-COND-0407：确认该C级候选是否确属本T/U</x:t>
  </x:si>
  <x:si>
    <x:t xml:space="preserve">是否按原计划执行、最严重的错误动作、做对的动作、应停止操作的时点、正确做法、下次阻断规则、重新复盘结论、多次撤销开仓委托的原因、设置、取消或调整止损的原因、用户确认的委托关系</x:t>
  </x:si>
  <x:si>
    <x:t xml:space="preserve">事件顺序</x:t>
  </x:si>
  <x:si>
    <x:t xml:space="preserve">阶段区间</x:t>
  </x:si>
  <x:si>
    <x:t xml:space="preserve">委托创建时间</x:t>
  </x:si>
  <x:si>
    <x:t xml:space="preserve">委托结束时间</x:t>
  </x:si>
  <x:si>
    <x:t xml:space="preserve">多空仓位方向</x:t>
  </x:si>
  <x:si>
    <x:t xml:space="preserve">买卖方向</x:t>
  </x:si>
  <x:si>
    <x:t xml:space="preserve">触发价格</x:t>
  </x:si>
  <x:si>
    <x:t xml:space="preserve">委托状态</x:t>
  </x:si>
  <x:si>
    <x:t xml:space="preserve">reduceOnly</x:t>
  </x:si>
  <x:si>
    <x:t xml:space="preserve">closePosition</x:t>
  </x:si>
  <x:si>
    <x:t xml:space="preserve">事件大类</x:t>
  </x:si>
  <x:si>
    <x:t xml:space="preserve">识别意图</x:t>
  </x:si>
  <x:si>
    <x:t xml:space="preserve">实际仓位动作</x:t>
  </x:si>
  <x:si>
    <x:t xml:space="preserve">是否计入委托尝试</x:t>
  </x:si>
  <x:si>
    <x:t xml:space="preserve">是否部分成交后撤余</x:t>
  </x:si>
  <x:si>
    <x:t xml:space="preserve">与上一张委托关系</x:t>
  </x:si>
  <x:si>
    <x:t xml:space="preserve">关系置信度</x:t>
  </x:si>
  <x:si>
    <x:t xml:space="preserve">归属置信度</x:t>
  </x:si>
  <x:si>
    <x:t xml:space="preserve">是否需要用户人工确认</x:t>
  </x:si>
  <x:si>
    <x:t xml:space="preserve">技术来源</x:t>
  </x:si>
  <x:si>
    <x:t xml:space="preserve">技术委托编号</x:t>
  </x:si>
  <x:si>
    <x:t xml:space="preserve">关联Fill数量</x:t>
  </x:si>
  <x:si>
    <x:t xml:space="preserve">事件归属备注</x:t>
  </x:si>
  <x:si>
    <x:t xml:space="preserve">A｜首仓前开仓意图链</x:t>
  </x:si>
  <x:si>
    <x:t xml:space="preserve">2026-06-02 00:15:55</x:t>
  </x:si>
  <x:si>
    <x:t xml:space="preserve">卖出</x:t>
  </x:si>
  <x:si>
    <x:t xml:space="preserve">不可得（源文件无此字段）</x:t>
  </x:si>
  <x:si>
    <x:t xml:space="preserve">正式成交委托</x:t>
  </x:si>
  <x:si>
    <x:t xml:space="preserve">首次开仓</x:t>
  </x:si>
  <x:si>
    <x:t xml:space="preserve">A</x:t>
  </x:si>
  <x:si>
    <x:t xml:space="preserve">首次开仓；订单1026954976434实际成交4，仓位由0变为4；同一订单的1条Fill仅计为1张委托。</x:t>
  </x:si>
  <x:si>
    <x:t xml:space="preserve">P3_全量工作簿载荷.json｜orders</x:t>
  </x:si>
  <x:si>
    <x:t xml:space="preserve">正式仓位状态机直接归属；真实Fill确认仓位变化。</x:t>
  </x:si>
  <x:si>
    <x:t xml:space="preserve">B｜持仓期间操作链</x:t>
  </x:si>
  <x:si>
    <x:t xml:space="preserve">平空</x:t>
  </x:si>
  <x:si>
    <x:t xml:space="preserve">市价止盈止损</x:t>
  </x:si>
  <x:si>
    <x:t xml:space="preserve">条件委托原始事件</x:t>
  </x:si>
  <x:si>
    <x:t xml:space="preserve">止损型条件委托（平空）</x:t>
  </x:si>
  <x:si>
    <x:t xml:space="preserve">仅记录条件委托状态；是否触发由真实订单/Fill另行确认</x:t>
  </x:si>
  <x:si>
    <x:t xml:space="preserve">B</x:t>
  </x:si>
  <x:si>
    <x:t xml:space="preserve">P0-COND-0386</x:t>
  </x:si>
  <x:si>
    <x:t xml:space="preserve">唯一活跃周期、方向、数量和时点共同支持疑似归属。</x:t>
  </x:si>
  <x:si>
    <x:t xml:space="preserve">2026-06-02 00:44:01</x:t>
  </x:si>
  <x:si>
    <x:t xml:space="preserve">SELL</x:t>
  </x:si>
  <x:si>
    <x:t xml:space="preserve">LIMIT</x:t>
  </x:si>
  <x:si>
    <x:t xml:space="preserve">未成交基础委托</x:t>
  </x:si>
  <x:si>
    <x:t xml:space="preserve">未成交，不改变实际仓位</x:t>
  </x:si>
  <x:si>
    <x:t xml:space="preserve">持仓中加仓尝试；实际成交数量为0，仓位保持4，仅计入委托尝试，不计入实际开仓、加仓、减仓或最终平仓。</x:t>
  </x:si>
  <x:si>
    <x:t xml:space="preserve">Binance-合约订单历史记录-a.xlsx｜Sheet0｜第271行</x:t>
  </x:si>
  <x:si>
    <x:t xml:space="preserve">1026973657645</x:t>
  </x:si>
  <x:si>
    <x:t xml:space="preserve">时间连续、合约一致且与本周期操作链相邻。</x:t>
  </x:si>
  <x:si>
    <x:t xml:space="preserve">2026-06-02 00:44:24</x:t>
  </x:si>
  <x:si>
    <x:t xml:space="preserve">实际加仓</x:t>
  </x:si>
  <x:si>
    <x:t xml:space="preserve">实际加仓；订单1026977654793实际成交4，仓位由4变为8；同一订单的1条Fill仅计为1张委托。</x:t>
  </x:si>
  <x:si>
    <x:t xml:space="preserve">1026977654793</x:t>
  </x:si>
  <x:si>
    <x:t xml:space="preserve">P0-COND-0385</x:t>
  </x:si>
  <x:si>
    <x:t xml:space="preserve">BUY</x:t>
  </x:si>
  <x:si>
    <x:t xml:space="preserve">C</x:t>
  </x:si>
  <x:si>
    <x:t xml:space="preserve">持仓中减仓或平仓尝试；实际成交数量为0，仓位保持8，仅计入委托尝试，不计入实际开仓、加仓、减仓或最终平仓。</x:t>
  </x:si>
  <x:si>
    <x:t xml:space="preserve">Binance-合约订单历史记录-a.xlsx｜Sheet0｜第273行</x:t>
  </x:si>
  <x:si>
    <x:t xml:space="preserve">1026989312770</x:t>
  </x:si>
  <x:si>
    <x:t xml:space="preserve">买入</x:t>
  </x:si>
  <x:si>
    <x:t xml:space="preserve">最终真实平仓</x:t>
  </x:si>
  <x:si>
    <x:t xml:space="preserve">最终真实平仓；订单1027061028920实际成交8，仓位由8变为0；同一订单的22条Fill仅计为1张委托。</x:t>
  </x:si>
  <x:si>
    <x:t xml:space="preserve">22</x:t>
  </x:si>
  <x:si>
    <x:t xml:space="preserve">C｜平仓后残留委托链</x:t>
  </x:si>
  <x:si>
    <x:t xml:space="preserve">区间检查</x:t>
  </x:si>
  <x:si>
    <x:t xml:space="preserve">不适用</x:t>
  </x:si>
  <x:si>
    <x:t xml:space="preserve">阶段B区间检查</x:t>
  </x:si>
  <x:si>
    <x:t xml:space="preserve">CHECK-T042-C</x:t>
  </x:si>
  <x:si>
    <x:t xml:space="preserve">合成检查行，不是交易所委托，不计入任何委托数量。</x:t>
  </x:si>
  <x:si>
    <x:t xml:space="preserve">首次开仓；订单1027061030176实际成交8，仓位由0变为8；同一订单的47条Fill仅计为1张委托。</x:t>
  </x:si>
  <x:si>
    <x:t xml:space="preserve">47</x:t>
  </x:si>
  <x:si>
    <x:t xml:space="preserve">最终真实平仓；订单1027061066339实际成交8，仓位由8变为0；同一订单的211条Fill仅计为1张委托。</x:t>
  </x:si>
  <x:si>
    <x:t xml:space="preserve">211</x:t>
  </x:si>
  <x:si>
    <x:t xml:space="preserve">CHECK-T043-C</x:t>
  </x:si>
  <x:si>
    <x:t xml:space="preserve">2026-06-02 18:25:09</x:t>
  </x:si>
  <x:si>
    <x:t xml:space="preserve">2.676</x:t>
  </x:si>
  <x:si>
    <x:t xml:space="preserve">首仓前开仓尝试；实际成交数量为0，仓位保持0，仅计入委托尝试，不计入实际开仓、加仓、减仓或最终平仓。</x:t>
  </x:si>
  <x:si>
    <x:t xml:space="preserve">Binance-合约订单历史记录-a.xlsx｜Sheet0｜第301行</x:t>
  </x:si>
  <x:si>
    <x:t xml:space="preserve">1027765465335</x:t>
  </x:si>
  <x:si>
    <x:t xml:space="preserve">2026-06-02 18:34:46</x:t>
  </x:si>
  <x:si>
    <x:t xml:space="preserve">4.746</x:t>
  </x:si>
  <x:si>
    <x:t xml:space="preserve">首仓前反向意图/方向切换尝试；实际成交数量为0，仓位保持0，仅计入委托尝试，不计入实际开仓、加仓、减仓或最终平仓。</x:t>
  </x:si>
  <x:si>
    <x:t xml:space="preserve">Binance-合约订单历史记录-a.xlsx｜Sheet0｜第302行</x:t>
  </x:si>
  <x:si>
    <x:t xml:space="preserve">1027770234093</x:t>
  </x:si>
  <x:si>
    <x:t xml:space="preserve">2026-06-02 18:40:37</x:t>
  </x:si>
  <x:si>
    <x:t xml:space="preserve">3.706</x:t>
  </x:si>
  <x:si>
    <x:t xml:space="preserve">Binance-合约订单历史记录-a.xlsx｜Sheet0｜第303行</x:t>
  </x:si>
  <x:si>
    <x:t xml:space="preserve">1027774295198</x:t>
  </x:si>
  <x:si>
    <x:t xml:space="preserve">2026-06-02 19:02:40</x:t>
  </x:si>
  <x:si>
    <x:t xml:space="preserve">4.85</x:t>
  </x:si>
  <x:si>
    <x:t xml:space="preserve">Binance-合约订单历史记录-a.xlsx｜Sheet0｜第304行</x:t>
  </x:si>
  <x:si>
    <x:t xml:space="preserve">1027784124377</x:t>
  </x:si>
  <x:si>
    <x:t xml:space="preserve">2026-06-02 19:05:06</x:t>
  </x:si>
  <x:si>
    <x:t xml:space="preserve">首次开仓；订单1027792632376实际成交4，仓位由0变为4；同一订单的1条Fill仅计为1张委托。</x:t>
  </x:si>
  <x:si>
    <x:t xml:space="preserve">平多</x:t>
  </x:si>
  <x:si>
    <x:t xml:space="preserve">止盈型条件委托（平多）</x:t>
  </x:si>
  <x:si>
    <x:t xml:space="preserve">P0-COND-0373</x:t>
  </x:si>
  <x:si>
    <x:t xml:space="preserve">止损型条件委托（平多）</x:t>
  </x:si>
  <x:si>
    <x:t xml:space="preserve">P0-COND-0372</x:t>
  </x:si>
  <x:si>
    <x:t xml:space="preserve">P0-COND-0371</x:t>
  </x:si>
  <x:si>
    <x:t xml:space="preserve">P0-COND-0370</x:t>
  </x:si>
  <x:si>
    <x:t xml:space="preserve">2026-06-02 19:45:30</x:t>
  </x:si>
  <x:si>
    <x:t xml:space="preserve">持仓中减仓或平仓尝试；实际成交数量为0，仓位保持4，仅计入委托尝试，不计入实际开仓、加仓、减仓或最终平仓。</x:t>
  </x:si>
  <x:si>
    <x:t xml:space="preserve">Binance-合约订单历史记录-a.xlsx｜Sheet0｜第307行</x:t>
  </x:si>
  <x:si>
    <x:t xml:space="preserve">1027814425362</x:t>
  </x:si>
  <x:si>
    <x:t xml:space="preserve">P0-COND-0369</x:t>
  </x:si>
  <x:si>
    <x:t xml:space="preserve">2026-06-02 19:59:18</x:t>
  </x:si>
  <x:si>
    <x:t xml:space="preserve">Binance-合约订单历史记录-a.xlsx｜Sheet0｜第308行</x:t>
  </x:si>
  <x:si>
    <x:t xml:space="preserve">1027822121418</x:t>
  </x:si>
  <x:si>
    <x:t xml:space="preserve">2026-06-02 20:05:52</x:t>
  </x:si>
  <x:si>
    <x:t xml:space="preserve">Binance-合约订单历史记录-a.xlsx｜Sheet0｜第309行</x:t>
  </x:si>
  <x:si>
    <x:t xml:space="preserve">1027833108440</x:t>
  </x:si>
  <x:si>
    <x:t xml:space="preserve">2026-06-02 20:07:18</x:t>
  </x:si>
  <x:si>
    <x:t xml:space="preserve">Binance-合约订单历史记录-a.xlsx｜Sheet0｜第310行</x:t>
  </x:si>
  <x:si>
    <x:t xml:space="preserve">1027833251905</x:t>
  </x:si>
  <x:si>
    <x:t xml:space="preserve">2026-06-02 20:12:23</x:t>
  </x:si>
  <x:si>
    <x:t xml:space="preserve">Binance-合约订单历史记录-a.xlsx｜Sheet0｜第311行</x:t>
  </x:si>
  <x:si>
    <x:t xml:space="preserve">1027835919490</x:t>
  </x:si>
  <x:si>
    <x:t xml:space="preserve">16</x:t>
  </x:si>
  <x:si>
    <x:t xml:space="preserve">2026-06-02 20:11:53</x:t>
  </x:si>
  <x:si>
    <x:t xml:space="preserve">Binance-合约订单历史记录-a.xlsx｜Sheet0｜第312行</x:t>
  </x:si>
  <x:si>
    <x:t xml:space="preserve">1027837463184</x:t>
  </x:si>
  <x:si>
    <x:t xml:space="preserve">2026-06-02 20:28:11</x:t>
  </x:si>
  <x:si>
    <x:t xml:space="preserve">Binance-合约订单历史记录-a.xlsx｜Sheet0｜第313行</x:t>
  </x:si>
  <x:si>
    <x:t xml:space="preserve">1027837686523</x:t>
  </x:si>
  <x:si>
    <x:t xml:space="preserve">18</x:t>
  </x:si>
  <x:si>
    <x:t xml:space="preserve">Binance-合约订单历史记录-a.xlsx｜Sheet0｜第314行</x:t>
  </x:si>
  <x:si>
    <x:t xml:space="preserve">1027838392012</x:t>
  </x:si>
  <x:si>
    <x:t xml:space="preserve">2026-06-02 20:49:09</x:t>
  </x:si>
  <x:si>
    <x:t xml:space="preserve">Binance-合约订单历史记录-a.xlsx｜Sheet0｜第315行</x:t>
  </x:si>
  <x:si>
    <x:t xml:space="preserve">1027852240518</x:t>
  </x:si>
  <x:si>
    <x:t xml:space="preserve">2026-06-02 20:55:59</x:t>
  </x:si>
  <x:si>
    <x:t xml:space="preserve">Binance-合约订单历史记录-a.xlsx｜Sheet0｜第316行</x:t>
  </x:si>
  <x:si>
    <x:t xml:space="preserve">1027870328667</x:t>
  </x:si>
  <x:si>
    <x:t xml:space="preserve">21</x:t>
  </x:si>
  <x:si>
    <x:t xml:space="preserve">2026-06-02 21:28:39</x:t>
  </x:si>
  <x:si>
    <x:t xml:space="preserve">Binance-合约订单历史记录-a.xlsx｜Sheet0｜第317行</x:t>
  </x:si>
  <x:si>
    <x:t xml:space="preserve">1027875539490</x:t>
  </x:si>
  <x:si>
    <x:t xml:space="preserve">P0-COND-0368</x:t>
  </x:si>
  <x:si>
    <x:t xml:space="preserve">2026-06-02 21:29:09</x:t>
  </x:si>
  <x:si>
    <x:t xml:space="preserve">实际加仓；订单1027904431215实际成交5，仓位由4变为9；同一订单的10条Fill仅计为1张委托。</x:t>
  </x:si>
  <x:si>
    <x:t xml:space="preserve">1027904431215</x:t>
  </x:si>
  <x:si>
    <x:t xml:space="preserve">24</x:t>
  </x:si>
  <x:si>
    <x:t xml:space="preserve">P0-COND-0367</x:t>
  </x:si>
  <x:si>
    <x:t xml:space="preserve">25</x:t>
  </x:si>
  <x:si>
    <x:t xml:space="preserve">P0-COND-0366</x:t>
  </x:si>
  <x:si>
    <x:t xml:space="preserve">26</x:t>
  </x:si>
  <x:si>
    <x:t xml:space="preserve">2026-06-02 22:25:49</x:t>
  </x:si>
  <x:si>
    <x:t xml:space="preserve">持仓中减仓或平仓尝试；实际成交数量为0，仓位保持9，仅计入委托尝试，不计入实际开仓、加仓、减仓或最终平仓。</x:t>
  </x:si>
  <x:si>
    <x:t xml:space="preserve">Binance-合约订单历史记录-a.xlsx｜Sheet0｜第319行</x:t>
  </x:si>
  <x:si>
    <x:t xml:space="preserve">1027941467404</x:t>
  </x:si>
  <x:si>
    <x:t xml:space="preserve">27</x:t>
  </x:si>
  <x:si>
    <x:t xml:space="preserve">P0-COND-0365</x:t>
  </x:si>
  <x:si>
    <x:t xml:space="preserve">28</x:t>
  </x:si>
  <x:si>
    <x:t xml:space="preserve">P0-COND-0364</x:t>
  </x:si>
  <x:si>
    <x:t xml:space="preserve">29</x:t>
  </x:si>
  <x:si>
    <x:t xml:space="preserve">2026-06-02 22:25:58</x:t>
  </x:si>
  <x:si>
    <x:t xml:space="preserve">实际减仓</x:t>
  </x:si>
  <x:si>
    <x:t xml:space="preserve">实际减仓；订单1027960526869实际成交4，仓位由9变为5；同一订单的1条Fill仅计为1张委托。</x:t>
  </x:si>
  <x:si>
    <x:t xml:space="preserve">1027960526869</x:t>
  </x:si>
  <x:si>
    <x:t xml:space="preserve">30</x:t>
  </x:si>
  <x:si>
    <x:t xml:space="preserve">P0-COND-0363</x:t>
  </x:si>
  <x:si>
    <x:t xml:space="preserve">31</x:t>
  </x:si>
  <x:si>
    <x:t xml:space="preserve">2026-06-02 22:47:32</x:t>
  </x:si>
  <x:si>
    <x:t xml:space="preserve">持仓中减仓或平仓尝试；实际成交数量为0，仓位保持5，仅计入委托尝试，不计入实际开仓、加仓、减仓或最终平仓。</x:t>
  </x:si>
  <x:si>
    <x:t xml:space="preserve">Binance-合约订单历史记录-a.xlsx｜Sheet0｜第321行</x:t>
  </x:si>
  <x:si>
    <x:t xml:space="preserve">1027974281197</x:t>
  </x:si>
  <x:si>
    <x:t xml:space="preserve">32</x:t>
  </x:si>
  <x:si>
    <x:t xml:space="preserve">2026-06-02 22:44:28</x:t>
  </x:si>
  <x:si>
    <x:t xml:space="preserve">持仓中加仓尝试；实际成交数量为0，仓位保持5，仅计入委托尝试，不计入实际开仓、加仓、减仓或最终平仓。</x:t>
  </x:si>
  <x:si>
    <x:t xml:space="preserve">Binance-合约订单历史记录-a.xlsx｜Sheet0｜第322行</x:t>
  </x:si>
  <x:si>
    <x:t xml:space="preserve">1027980203840</x:t>
  </x:si>
  <x:si>
    <x:t xml:space="preserve">33</x:t>
  </x:si>
  <x:si>
    <x:t xml:space="preserve">2026-06-02 23:09:06</x:t>
  </x:si>
  <x:si>
    <x:t xml:space="preserve">Binance-合约订单历史记录-a.xlsx｜Sheet0｜第323行</x:t>
  </x:si>
  <x:si>
    <x:t xml:space="preserve">1027984742420</x:t>
  </x:si>
  <x:si>
    <x:t xml:space="preserve">34</x:t>
  </x:si>
  <x:si>
    <x:t xml:space="preserve">P0-COND-0362</x:t>
  </x:si>
  <x:si>
    <x:t xml:space="preserve">35</x:t>
  </x:si>
  <x:si>
    <x:t xml:space="preserve">2026-06-02 23:25:53</x:t>
  </x:si>
  <x:si>
    <x:t xml:space="preserve">实际加仓；订单1028025235008实际成交2，仓位由5变为7；同一订单的11条Fill仅计为1张委托。</x:t>
  </x:si>
  <x:si>
    <x:t xml:space="preserve">1028025235008</x:t>
  </x:si>
  <x:si>
    <x:t xml:space="preserve">36</x:t>
  </x:si>
  <x:si>
    <x:t xml:space="preserve">P0-COND-0361</x:t>
  </x:si>
  <x:si>
    <x:t xml:space="preserve">仅为候选关系，待人工确认。</x:t>
  </x:si>
  <x:si>
    <x:t xml:space="preserve">37</x:t>
  </x:si>
  <x:si>
    <x:t xml:space="preserve">P0-COND-0360</x:t>
  </x:si>
  <x:si>
    <x:t xml:space="preserve">38</x:t>
  </x:si>
  <x:si>
    <x:t xml:space="preserve">P0-COND-0359</x:t>
  </x:si>
  <x:si>
    <x:t xml:space="preserve">39</x:t>
  </x:si>
  <x:si>
    <x:t xml:space="preserve">P0-COND-0358</x:t>
  </x:si>
  <x:si>
    <x:t xml:space="preserve">40</x:t>
  </x:si>
  <x:si>
    <x:t xml:space="preserve">P0-COND-0357</x:t>
  </x:si>
  <x:si>
    <x:t xml:space="preserve">41</x:t>
  </x:si>
  <x:si>
    <x:t xml:space="preserve">2026-06-03 00:41:49</x:t>
  </x:si>
  <x:si>
    <x:t xml:space="preserve">6.328</x:t>
  </x:si>
  <x:si>
    <x:t xml:space="preserve">持仓中加仓尝试；实际成交数量为0，仓位保持7，仅计入委托尝试，不计入实际开仓、加仓、减仓或最终平仓。</x:t>
  </x:si>
  <x:si>
    <x:t xml:space="preserve">Binance-合约订单历史记录-a.xlsx｜Sheet0｜第326行</x:t>
  </x:si>
  <x:si>
    <x:t xml:space="preserve">1028096371686</x:t>
  </x:si>
  <x:si>
    <x:t xml:space="preserve">42</x:t>
  </x:si>
  <x:si>
    <x:t xml:space="preserve">2026-06-03 00:42:36</x:t>
  </x:si>
  <x:si>
    <x:t xml:space="preserve">Binance-合约订单历史记录-a.xlsx｜Sheet0｜第327行</x:t>
  </x:si>
  <x:si>
    <x:t xml:space="preserve">1028098560257</x:t>
  </x:si>
  <x:si>
    <x:t xml:space="preserve">43</x:t>
  </x:si>
  <x:si>
    <x:t xml:space="preserve">2026-06-03 00:44:10</x:t>
  </x:si>
  <x:si>
    <x:t xml:space="preserve">Binance-合约订单历史记录-a.xlsx｜Sheet0｜第328行</x:t>
  </x:si>
  <x:si>
    <x:t xml:space="preserve">1028098884235</x:t>
  </x:si>
  <x:si>
    <x:t xml:space="preserve">44</x:t>
  </x:si>
  <x:si>
    <x:t xml:space="preserve">2026-06-03 00:49:33</x:t>
  </x:si>
  <x:si>
    <x:t xml:space="preserve">持仓中减仓或平仓尝试；实际成交数量为0，仓位保持7，仅计入委托尝试，不计入实际开仓、加仓、减仓或最终平仓。</x:t>
  </x:si>
  <x:si>
    <x:t xml:space="preserve">Binance-合约订单历史记录-a.xlsx｜Sheet0｜第329行</x:t>
  </x:si>
  <x:si>
    <x:t xml:space="preserve">1028104831447</x:t>
  </x:si>
  <x:si>
    <x:t xml:space="preserve">45</x:t>
  </x:si>
  <x:si>
    <x:t xml:space="preserve">2026-06-03 00:52:37</x:t>
  </x:si>
  <x:si>
    <x:t xml:space="preserve">Binance-合约订单历史记录-a.xlsx｜Sheet0｜第330行</x:t>
  </x:si>
  <x:si>
    <x:t xml:space="preserve">1028105470183</x:t>
  </x:si>
  <x:si>
    <x:t xml:space="preserve">46</x:t>
  </x:si>
  <x:si>
    <x:t xml:space="preserve">2026-06-03 00:53:43</x:t>
  </x:si>
  <x:si>
    <x:t xml:space="preserve">实际加仓；订单1028108526872实际成交5，仓位由7变为12；同一订单的2条Fill仅计为1张委托。</x:t>
  </x:si>
  <x:si>
    <x:t xml:space="preserve">1028108526872</x:t>
  </x:si>
  <x:si>
    <x:t xml:space="preserve">P0-COND-0356</x:t>
  </x:si>
  <x:si>
    <x:t xml:space="preserve">48</x:t>
  </x:si>
  <x:si>
    <x:t xml:space="preserve">2026-06-03 01:01:59</x:t>
  </x:si>
  <x:si>
    <x:t xml:space="preserve">持仓中减仓或平仓尝试；实际成交数量为0，仓位保持12，仅计入委托尝试，不计入实际开仓、加仓、减仓或最终平仓。</x:t>
  </x:si>
  <x:si>
    <x:t xml:space="preserve">Binance-合约订单历史记录-a.xlsx｜Sheet0｜第332行</x:t>
  </x:si>
  <x:si>
    <x:t xml:space="preserve">1028110869695</x:t>
  </x:si>
  <x:si>
    <x:t xml:space="preserve">49</x:t>
  </x:si>
  <x:si>
    <x:t xml:space="preserve">2026-06-03 01:50:42</x:t>
  </x:si>
  <x:si>
    <x:t xml:space="preserve">Binance-合约订单历史记录-a.xlsx｜Sheet0｜第333行</x:t>
  </x:si>
  <x:si>
    <x:t xml:space="preserve">1028115370792</x:t>
  </x:si>
  <x:si>
    <x:t xml:space="preserve">50</x:t>
  </x:si>
  <x:si>
    <x:t xml:space="preserve">P0-COND-0355</x:t>
  </x:si>
  <x:si>
    <x:t xml:space="preserve">51</x:t>
  </x:si>
  <x:si>
    <x:t xml:space="preserve">2026-06-03 01:49:59</x:t>
  </x:si>
  <x:si>
    <x:t xml:space="preserve">持仓中加仓尝试；实际成交数量为0，仓位保持12，仅计入委托尝试，不计入实际开仓、加仓、减仓或最终平仓。</x:t>
  </x:si>
  <x:si>
    <x:t xml:space="preserve">Binance-合约订单历史记录-a.xlsx｜Sheet0｜第334行</x:t>
  </x:si>
  <x:si>
    <x:t xml:space="preserve">1028153124931</x:t>
  </x:si>
  <x:si>
    <x:t xml:space="preserve">52</x:t>
  </x:si>
  <x:si>
    <x:t xml:space="preserve">2026-06-03 01:50:34</x:t>
  </x:si>
  <x:si>
    <x:t xml:space="preserve">实际加仓；订单1028153898815实际成交5，仓位由12变为17；同一订单的1条Fill仅计为1张委托。</x:t>
  </x:si>
  <x:si>
    <x:t xml:space="preserve">1028153898815</x:t>
  </x:si>
  <x:si>
    <x:t xml:space="preserve">53</x:t>
  </x:si>
  <x:si>
    <x:t xml:space="preserve">2026-06-03 01:54:17</x:t>
  </x:si>
  <x:si>
    <x:t xml:space="preserve">持仓中减仓或平仓尝试；实际成交数量为0，仓位保持17，仅计入委托尝试，不计入实际开仓、加仓、减仓或最终平仓。</x:t>
  </x:si>
  <x:si>
    <x:t xml:space="preserve">Binance-合约订单历史记录-a.xlsx｜Sheet0｜第336行</x:t>
  </x:si>
  <x:si>
    <x:t xml:space="preserve">1028155011561</x:t>
  </x:si>
  <x:si>
    <x:t xml:space="preserve">54</x:t>
  </x:si>
  <x:si>
    <x:t xml:space="preserve">2026-06-03 02:32:05</x:t>
  </x:si>
  <x:si>
    <x:t xml:space="preserve">Binance-合约订单历史记录-a.xlsx｜Sheet0｜第337行</x:t>
  </x:si>
  <x:si>
    <x:t xml:space="preserve">1028157025324</x:t>
  </x:si>
  <x:si>
    <x:t xml:space="preserve">55</x:t>
  </x:si>
  <x:si>
    <x:t xml:space="preserve">2026-06-03 02:31:12</x:t>
  </x:si>
  <x:si>
    <x:t xml:space="preserve">10.852</x:t>
  </x:si>
  <x:si>
    <x:t xml:space="preserve">实际加仓；订单1028185137059实际成交10.852，仓位由17变为27.852；同一订单的12条Fill仅计为1张委托。</x:t>
  </x:si>
  <x:si>
    <x:t xml:space="preserve">1028185137059</x:t>
  </x:si>
  <x:si>
    <x:t xml:space="preserve">56</x:t>
  </x:si>
  <x:si>
    <x:t xml:space="preserve">P0-COND-0354</x:t>
  </x:si>
  <x:si>
    <x:t xml:space="preserve">57</x:t>
  </x:si>
  <x:si>
    <x:t xml:space="preserve">2026-06-03 02:33:37</x:t>
  </x:si>
  <x:si>
    <x:t xml:space="preserve">持仓中减仓或平仓尝试；实际成交数量为0，仓位保持27.852，仅计入委托尝试，不计入实际开仓、加仓、减仓或最终平仓。</x:t>
  </x:si>
  <x:si>
    <x:t xml:space="preserve">Binance-合约订单历史记录-a.xlsx｜Sheet0｜第339行</x:t>
  </x:si>
  <x:si>
    <x:t xml:space="preserve">1028186365580</x:t>
  </x:si>
  <x:si>
    <x:t xml:space="preserve">58</x:t>
  </x:si>
  <x:si>
    <x:t xml:space="preserve">Binance-合约订单历史记录-a.xlsx｜Sheet0｜第340行</x:t>
  </x:si>
  <x:si>
    <x:t xml:space="preserve">1028187332586</x:t>
  </x:si>
  <x:si>
    <x:t xml:space="preserve">59</x:t>
  </x:si>
  <x:si>
    <x:t xml:space="preserve">P0-COND-0353</x:t>
  </x:si>
  <x:si>
    <x:t xml:space="preserve">60</x:t>
  </x:si>
  <x:si>
    <x:t xml:space="preserve">P0-COND-0352</x:t>
  </x:si>
  <x:si>
    <x:t xml:space="preserve">源数据直接linked_tid。</x:t>
  </x:si>
  <x:si>
    <x:t xml:space="preserve">61</x:t>
  </x:si>
  <x:si>
    <x:t xml:space="preserve">最终真实平仓；订单1028236678944实际成交27.852，仓位由27.852变为0；同一订单的124条Fill仅计为1张委托。</x:t>
  </x:si>
  <x:si>
    <x:t xml:space="preserve">124</x:t>
  </x:si>
  <x:si>
    <x:t xml:space="preserve">62</x:t>
  </x:si>
  <x:si>
    <x:t xml:space="preserve">CHECK-T049-C</x:t>
  </x:si>
  <x:si>
    <x:t xml:space="preserve">2026-06-05 21:32:37</x:t>
  </x:si>
  <x:si>
    <x:t xml:space="preserve">Binance-合约订单历史记录-a.xlsx｜Sheet0｜第558行</x:t>
  </x:si>
  <x:si>
    <x:t xml:space="preserve">1031734686988</x:t>
  </x:si>
  <x:si>
    <x:t xml:space="preserve">2026-06-05 21:39:46</x:t>
  </x:si>
  <x:si>
    <x:t xml:space="preserve">1.5</x:t>
  </x:si>
  <x:si>
    <x:t xml:space="preserve">Binance-合约订单历史记录-a.xlsx｜Sheet0｜第560行</x:t>
  </x:si>
  <x:si>
    <x:t xml:space="preserve">1031903951981</x:t>
  </x:si>
  <x:si>
    <x:t xml:space="preserve">2026-06-05 21:54:19</x:t>
  </x:si>
  <x:si>
    <x:t xml:space="preserve">Binance-合约订单历史记录-a.xlsx｜Sheet0｜第561行</x:t>
  </x:si>
  <x:si>
    <x:t xml:space="preserve">1031911439112</x:t>
  </x:si>
  <x:si>
    <x:t xml:space="preserve">2026-06-05 21:55:33</x:t>
  </x:si>
  <x:si>
    <x:t xml:space="preserve">首次开仓；订单1031930167587实际成交0.2，仓位由0变为0.2；同一订单的2条Fill仅计为1张委托。</x:t>
  </x:si>
  <x:si>
    <x:t xml:space="preserve">2026-06-05 21:58:15</x:t>
  </x:si>
  <x:si>
    <x:t xml:space="preserve">实际加仓；订单1031933658144实际成交0.1，仓位由0.2变为0.3；同一订单的1条Fill仅计为1张委托。</x:t>
  </x:si>
  <x:si>
    <x:t xml:space="preserve">1031933658144</x:t>
  </x:si>
  <x:si>
    <x:t xml:space="preserve">2026-06-05 22:00:53</x:t>
  </x:si>
  <x:si>
    <x:t xml:space="preserve">实际减仓；订单1031936908330实际成交0.2，仓位由0.3变为0.1；同一订单的1条Fill仅计为1张委托。</x:t>
  </x:si>
  <x:si>
    <x:t xml:space="preserve">1031936908330</x:t>
  </x:si>
  <x:si>
    <x:t xml:space="preserve">2026-06-05 22:19:31</x:t>
  </x:si>
  <x:si>
    <x:t xml:space="preserve">实际加仓；订单1031959959104实际成交0.1，仓位由0.1变为0.2；同一订单的1条Fill仅计为1张委托。</x:t>
  </x:si>
  <x:si>
    <x:t xml:space="preserve">1031959959104</x:t>
  </x:si>
  <x:si>
    <x:t xml:space="preserve">2026-06-05 22:30:06</x:t>
  </x:si>
  <x:si>
    <x:t xml:space="preserve">实际加仓；订单1031972247039实际成交0.1，仓位由0.2变为0.3；同一订单的1条Fill仅计为1张委托。</x:t>
  </x:si>
  <x:si>
    <x:t xml:space="preserve">1031972247039</x:t>
  </x:si>
  <x:si>
    <x:t xml:space="preserve">P0-COND-0242</x:t>
  </x:si>
  <x:si>
    <x:t xml:space="preserve">最终真实平仓；订单1032003900695实际成交0.3，仓位由0.3变为0；同一订单的1条Fill仅计为1张委托。</x:t>
  </x:si>
  <x:si>
    <x:t xml:space="preserve">CHECK-T087-C</x:t>
  </x:si>
  <x:si>
    <x:t xml:space="preserve">2026-06-18 21:24:32</x:t>
  </x:si>
  <x:si>
    <x:t xml:space="preserve">Binance-合约订单历史记录-a.xlsx｜Sheet0｜第987行</x:t>
  </x:si>
  <x:si>
    <x:t xml:space="preserve">1049160607</x:t>
  </x:si>
  <x:si>
    <x:t xml:space="preserve">2026-06-18 21:30:00</x:t>
  </x:si>
  <x:si>
    <x:t xml:space="preserve">Binance-合约订单历史记录-a.xlsx｜Sheet0｜第988行</x:t>
  </x:si>
  <x:si>
    <x:t xml:space="preserve">1049568881</x:t>
  </x:si>
  <x:si>
    <x:t xml:space="preserve">2026-06-18 21:33:14</x:t>
  </x:si>
  <x:si>
    <x:t xml:space="preserve">Binance-合约订单历史记录-a.xlsx｜Sheet0｜第989行</x:t>
  </x:si>
  <x:si>
    <x:t xml:space="preserve">1049934903</x:t>
  </x:si>
  <x:si>
    <x:t xml:space="preserve">2026-06-18 21:33:43</x:t>
  </x:si>
  <x:si>
    <x:t xml:space="preserve">首次开仓；订单1050071253实际成交100，仓位由0变为100；同一订单的9条Fill仅计为1张委托。</x:t>
  </x:si>
  <x:si>
    <x:t xml:space="preserve">止盈型条件委托（平空）</x:t>
  </x:si>
  <x:si>
    <x:t xml:space="preserve">P0-COND-0086</x:t>
  </x:si>
  <x:si>
    <x:t xml:space="preserve">2026-06-18 22:01:30</x:t>
  </x:si>
  <x:si>
    <x:t xml:space="preserve">持仓中减仓或平仓尝试；实际成交数量为0，仓位保持100，仅计入委托尝试，不计入实际开仓、加仓、减仓或最终平仓。</x:t>
  </x:si>
  <x:si>
    <x:t xml:space="preserve">Binance-合约订单历史记录-a.xlsx｜Sheet0｜第991行</x:t>
  </x:si>
  <x:si>
    <x:t xml:space="preserve">1050568661</x:t>
  </x:si>
  <x:si>
    <x:t xml:space="preserve">2026-06-18 22:00:45</x:t>
  </x:si>
  <x:si>
    <x:t xml:space="preserve">2026-06-18 22:00:53</x:t>
  </x:si>
  <x:si>
    <x:t xml:space="preserve">实际加仓；订单1052090647实际成交100，仓位由100变为200；同一订单的16条Fill仅计为1张委托。</x:t>
  </x:si>
  <x:si>
    <x:t xml:space="preserve">1052090647</x:t>
  </x:si>
  <x:si>
    <x:t xml:space="preserve">P0-COND-0085</x:t>
  </x:si>
  <x:si>
    <x:t xml:space="preserve">持仓中减仓或平仓尝试；实际成交数量为0，仓位保持200，仅计入委托尝试，不计入实际开仓、加仓、减仓或最终平仓。</x:t>
  </x:si>
  <x:si>
    <x:t xml:space="preserve">Binance-合约订单历史记录-a.xlsx｜Sheet0｜第993行</x:t>
  </x:si>
  <x:si>
    <x:t xml:space="preserve">1052170210</x:t>
  </x:si>
  <x:si>
    <x:t xml:space="preserve">2026-06-18 22:20:13</x:t>
  </x:si>
  <x:si>
    <x:t xml:space="preserve">持仓中加仓尝试；实际成交数量为0，仓位保持200，仅计入委托尝试，不计入实际开仓、加仓、减仓或最终平仓。</x:t>
  </x:si>
  <x:si>
    <x:t xml:space="preserve">Binance-合约订单历史记录-a.xlsx｜Sheet0｜第994行</x:t>
  </x:si>
  <x:si>
    <x:t xml:space="preserve">1053208737</x:t>
  </x:si>
  <x:si>
    <x:t xml:space="preserve">2026-06-18 22:28:05</x:t>
  </x:si>
  <x:si>
    <x:t xml:space="preserve">Binance-合约订单历史记录-a.xlsx｜Sheet0｜第995行</x:t>
  </x:si>
  <x:si>
    <x:t xml:space="preserve">1053686946</x:t>
  </x:si>
  <x:si>
    <x:t xml:space="preserve">2026-06-18 22:33:15</x:t>
  </x:si>
  <x:si>
    <x:t xml:space="preserve">Binance-合约订单历史记录-a.xlsx｜Sheet0｜第996行</x:t>
  </x:si>
  <x:si>
    <x:t xml:space="preserve">1053702921</x:t>
  </x:si>
  <x:si>
    <x:t xml:space="preserve">2026-06-19 00:01:26</x:t>
  </x:si>
  <x:si>
    <x:t xml:space="preserve">Binance-合约订单历史记录-a.xlsx｜Sheet0｜第997行</x:t>
  </x:si>
  <x:si>
    <x:t xml:space="preserve">1054060811</x:t>
  </x:si>
  <x:si>
    <x:t xml:space="preserve">2026-06-18 23:07:28</x:t>
  </x:si>
  <x:si>
    <x:t xml:space="preserve">70</x:t>
  </x:si>
  <x:si>
    <x:t xml:space="preserve">Binance-合约订单历史记录-a.xlsx｜Sheet0｜第998行</x:t>
  </x:si>
  <x:si>
    <x:t xml:space="preserve">1055496361</x:t>
  </x:si>
  <x:si>
    <x:t xml:space="preserve">P0-COND-0084</x:t>
  </x:si>
  <x:si>
    <x:t xml:space="preserve">2026-06-18 23:35:34</x:t>
  </x:si>
  <x:si>
    <x:t xml:space="preserve">99.84</x:t>
  </x:si>
  <x:si>
    <x:t xml:space="preserve">Binance-合约订单历史记录-a.xlsx｜Sheet0｜第1001行</x:t>
  </x:si>
  <x:si>
    <x:t xml:space="preserve">1056466104</x:t>
  </x:si>
  <x:si>
    <x:t xml:space="preserve">Binance-合约订单历史记录-a.xlsx｜Sheet0｜第1002行</x:t>
  </x:si>
  <x:si>
    <x:t xml:space="preserve">1057409275</x:t>
  </x:si>
  <x:si>
    <x:t xml:space="preserve">2026-06-19 01:09:21</x:t>
  </x:si>
  <x:si>
    <x:t xml:space="preserve">Binance-合约订单历史记录-a.xlsx｜Sheet0｜第1006行</x:t>
  </x:si>
  <x:si>
    <x:t xml:space="preserve">1057990884</x:t>
  </x:si>
  <x:si>
    <x:t xml:space="preserve">P0-COND-0083</x:t>
  </x:si>
  <x:si>
    <x:t xml:space="preserve">2026-06-19 01:14:21</x:t>
  </x:si>
  <x:si>
    <x:t xml:space="preserve">107.74</x:t>
  </x:si>
  <x:si>
    <x:t xml:space="preserve">Binance-合约订单历史记录-a.xlsx｜Sheet0｜第1007行</x:t>
  </x:si>
  <x:si>
    <x:t xml:space="preserve">1059274157</x:t>
  </x:si>
  <x:si>
    <x:t xml:space="preserve">2026-06-19 01:19:57</x:t>
  </x:si>
  <x:si>
    <x:t xml:space="preserve">106.41</x:t>
  </x:si>
  <x:si>
    <x:t xml:space="preserve">Binance-合约订单历史记录-a.xlsx｜Sheet0｜第1008行</x:t>
  </x:si>
  <x:si>
    <x:t xml:space="preserve">1059386177</x:t>
  </x:si>
  <x:si>
    <x:t xml:space="preserve">2026-06-19 01:24:36</x:t>
  </x:si>
  <x:si>
    <x:t xml:space="preserve">101.61</x:t>
  </x:si>
  <x:si>
    <x:t xml:space="preserve">Binance-合约订单历史记录-a.xlsx｜Sheet0｜第1009行</x:t>
  </x:si>
  <x:si>
    <x:t xml:space="preserve">1059484881</x:t>
  </x:si>
  <x:si>
    <x:t xml:space="preserve">2026-06-19 01:45:29</x:t>
  </x:si>
  <x:si>
    <x:t xml:space="preserve">Binance-合约订单历史记录-a.xlsx｜Sheet0｜第1011行</x:t>
  </x:si>
  <x:si>
    <x:t xml:space="preserve">1059825264</x:t>
  </x:si>
  <x:si>
    <x:t xml:space="preserve">P0-COND-0082</x:t>
  </x:si>
  <x:si>
    <x:t xml:space="preserve">P0-COND-0081</x:t>
  </x:si>
  <x:si>
    <x:t xml:space="preserve">Binance-合约订单历史记录-a.xlsx｜Sheet0｜第1012行</x:t>
  </x:si>
  <x:si>
    <x:t xml:space="preserve">1060084760</x:t>
  </x:si>
  <x:si>
    <x:t xml:space="preserve">最终真实平仓；订单1060465810实际成交200，仓位由200变为0；同一订单的189条Fill仅计为1张委托。</x:t>
  </x:si>
  <x:si>
    <x:t xml:space="preserve">189</x:t>
  </x:si>
  <x:si>
    <x:t xml:space="preserve">CHECK-T123-C</x:t>
  </x:si>
  <x:si>
    <x:t xml:space="preserve">2026-06-19 17:06:06</x:t>
  </x:si>
  <x:si>
    <x:t xml:space="preserve">Binance-合约订单历史记录-a.xlsx｜Sheet0｜第1028行</x:t>
  </x:si>
  <x:si>
    <x:t xml:space="preserve">1046346598548</x:t>
  </x:si>
  <x:si>
    <x:t xml:space="preserve">2026-06-19 17:23:13</x:t>
  </x:si>
  <x:si>
    <x:t xml:space="preserve">Binance-合约订单历史记录-a.xlsx｜Sheet0｜第1029行</x:t>
  </x:si>
  <x:si>
    <x:t xml:space="preserve">1046388715783</x:t>
  </x:si>
  <x:si>
    <x:t xml:space="preserve">2026-06-19 19:45:54</x:t>
  </x:si>
  <x:si>
    <x:t xml:space="preserve">Binance-合约订单历史记录-a.xlsx｜Sheet0｜第1030行</x:t>
  </x:si>
  <x:si>
    <x:t xml:space="preserve">1046401507400</x:t>
  </x:si>
  <x:si>
    <x:t xml:space="preserve">2026-06-19 20:12:07</x:t>
  </x:si>
  <x:si>
    <x:t xml:space="preserve">Binance-合约订单历史记录-a.xlsx｜Sheet0｜第1031行</x:t>
  </x:si>
  <x:si>
    <x:t xml:space="preserve">1046486693437</x:t>
  </x:si>
  <x:si>
    <x:t xml:space="preserve">2026-06-19 20:15:43</x:t>
  </x:si>
  <x:si>
    <x:t xml:space="preserve">Binance-合约订单历史记录-a.xlsx｜Sheet0｜第1032行</x:t>
  </x:si>
  <x:si>
    <x:t xml:space="preserve">1046500858623</x:t>
  </x:si>
  <x:si>
    <x:t xml:space="preserve">2026-06-19 20:19:45</x:t>
  </x:si>
  <x:si>
    <x:t xml:space="preserve">Binance-合约订单历史记录-a.xlsx｜Sheet0｜第1033行</x:t>
  </x:si>
  <x:si>
    <x:t xml:space="preserve">1046504543875</x:t>
  </x:si>
  <x:si>
    <x:t xml:space="preserve">2026-06-19 20:24:28</x:t>
  </x:si>
  <x:si>
    <x:t xml:space="preserve">Binance-合约订单历史记录-a.xlsx｜Sheet0｜第1034行</x:t>
  </x:si>
  <x:si>
    <x:t xml:space="preserve">1046504898347</x:t>
  </x:si>
  <x:si>
    <x:t xml:space="preserve">2026-06-19 20:24:59</x:t>
  </x:si>
  <x:si>
    <x:t xml:space="preserve">首次开仓；订单1046507354503实际成交10，仓位由0变为10；同一订单的3条Fill仅计为1张委托。</x:t>
  </x:si>
  <x:si>
    <x:t xml:space="preserve">2026-06-19 20:42:09</x:t>
  </x:si>
  <x:si>
    <x:t xml:space="preserve">8.143</x:t>
  </x:si>
  <x:si>
    <x:t xml:space="preserve">持仓中加仓尝试；实际成交数量为0，仓位保持10，仅计入委托尝试，不计入实际开仓、加仓、减仓或最终平仓。</x:t>
  </x:si>
  <x:si>
    <x:t xml:space="preserve">Binance-合约订单历史记录-a.xlsx｜Sheet0｜第1036行</x:t>
  </x:si>
  <x:si>
    <x:t xml:space="preserve">1046516252596</x:t>
  </x:si>
  <x:si>
    <x:t xml:space="preserve">存在时段歧义，保留为可能归属并要求人工确认。</x:t>
  </x:si>
  <x:si>
    <x:t xml:space="preserve">2026-06-19 20:42:36</x:t>
  </x:si>
  <x:si>
    <x:t xml:space="preserve">实际加仓；订单1046517107992实际成交5，仓位由10变为15；同一订单的3条Fill仅计为1张委托。</x:t>
  </x:si>
  <x:si>
    <x:t xml:space="preserve">1046517107992</x:t>
  </x:si>
  <x:si>
    <x:t xml:space="preserve">2026-06-19 21:16:32</x:t>
  </x:si>
  <x:si>
    <x:t xml:space="preserve">持仓中减仓或平仓尝试；实际成交数量为0，仓位保持15，仅计入委托尝试，不计入实际开仓、加仓、减仓或最终平仓。</x:t>
  </x:si>
  <x:si>
    <x:t xml:space="preserve">Binance-合约订单历史记录-a.xlsx｜Sheet0｜第1038行</x:t>
  </x:si>
  <x:si>
    <x:t xml:space="preserve">1046524572647</x:t>
  </x:si>
  <x:si>
    <x:t xml:space="preserve">P0-COND-0067</x:t>
  </x:si>
  <x:si>
    <x:t xml:space="preserve">P0-COND-0066</x:t>
  </x:si>
  <x:si>
    <x:t xml:space="preserve">2026-06-20 05:09:44</x:t>
  </x:si>
  <x:si>
    <x:t xml:space="preserve">D</x:t>
  </x:si>
  <x:si>
    <x:t xml:space="preserve">Binance-合约订单历史记录-a.xlsx｜Sheet0｜第1041行</x:t>
  </x:si>
  <x:si>
    <x:t xml:space="preserve">1046832109976</x:t>
  </x:si>
  <x:si>
    <x:t xml:space="preserve">P0-COND-0065</x:t>
  </x:si>
  <x:si>
    <x:t xml:space="preserve">2026-06-20 07:39:43</x:t>
  </x:si>
  <x:si>
    <x:t xml:space="preserve">实际减仓；订单1046917544477实际成交7.5，仓位由15变为7.5；同一订单的1条Fill仅计为1张委托。</x:t>
  </x:si>
  <x:si>
    <x:t xml:space="preserve">1046917544477</x:t>
  </x:si>
  <x:si>
    <x:t xml:space="preserve">P0-COND-0064</x:t>
  </x:si>
  <x:si>
    <x:t xml:space="preserve">P0-COND-0063</x:t>
  </x:si>
  <x:si>
    <x:t xml:space="preserve">P0-COND-0062</x:t>
  </x:si>
  <x:si>
    <x:t xml:space="preserve">P0-COND-0061</x:t>
  </x:si>
  <x:si>
    <x:t xml:space="preserve">P0-COND-0060</x:t>
  </x:si>
  <x:si>
    <x:t xml:space="preserve">P0-COND-0059</x:t>
  </x:si>
  <x:si>
    <x:t xml:space="preserve">P0-COND-0058</x:t>
  </x:si>
  <x:si>
    <x:t xml:space="preserve">P0-COND-0057</x:t>
  </x:si>
  <x:si>
    <x:t xml:space="preserve">2026-06-21 05:22:26</x:t>
  </x:si>
  <x:si>
    <x:t xml:space="preserve">持仓中减仓或平仓尝试；实际成交数量为0，仓位保持7.5，仅计入委托尝试，不计入实际开仓、加仓、减仓或最终平仓。</x:t>
  </x:si>
  <x:si>
    <x:t xml:space="preserve">Binance-合约订单历史记录-a.xlsx｜Sheet0｜第1044行</x:t>
  </x:si>
  <x:si>
    <x:t xml:space="preserve">1047423392188</x:t>
  </x:si>
  <x:si>
    <x:t xml:space="preserve">P0-COND-0056</x:t>
  </x:si>
  <x:si>
    <x:t xml:space="preserve">P0-COND-0055</x:t>
  </x:si>
  <x:si>
    <x:t xml:space="preserve">P0-COND-0054</x:t>
  </x:si>
  <x:si>
    <x:t xml:space="preserve">Binance-合约订单历史记录-a.xlsx｜Sheet0｜第1045行</x:t>
  </x:si>
  <x:si>
    <x:t xml:space="preserve">1047658985943</x:t>
  </x:si>
  <x:si>
    <x:t xml:space="preserve">P0-COND-0053</x:t>
  </x:si>
  <x:si>
    <x:t xml:space="preserve">2026-06-21 06:27:46</x:t>
  </x:si>
  <x:si>
    <x:t xml:space="preserve">Binance-合约订单历史记录-a.xlsx｜Sheet0｜第1046行</x:t>
  </x:si>
  <x:si>
    <x:t xml:space="preserve">1047667167991</x:t>
  </x:si>
  <x:si>
    <x:t xml:space="preserve">最终真实平仓；订单1047668429253实际成交7.5，仓位由7.5变为0；同一订单的34条Fill仅计为1张委托。</x:t>
  </x:si>
  <x:si>
    <x:t xml:space="preserve">CHECK-T125-C</x:t>
  </x:si>
  <x:si>
    <x:t xml:space="preserve">2026-06-17 07:30:18</x:t>
  </x:si>
  <x:si>
    <x:t xml:space="preserve">Binance-合约订单历史记录-a.xlsx｜Sheet0｜第941行</x:t>
  </x:si>
  <x:si>
    <x:t xml:space="preserve">1043965412154</x:t>
  </x:si>
  <x:si>
    <x:t xml:space="preserve">2026-06-17 07:58:35</x:t>
  </x:si>
  <x:si>
    <x:t xml:space="preserve">Binance-合约订单历史记录-a.xlsx｜Sheet0｜第942行</x:t>
  </x:si>
  <x:si>
    <x:t xml:space="preserve">1043977769983</x:t>
  </x:si>
  <x:si>
    <x:t xml:space="preserve">2026-06-17 08:07:37</x:t>
  </x:si>
  <x:si>
    <x:t xml:space="preserve">4.755</x:t>
  </x:si>
  <x:si>
    <x:t xml:space="preserve">Binance-合约订单历史记录-a.xlsx｜Sheet0｜第943行</x:t>
  </x:si>
  <x:si>
    <x:t xml:space="preserve">1043990550848</x:t>
  </x:si>
  <x:si>
    <x:t xml:space="preserve">2026-06-17 08:11:51</x:t>
  </x:si>
  <x:si>
    <x:t xml:space="preserve">4.5</x:t>
  </x:si>
  <x:si>
    <x:t xml:space="preserve">Binance-合约订单历史记录-a.xlsx｜Sheet0｜第944行</x:t>
  </x:si>
  <x:si>
    <x:t xml:space="preserve">1043995029054</x:t>
  </x:si>
  <x:si>
    <x:t xml:space="preserve">2026-06-17 16:35:29</x:t>
  </x:si>
  <x:si>
    <x:t xml:space="preserve">Binance-合约订单历史记录-a.xlsx｜Sheet0｜第945行</x:t>
  </x:si>
  <x:si>
    <x:t xml:space="preserve">1043995894643</x:t>
  </x:si>
  <x:si>
    <x:t xml:space="preserve">2026-06-17 18:51:24</x:t>
  </x:si>
  <x:si>
    <x:t xml:space="preserve">5.5</x:t>
  </x:si>
  <x:si>
    <x:t xml:space="preserve">Binance-合约订单历史记录-a.xlsx｜Sheet0｜第946行</x:t>
  </x:si>
  <x:si>
    <x:t xml:space="preserve">1044329784311</x:t>
  </x:si>
  <x:si>
    <x:t xml:space="preserve">2026-06-17 18:53:11</x:t>
  </x:si>
  <x:si>
    <x:t xml:space="preserve">Binance-合约订单历史记录-a.xlsx｜Sheet0｜第947行</x:t>
  </x:si>
  <x:si>
    <x:t xml:space="preserve">1044425957385</x:t>
  </x:si>
  <x:si>
    <x:t xml:space="preserve">2026-06-17 19:04:41</x:t>
  </x:si>
  <x:si>
    <x:t xml:space="preserve">Binance-合约订单历史记录-a.xlsx｜Sheet0｜第948行</x:t>
  </x:si>
  <x:si>
    <x:t xml:space="preserve">1044428526134</x:t>
  </x:si>
  <x:si>
    <x:t xml:space="preserve">2026-06-17 19:05:00</x:t>
  </x:si>
  <x:si>
    <x:t xml:space="preserve">5.69</x:t>
  </x:si>
  <x:si>
    <x:t xml:space="preserve">Binance-合约订单历史记录-a.xlsx｜Sheet0｜第949行</x:t>
  </x:si>
  <x:si>
    <x:t xml:space="preserve">1044434065214</x:t>
  </x:si>
  <x:si>
    <x:t xml:space="preserve">2026-06-17 20:10:10</x:t>
  </x:si>
  <x:si>
    <x:t xml:space="preserve">Binance-合约订单历史记录-a.xlsx｜Sheet0｜第950行</x:t>
  </x:si>
  <x:si>
    <x:t xml:space="preserve">1044435702944</x:t>
  </x:si>
  <x:si>
    <x:t xml:space="preserve">2026-06-17 20:37:14</x:t>
  </x:si>
  <x:si>
    <x:t xml:space="preserve">Binance-合约订单历史记录-a.xlsx｜Sheet0｜第951行</x:t>
  </x:si>
  <x:si>
    <x:t xml:space="preserve">1044490553717</x:t>
  </x:si>
  <x:si>
    <x:t xml:space="preserve">2026-06-17 20:57:19</x:t>
  </x:si>
  <x:si>
    <x:t xml:space="preserve">首次开仓；订单1044516184446实际成交5，仓位由0变为5；同一订单的21条Fill仅计为1张委托。</x:t>
  </x:si>
  <x:si>
    <x:t xml:space="preserve">P0-COND-0099</x:t>
  </x:si>
  <x:si>
    <x:t xml:space="preserve">P0-COND-0100</x:t>
  </x:si>
  <x:si>
    <x:t xml:space="preserve">2026-06-17 22:15:38</x:t>
  </x:si>
  <x:si>
    <x:t xml:space="preserve">Binance-合约订单历史记录-a.xlsx｜Sheet0｜第954行</x:t>
  </x:si>
  <x:si>
    <x:t xml:space="preserve">1044559471519</x:t>
  </x:si>
  <x:si>
    <x:t xml:space="preserve">2026-06-17 22:17:21</x:t>
  </x:si>
  <x:si>
    <x:t xml:space="preserve">Binance-合约订单历史记录-a.xlsx｜Sheet0｜第955行</x:t>
  </x:si>
  <x:si>
    <x:t xml:space="preserve">1044578333078</x:t>
  </x:si>
  <x:si>
    <x:t xml:space="preserve">2026-06-17 22:54:55</x:t>
  </x:si>
  <x:si>
    <x:t xml:space="preserve">Binance-合约订单历史记录-a.xlsx｜Sheet0｜第956行</x:t>
  </x:si>
  <x:si>
    <x:t xml:space="preserve">1044580041629</x:t>
  </x:si>
  <x:si>
    <x:t xml:space="preserve">P0-COND-0097</x:t>
  </x:si>
  <x:si>
    <x:t xml:space="preserve">P0-COND-0098</x:t>
  </x:si>
  <x:si>
    <x:t xml:space="preserve">2026-06-17 22:59:27</x:t>
  </x:si>
  <x:si>
    <x:t xml:space="preserve">Binance-合约订单历史记录-a.xlsx｜Sheet0｜第957行</x:t>
  </x:si>
  <x:si>
    <x:t xml:space="preserve">1044611903225</x:t>
  </x:si>
  <x:si>
    <x:t xml:space="preserve">2026-06-17 23:28:35</x:t>
  </x:si>
  <x:si>
    <x:t xml:space="preserve">Binance-合约订单历史记录-a.xlsx｜Sheet0｜第958行</x:t>
  </x:si>
  <x:si>
    <x:t xml:space="preserve">1044619889147</x:t>
  </x:si>
  <x:si>
    <x:t xml:space="preserve">2026-06-17 23:31:18</x:t>
  </x:si>
  <x:si>
    <x:t xml:space="preserve">Binance-合约订单历史记录-a.xlsx｜Sheet0｜第960行</x:t>
  </x:si>
  <x:si>
    <x:t xml:space="preserve">1044640297635</x:t>
  </x:si>
  <x:si>
    <x:t xml:space="preserve">2026-06-17 23:32:11</x:t>
  </x:si>
  <x:si>
    <x:t xml:space="preserve">1.226</x:t>
  </x:si>
  <x:si>
    <x:t xml:space="preserve">实际加仓；订单1044643231487实际成交1.226，仓位由5变为6.226；同一订单的1条Fill仅计为1张委托。</x:t>
  </x:si>
  <x:si>
    <x:t xml:space="preserve">1044643231487</x:t>
  </x:si>
  <x:si>
    <x:t xml:space="preserve">2026-06-17 23:48:00</x:t>
  </x:si>
  <x:si>
    <x:t xml:space="preserve">3.8</x:t>
  </x:si>
  <x:si>
    <x:t xml:space="preserve">持仓中加仓尝试；实际成交数量为0，仓位保持6.226，仅计入委托尝试，不计入实际开仓、加仓、减仓或最终平仓。</x:t>
  </x:si>
  <x:si>
    <x:t xml:space="preserve">Binance-合约订单历史记录-a.xlsx｜Sheet0｜第962行</x:t>
  </x:si>
  <x:si>
    <x:t xml:space="preserve">1044649994448</x:t>
  </x:si>
  <x:si>
    <x:t xml:space="preserve">P0-COND-0096</x:t>
  </x:si>
  <x:si>
    <x:t xml:space="preserve">2026-06-17 23:48:34</x:t>
  </x:si>
  <x:si>
    <x:t xml:space="preserve">实际加仓；订单1044657254181实际成交3.8，仓位由6.226变为10.026；同一订单的15条Fill仅计为1张委托。</x:t>
  </x:si>
  <x:si>
    <x:t xml:space="preserve">1044657254181</x:t>
  </x:si>
  <x:si>
    <x:t xml:space="preserve">2026-06-17 23:51:30</x:t>
  </x:si>
  <x:si>
    <x:t xml:space="preserve">2.755</x:t>
  </x:si>
  <x:si>
    <x:t xml:space="preserve">持仓中加仓尝试；实际成交数量为0，仓位保持10.026，仅计入委托尝试，不计入实际开仓、加仓、减仓或最终平仓。</x:t>
  </x:si>
  <x:si>
    <x:t xml:space="preserve">Binance-合约订单历史记录-a.xlsx｜Sheet0｜第964行</x:t>
  </x:si>
  <x:si>
    <x:t xml:space="preserve">1044659662887</x:t>
  </x:si>
  <x:si>
    <x:t xml:space="preserve">2026-06-18 00:28:16</x:t>
  </x:si>
  <x:si>
    <x:t xml:space="preserve">持仓中减仓或平仓尝试；实际成交数量为0，仓位保持10.026，仅计入委托尝试，不计入实际开仓、加仓、减仓或最终平仓。</x:t>
  </x:si>
  <x:si>
    <x:t xml:space="preserve">Binance-合约订单历史记录-a.xlsx｜Sheet0｜第965行</x:t>
  </x:si>
  <x:si>
    <x:t xml:space="preserve">1044660719869</x:t>
  </x:si>
  <x:si>
    <x:t xml:space="preserve">P0-COND-0094</x:t>
  </x:si>
  <x:si>
    <x:t xml:space="preserve">P0-COND-0095</x:t>
  </x:si>
  <x:si>
    <x:t xml:space="preserve">P0-COND-0093</x:t>
  </x:si>
  <x:si>
    <x:t xml:space="preserve">2026-06-18 00:17:52</x:t>
  </x:si>
  <x:si>
    <x:t xml:space="preserve">5.365</x:t>
  </x:si>
  <x:si>
    <x:t xml:space="preserve">Binance-合约订单历史记录-a.xlsx｜Sheet0｜第966行</x:t>
  </x:si>
  <x:si>
    <x:t xml:space="preserve">1044680293733</x:t>
  </x:si>
  <x:si>
    <x:t xml:space="preserve">2026-06-18 00:50:59</x:t>
  </x:si>
  <x:si>
    <x:t xml:space="preserve">Binance-合约订单历史记录-a.xlsx｜Sheet0｜第967行</x:t>
  </x:si>
  <x:si>
    <x:t xml:space="preserve">1044695373182</x:t>
  </x:si>
  <x:si>
    <x:t xml:space="preserve">P0-COND-0092</x:t>
  </x:si>
  <x:si>
    <x:t xml:space="preserve">2026-06-18 01:51:36</x:t>
  </x:si>
  <x:si>
    <x:t xml:space="preserve">Binance-合约订单历史记录-a.xlsx｜Sheet0｜第968行</x:t>
  </x:si>
  <x:si>
    <x:t xml:space="preserve">1044706758362</x:t>
  </x:si>
  <x:si>
    <x:t xml:space="preserve">P0-COND-0091</x:t>
  </x:si>
  <x:si>
    <x:t xml:space="preserve">2026-06-18 01:52:12</x:t>
  </x:si>
  <x:si>
    <x:t xml:space="preserve">最终真实平仓；订单1044748235436实际成交10.026，仓位由10.026变为0；同一订单的1条Fill仅计为1张委托。</x:t>
  </x:si>
  <x:si>
    <x:t xml:space="preserve">CHECK-T120-C</x:t>
  </x:si>
  <x:si>
    <x:t xml:space="preserve">2026-06-04 02:23:50</x:t>
  </x:si>
  <x:si>
    <x:t xml:space="preserve">Binance-合约订单历史记录-a.xlsx｜Sheet0｜第456行</x:t>
  </x:si>
  <x:si>
    <x:t xml:space="preserve">1029388299487</x:t>
  </x:si>
  <x:si>
    <x:t xml:space="preserve">2026-06-04 03:05:23</x:t>
  </x:si>
  <x:si>
    <x:t xml:space="preserve">Binance-合约订单历史记录-a.xlsx｜Sheet0｜第457行</x:t>
  </x:si>
  <x:si>
    <x:t xml:space="preserve">1029407459091</x:t>
  </x:si>
  <x:si>
    <x:t xml:space="preserve">2026-06-04 03:05:38</x:t>
  </x:si>
  <x:si>
    <x:t xml:space="preserve">2026-06-04 03:07:24</x:t>
  </x:si>
  <x:si>
    <x:t xml:space="preserve">首次开仓；订单1029440498491实际成交5，仓位由0变为5；同一订单的13条Fill仅计为1张委托。</x:t>
  </x:si>
  <x:si>
    <x:t xml:space="preserve">P0-COND-0292</x:t>
  </x:si>
  <x:si>
    <x:t xml:space="preserve">P0-COND-0291</x:t>
  </x:si>
  <x:si>
    <x:t xml:space="preserve">2026-06-04 03:36:43</x:t>
  </x:si>
  <x:si>
    <x:t xml:space="preserve">实际加仓；订单1029465477805实际成交3，仓位由5变为8；同一订单的6条Fill仅计为1张委托。</x:t>
  </x:si>
  <x:si>
    <x:t xml:space="preserve">1029465477805</x:t>
  </x:si>
  <x:si>
    <x:t xml:space="preserve">P0-COND-0290</x:t>
  </x:si>
  <x:si>
    <x:t xml:space="preserve">P0-COND-0289</x:t>
  </x:si>
  <x:si>
    <x:t xml:space="preserve">P0-COND-0288</x:t>
  </x:si>
  <x:si>
    <x:t xml:space="preserve">P0-COND-0287</x:t>
  </x:si>
  <x:si>
    <x:t xml:space="preserve">P0-COND-0286</x:t>
  </x:si>
  <x:si>
    <x:t xml:space="preserve">P0-COND-0285</x:t>
  </x:si>
  <x:si>
    <x:t xml:space="preserve">P0-COND-0284</x:t>
  </x:si>
  <x:si>
    <x:t xml:space="preserve">P0-COND-0283</x:t>
  </x:si>
  <x:si>
    <x:t xml:space="preserve">P0-COND-0282</x:t>
  </x:si>
  <x:si>
    <x:t xml:space="preserve">P0-COND-0281</x:t>
  </x:si>
  <x:si>
    <x:t xml:space="preserve">P0-COND-0280</x:t>
  </x:si>
  <x:si>
    <x:t xml:space="preserve">P0-COND-0279</x:t>
  </x:si>
  <x:si>
    <x:t xml:space="preserve">P0-COND-0278</x:t>
  </x:si>
  <x:si>
    <x:t xml:space="preserve">P0-COND-0277</x:t>
  </x:si>
  <x:si>
    <x:t xml:space="preserve">P0-COND-0276</x:t>
  </x:si>
  <x:si>
    <x:t xml:space="preserve">P0-COND-0275</x:t>
  </x:si>
  <x:si>
    <x:t xml:space="preserve">P0-COND-0274</x:t>
  </x:si>
  <x:si>
    <x:t xml:space="preserve">P0-COND-0273</x:t>
  </x:si>
  <x:si>
    <x:t xml:space="preserve">P0-COND-0272</x:t>
  </x:si>
  <x:si>
    <x:t xml:space="preserve">P0-COND-0271</x:t>
  </x:si>
  <x:si>
    <x:t xml:space="preserve">2026-06-04 05:59:42</x:t>
  </x:si>
  <x:si>
    <x:t xml:space="preserve">最终真实平仓；订单1029591268792实际成交8，仓位由8变为0；同一订单的8条Fill仅计为1张委托。</x:t>
  </x:si>
  <x:si>
    <x:t xml:space="preserve">CHECK-T069-C</x:t>
  </x:si>
  <x:si>
    <x:t xml:space="preserve">2026-06-01 06:14:41</x:t>
  </x:si>
  <x:si>
    <x:t xml:space="preserve">Binance-合约订单历史记录-a.xlsx｜Sheet0｜第203行</x:t>
  </x:si>
  <x:si>
    <x:t xml:space="preserve">1026184562448</x:t>
  </x:si>
  <x:si>
    <x:t xml:space="preserve">2026-06-01 06:24:34</x:t>
  </x:si>
  <x:si>
    <x:t xml:space="preserve">Binance-合约订单历史记录-a.xlsx｜Sheet0｜第204行</x:t>
  </x:si>
  <x:si>
    <x:t xml:space="preserve">1026191743006</x:t>
  </x:si>
  <x:si>
    <x:t xml:space="preserve">2026-06-01 06:31:20</x:t>
  </x:si>
  <x:si>
    <x:t xml:space="preserve">Binance-合约订单历史记录-a.xlsx｜Sheet0｜第205行</x:t>
  </x:si>
  <x:si>
    <x:t xml:space="preserve">1026195785205</x:t>
  </x:si>
  <x:si>
    <x:t xml:space="preserve">2026-06-01 06:34:23</x:t>
  </x:si>
  <x:si>
    <x:t xml:space="preserve">首次开仓；订单1026199990926实际成交1，仓位由0变为1；同一订单的1条Fill仅计为1张委托。</x:t>
  </x:si>
  <x:si>
    <x:t xml:space="preserve">P0-COND-0406</x:t>
  </x:si>
  <x:si>
    <x:t xml:space="preserve">P0-COND-0407</x:t>
  </x:si>
  <x:si>
    <x:t xml:space="preserve">2026-06-01 09:27:01</x:t>
  </x:si>
  <x:si>
    <x:t xml:space="preserve">最终真实平仓；订单1026312431034实际成交1，仓位由1变为0；同一订单的2条Fill仅计为1张委托。</x:t>
  </x:si>
  <x:si>
    <x:t xml:space="preserve">CHECK-T029-C</x:t>
  </x:si>
  <x:si>
    <x:t xml:space="preserve">条件事件顺序</x:t>
  </x:si>
  <x:si>
    <x:t xml:space="preserve">演变链编号</x:t>
  </x:si>
  <x:si>
    <x:t xml:space="preserve">条件委托创建时间</x:t>
  </x:si>
  <x:si>
    <x:t xml:space="preserve">条件委托结束时间</x:t>
  </x:si>
  <x:si>
    <x:t xml:space="preserve">与正式开仓时间关系</x:t>
  </x:si>
  <x:si>
    <x:t xml:space="preserve">与正式平仓时间关系</x:t>
  </x:si>
  <x:si>
    <x:t xml:space="preserve">条件类型原文</x:t>
  </x:si>
  <x:si>
    <x:t xml:space="preserve">条件类型中文</x:t>
  </x:si>
  <x:si>
    <x:t xml:space="preserve">条件类型是否推断</x:t>
  </x:si>
  <x:si>
    <x:t xml:space="preserve">委托数量显示值</x:t>
  </x:si>
  <x:si>
    <x:t xml:space="preserve">明确触发时间</x:t>
  </x:si>
  <x:si>
    <x:t xml:space="preserve">生成基础订单号</x:t>
  </x:si>
  <x:si>
    <x:t xml:space="preserve">对应基础Order是否存在</x:t>
  </x:si>
  <x:si>
    <x:t xml:space="preserve">对应Fill数量</x:t>
  </x:si>
  <x:si>
    <x:t xml:space="preserve">是否实际触发</x:t>
  </x:si>
  <x:si>
    <x:t xml:space="preserve">是否产生实际成交</x:t>
  </x:si>
  <x:si>
    <x:t xml:space="preserve">是否实际影响仓位</x:t>
  </x:si>
  <x:si>
    <x:t xml:space="preserve">是否使仓位归零</x:t>
  </x:si>
  <x:si>
    <x:t xml:space="preserve">实际结果层级</x:t>
  </x:si>
  <x:si>
    <x:t xml:space="preserve">与上一张条件委托关系</x:t>
  </x:si>
  <x:si>
    <x:t xml:space="preserve">旧触发价格</x:t>
  </x:si>
  <x:si>
    <x:t xml:space="preserve">新触发价格</x:t>
  </x:si>
  <x:si>
    <x:t xml:space="preserve">时间间隔</x:t>
  </x:si>
  <x:si>
    <x:t xml:space="preserve">数量差</x:t>
  </x:si>
  <x:si>
    <x:t xml:space="preserve">关系等级</x:t>
  </x:si>
  <x:si>
    <x:t xml:space="preserve">归属等级</x:t>
  </x:si>
  <x:si>
    <x:t xml:space="preserve">人工确认内容</x:t>
  </x:si>
  <x:si>
    <x:t xml:space="preserve">技术算法ID</x:t>
  </x:si>
  <x:si>
    <x:t xml:space="preserve">技术条件委托编号</x:t>
  </x:si>
  <x:si>
    <x:t xml:space="preserve">T042-SL-01</x:t>
  </x:si>
  <x:si>
    <x:t xml:space="preserve">持仓期间</x:t>
  </x:si>
  <x:si>
    <x:t xml:space="preserve">平仓前创建</x:t>
  </x:si>
  <x:si>
    <x:t xml:space="preserve">买入（平空）</x:t>
  </x:si>
  <x:si>
    <x:t xml:space="preserve">是（原文同时包含止盈止损，性质来自正式技术判断）</x:t>
  </x:si>
  <x:si>
    <x:t xml:space="preserve">0.000 BTC</x:t>
  </x:si>
  <x:si>
    <x:t xml:space="preserve">不可得（正式来源无此字段）</x:t>
  </x:si>
  <x:si>
    <x:t xml:space="preserve">29分40秒</x:t>
  </x:si>
  <x:si>
    <x:t xml:space="preserve">T049-TP-01</x:t>
  </x:si>
  <x:si>
    <x:t xml:space="preserve">卖出（平多）</x:t>
  </x:si>
  <x:si>
    <x:t xml:space="preserve">T049-SL-01</x:t>
  </x:si>
  <x:si>
    <x:t xml:space="preserve">5分10秒</x:t>
  </x:si>
  <x:si>
    <x:t xml:space="preserve">9分31秒</x:t>
  </x:si>
  <x:si>
    <x:t xml:space="preserve">28分45秒</x:t>
  </x:si>
  <x:si>
    <x:t xml:space="preserve">2小时11分</x:t>
  </x:si>
  <x:si>
    <x:t xml:space="preserve">2小时18分</x:t>
  </x:si>
  <x:si>
    <x:t xml:space="preserve">1分52秒</x:t>
  </x:si>
  <x:si>
    <x:t xml:space="preserve">40分54秒</x:t>
  </x:si>
  <x:si>
    <x:t xml:space="preserve">9分10秒</x:t>
  </x:si>
  <x:si>
    <x:t xml:space="preserve">12分32秒</x:t>
  </x:si>
  <x:si>
    <x:t xml:space="preserve">37分47秒</x:t>
  </x:si>
  <x:si>
    <x:t xml:space="preserve">2.000 BTC</x:t>
  </x:si>
  <x:si>
    <x:t xml:space="preserve">19分2秒</x:t>
  </x:si>
  <x:si>
    <x:t xml:space="preserve">1小时26分</x:t>
  </x:si>
  <x:si>
    <x:t xml:space="preserve">7分19秒</x:t>
  </x:si>
  <x:si>
    <x:t xml:space="preserve">9分11秒</x:t>
  </x:si>
  <x:si>
    <x:t xml:space="preserve">23分34秒</x:t>
  </x:si>
  <x:si>
    <x:t xml:space="preserve">-2</x:t>
  </x:si>
  <x:si>
    <x:t xml:space="preserve">1小时3分</x:t>
  </x:si>
  <x:si>
    <x:t xml:space="preserve">9分42秒</x:t>
  </x:si>
  <x:si>
    <x:t xml:space="preserve">1小时27分</x:t>
  </x:si>
  <x:si>
    <x:t xml:space="preserve">12分29秒</x:t>
  </x:si>
  <x:si>
    <x:t xml:space="preserve">27.852 BTC</x:t>
  </x:si>
  <x:si>
    <x:t xml:space="preserve">已完成</x:t>
  </x:si>
  <x:si>
    <x:t xml:space="preserve">44分11秒</x:t>
  </x:si>
  <x:si>
    <x:t xml:space="preserve">T087-SL-01</x:t>
  </x:si>
  <x:si>
    <x:t xml:space="preserve">0.300 BTC</x:t>
  </x:si>
  <x:si>
    <x:t xml:space="preserve">T123-TP-01</x:t>
  </x:si>
  <x:si>
    <x:t xml:space="preserve">100.00 SNDK</x:t>
  </x:si>
  <x:si>
    <x:t xml:space="preserve">T123-SL-01</x:t>
  </x:si>
  <x:si>
    <x:t xml:space="preserve">0.00 SNDK</x:t>
  </x:si>
  <x:si>
    <x:t xml:space="preserve">1小时36分</x:t>
  </x:si>
  <x:si>
    <x:t xml:space="preserve">-100</x:t>
  </x:si>
  <x:si>
    <x:t xml:space="preserve">1小时14分</x:t>
  </x:si>
  <x:si>
    <x:t xml:space="preserve">3小时51分</x:t>
  </x:si>
  <x:si>
    <x:t xml:space="preserve">200.00 SNDK</x:t>
  </x:si>
  <x:si>
    <x:t xml:space="preserve">39秒</x:t>
  </x:si>
  <x:si>
    <x:t xml:space="preserve">T125-SL-01</x:t>
  </x:si>
  <x:si>
    <x:t xml:space="preserve">40分36秒</x:t>
  </x:si>
  <x:si>
    <x:t xml:space="preserve">T125-TP-01</x:t>
  </x:si>
  <x:si>
    <x:t xml:space="preserve">10小时17分</x:t>
  </x:si>
  <x:si>
    <x:t xml:space="preserve">6小时43分</x:t>
  </x:si>
  <x:si>
    <x:t xml:space="preserve">6分15秒</x:t>
  </x:si>
  <x:si>
    <x:t xml:space="preserve">9小时50分</x:t>
  </x:si>
  <x:si>
    <x:t xml:space="preserve">6小时48分</x:t>
  </x:si>
  <x:si>
    <x:t xml:space="preserve">15秒</x:t>
  </x:si>
  <x:si>
    <x:t xml:space="preserve">2分31秒</x:t>
  </x:si>
  <x:si>
    <x:t xml:space="preserve">8小时7分</x:t>
  </x:si>
  <x:si>
    <x:t xml:space="preserve">7小时5分</x:t>
  </x:si>
  <x:si>
    <x:t xml:space="preserve">8小时14分</x:t>
  </x:si>
  <x:si>
    <x:t xml:space="preserve">1分21秒</x:t>
  </x:si>
  <x:si>
    <x:t xml:space="preserve">9分9秒</x:t>
  </x:si>
  <x:si>
    <x:t xml:space="preserve">T120-TP-01</x:t>
  </x:si>
  <x:si>
    <x:t xml:space="preserve">T120-SL-01</x:t>
  </x:si>
  <x:si>
    <x:t xml:space="preserve">1小时10分</x:t>
  </x:si>
  <x:si>
    <x:t xml:space="preserve">54分7秒</x:t>
  </x:si>
  <x:si>
    <x:t xml:space="preserve">16分31秒</x:t>
  </x:si>
  <x:si>
    <x:t xml:space="preserve">55秒</x:t>
  </x:si>
  <x:si>
    <x:t xml:space="preserve">40分47秒</x:t>
  </x:si>
  <x:si>
    <x:t xml:space="preserve">51分12秒</x:t>
  </x:si>
  <x:si>
    <x:t xml:space="preserve">T069-SL-01</x:t>
  </x:si>
  <x:si>
    <x:t xml:space="preserve">T069-TP-01</x:t>
  </x:si>
  <x:si>
    <x:t xml:space="preserve">28分22秒</x:t>
  </x:si>
  <x:si>
    <x:t xml:space="preserve">13分4秒</x:t>
  </x:si>
  <x:si>
    <x:t xml:space="preserve">1分8秒</x:t>
  </x:si>
  <x:si>
    <x:t xml:space="preserve">2分21秒</x:t>
  </x:si>
  <x:si>
    <x:t xml:space="preserve">42秒</x:t>
  </x:si>
  <x:si>
    <x:t xml:space="preserve">17秒</x:t>
  </x:si>
  <x:si>
    <x:t xml:space="preserve">28分1秒</x:t>
  </x:si>
  <x:si>
    <x:t xml:space="preserve">3分47秒</x:t>
  </x:si>
  <x:si>
    <x:t xml:space="preserve">18分15秒</x:t>
  </x:si>
  <x:si>
    <x:t xml:space="preserve">18秒</x:t>
  </x:si>
  <x:si>
    <x:t xml:space="preserve">23分46秒</x:t>
  </x:si>
  <x:si>
    <x:t xml:space="preserve">33秒</x:t>
  </x:si>
  <x:si>
    <x:t xml:space="preserve">16分36秒</x:t>
  </x:si>
  <x:si>
    <x:t xml:space="preserve">11分19秒</x:t>
  </x:si>
  <x:si>
    <x:t xml:space="preserve">7分16秒</x:t>
  </x:si>
  <x:si>
    <x:t xml:space="preserve">2分23秒</x:t>
  </x:si>
  <x:si>
    <x:t xml:space="preserve">13秒</x:t>
  </x:si>
  <x:si>
    <x:t xml:space="preserve">21分36秒</x:t>
  </x:si>
  <x:si>
    <x:t xml:space="preserve">32秒</x:t>
  </x:si>
  <x:si>
    <x:t xml:space="preserve">1分20秒</x:t>
  </x:si>
  <x:si>
    <x:t xml:space="preserve">T029-TP-01</x:t>
  </x:si>
  <x:si>
    <x:t xml:space="preserve">1.000 BTC</x:t>
  </x:si>
  <x:si>
    <x:t xml:space="preserve">T029-SL-01</x:t>
  </x:si>
  <x:si>
    <x:t xml:space="preserve">止损已完成次数</x:t>
  </x:si>
  <x:si>
    <x:t xml:space="preserve">止损实际平仓次数</x:t>
  </x:si>
  <x:si>
    <x:t xml:space="preserve">止盈已完成次数</x:t>
  </x:si>
  <x:si>
    <x:t xml:space="preserve">止盈实际平仓次数</x:t>
  </x:si>
  <x:si>
    <x:t xml:space="preserve">其他条件委托设置次数</x:t>
  </x:si>
  <x:si>
    <x:t xml:space="preserve">条件委托总取消次数</x:t>
  </x:si>
  <x:si>
    <x:t xml:space="preserve">条件委托总过期次数</x:t>
  </x:si>
  <x:si>
    <x:t xml:space="preserve">条件委托总实际成交次数</x:t>
  </x:si>
  <x:si>
    <x:t xml:space="preserve">平仓后残留保护单数量</x:t>
  </x:si>
  <x:si>
    <x:t xml:space="preserve">条件计划演变中文摘要</x:t>
  </x:si>
  <x:si>
    <x:t xml:space="preserve">是否存在需要人工确认项目</x:t>
  </x:si>
  <x:si>
    <x:t xml:space="preserve">是否自动跟单</x:t>
  </x:si>
  <x:si>
    <x:t xml:space="preserve">前一实际总资产</x:t>
  </x:si>
  <x:si>
    <x:t xml:space="preserve">前一实际总资产资金类型</x:t>
  </x:si>
  <x:si>
    <x:t xml:space="preserve">开仓距离前一快照小时数</x:t>
  </x:si>
  <x:si>
    <x:t xml:space="preserve">开仓前预估资金基线</x:t>
  </x:si>
  <x:si>
    <x:t xml:space="preserve">开仓前预估最低值</x:t>
  </x:si>
  <x:si>
    <x:t xml:space="preserve">开仓前预估最高值</x:t>
  </x:si>
  <x:si>
    <x:t xml:space="preserve">开仓前同秒顺序是否不确定</x:t>
  </x:si>
  <x:si>
    <x:t xml:space="preserve">开仓前预估资金类型</x:t>
  </x:si>
  <x:si>
    <x:t xml:space="preserve">首仓后预估资金基线</x:t>
  </x:si>
  <x:si>
    <x:t xml:space="preserve">首仓手续费</x:t>
  </x:si>
  <x:si>
    <x:t xml:space="preserve">首仓后预估资金类型</x:t>
  </x:si>
  <x:si>
    <x:t xml:space="preserve">第一次达到最大持仓时间</x:t>
  </x:si>
  <x:si>
    <x:t xml:space="preserve">最大持仓时预估资金基线</x:t>
  </x:si>
  <x:si>
    <x:t xml:space="preserve">最大持仓时当前周期已实现盈亏</x:t>
  </x:si>
  <x:si>
    <x:t xml:space="preserve">最大持仓时当前周期手续费</x:t>
  </x:si>
  <x:si>
    <x:t xml:space="preserve">最大持仓时当前周期资金费</x:t>
  </x:si>
  <x:si>
    <x:t xml:space="preserve">最大持仓时同期其他事件净额</x:t>
  </x:si>
  <x:si>
    <x:t xml:space="preserve">最大持仓时预估资金类型</x:t>
  </x:si>
  <x:si>
    <x:t xml:space="preserve">周期已实现盈亏</x:t>
  </x:si>
  <x:si>
    <x:t xml:space="preserve">周期手续费</x:t>
  </x:si>
  <x:si>
    <x:t xml:space="preserve">周期资金费</x:t>
  </x:si>
  <x:si>
    <x:t xml:space="preserve">其他周期资金项</x:t>
  </x:si>
  <x:si>
    <x:t xml:space="preserve">周期正式净结果</x:t>
  </x:si>
  <x:si>
    <x:t xml:space="preserve">与阶段07正式净结果差异</x:t>
  </x:si>
  <x:si>
    <x:t xml:space="preserve">周期资金结果类型</x:t>
  </x:si>
  <x:si>
    <x:t xml:space="preserve">持仓期间其他账户资金事件净额</x:t>
  </x:si>
  <x:si>
    <x:t xml:space="preserve">其他账户事件直接汇总值</x:t>
  </x:si>
  <x:si>
    <x:t xml:space="preserve">其他账户事件两种方法差异</x:t>
  </x:si>
  <x:si>
    <x:t xml:space="preserve">平仓后账户层预估资金基线</x:t>
  </x:si>
  <x:si>
    <x:t xml:space="preserve">平仓后预估资金类型</x:t>
  </x:si>
  <x:si>
    <x:t xml:space="preserve">后一实际总资产</x:t>
  </x:si>
  <x:si>
    <x:t xml:space="preserve">后一实际总资产资金类型</x:t>
  </x:si>
  <x:si>
    <x:t xml:space="preserve">平仓距离后一快照小时数</x:t>
  </x:si>
  <x:si>
    <x:t xml:space="preserve">平仓后预估与后一快照差额</x:t>
  </x:si>
  <x:si>
    <x:t xml:space="preserve">平仓至后一快照正式事件净额</x:t>
  </x:si>
  <x:si>
    <x:t xml:space="preserve">推算至后一快照资金基线</x:t>
  </x:si>
  <x:si>
    <x:t xml:space="preserve">后一快照与推算值差额</x:t>
  </x:si>
  <x:si>
    <x:t xml:space="preserve">阶段07桥接区间</x:t>
  </x:si>
  <x:si>
    <x:t xml:space="preserve">阶段07桥接差额</x:t>
  </x:si>
  <x:si>
    <x:t xml:space="preserve">桥接差额分类</x:t>
  </x:si>
  <x:si>
    <x:t xml:space="preserve">首仓实际数量</x:t>
  </x:si>
  <x:si>
    <x:t xml:space="preserve">首仓正式均价</x:t>
  </x:si>
  <x:si>
    <x:t xml:space="preserve">首仓成本口径名义价值</x:t>
  </x:si>
  <x:si>
    <x:t xml:space="preserve">最大实际持仓数量</x:t>
  </x:si>
  <x:si>
    <x:t xml:space="preserve">最大成本口径名义价值</x:t>
  </x:si>
  <x:si>
    <x:t xml:space="preserve">首仓成本口径仓位倍数</x:t>
  </x:si>
  <x:si>
    <x:t xml:space="preserve">最大成本口径仓位倍数</x:t>
  </x:si>
  <x:si>
    <x:t xml:space="preserve">周期净结果占开仓前资金比例</x:t>
  </x:si>
  <x:si>
    <x:t xml:space="preserve">手续费占开仓前资金比例</x:t>
  </x:si>
  <x:si>
    <x:t xml:space="preserve">已实现盈亏占开仓前资金比例</x:t>
  </x:si>
  <x:si>
    <x:t xml:space="preserve">其他账户事件占开仓前资金比例</x:t>
  </x:si>
  <x:si>
    <x:t xml:space="preserve">平仓后账户层资金变化比例</x:t>
  </x:si>
  <x:si>
    <x:t xml:space="preserve">成本口径仓位倍数说明</x:t>
  </x:si>
  <x:si>
    <x:t xml:space="preserve">开仓时其他仓位数量</x:t>
  </x:si>
  <x:si>
    <x:t xml:space="preserve">最大并行仓位数量</x:t>
  </x:si>
  <x:si>
    <x:t xml:space="preserve">同期其他个人主动周期数量</x:t>
  </x:si>
  <x:si>
    <x:t xml:space="preserve">同期自动跟单数量</x:t>
  </x:si>
  <x:si>
    <x:t xml:space="preserve">同期入金数量</x:t>
  </x:si>
  <x:si>
    <x:t xml:space="preserve">同期入金金额</x:t>
  </x:si>
  <x:si>
    <x:t xml:space="preserve">同期出金数量</x:t>
  </x:si>
  <x:si>
    <x:t xml:space="preserve">同期出金金额</x:t>
  </x:si>
  <x:si>
    <x:t xml:space="preserve">持仓期间其他资金事件数量</x:t>
  </x:si>
  <x:si>
    <x:t xml:space="preserve">是否存在重大并行亏损</x:t>
  </x:si>
  <x:si>
    <x:t xml:space="preserve">区间资金复杂度</x:t>
  </x:si>
  <x:si>
    <x:t xml:space="preserve">资金估算可靠度</x:t>
  </x:si>
  <x:si>
    <x:t xml:space="preserve">可靠度原因</x:t>
  </x:si>
  <x:si>
    <x:t xml:space="preserve">是否存在不可计算字段</x:t>
  </x:si>
  <x:si>
    <x:t xml:space="preserve">不可计算原因</x:t>
  </x:si>
  <x:si>
    <x:t xml:space="preserve">实时账户总权益</x:t>
  </x:si>
  <x:si>
    <x:t xml:space="preserve">实时钱包余额</x:t>
  </x:si>
  <x:si>
    <x:t xml:space="preserve">实时可用余额</x:t>
  </x:si>
  <x:si>
    <x:t xml:space="preserve">实际占用保证金</x:t>
  </x:si>
  <x:si>
    <x:t xml:space="preserve">实际杠杆</x:t>
  </x:si>
  <x:si>
    <x:t xml:space="preserve">精确强平价</x:t>
  </x:si>
  <x:si>
    <x:t xml:space="preserve">MFE</x:t>
  </x:si>
  <x:si>
    <x:t xml:space="preserve">MAE</x:t>
  </x:si>
  <x:si>
    <x:t xml:space="preserve">不可得指标清单</x:t>
  </x:si>
  <x:si>
    <x:t xml:space="preserve">用户可见资金摘要</x:t>
  </x:si>
  <x:si>
    <x:t xml:space="preserve">技术数据来源</x:t>
  </x:si>
  <x:si>
    <x:t xml:space="preserve">A｜用户确认的08:00实际总资产快照</x:t>
  </x:si>
  <x:si>
    <x:t xml:space="preserve">16.44222222222222222222222222</x:t>
  </x:si>
  <x:si>
    <x:t xml:space="preserve">D｜阶段07正式事件+实际快照锚定估算</x:t>
  </x:si>
  <x:si>
    <x:t xml:space="preserve">-56.8</x:t>
  </x:si>
  <x:si>
    <x:t xml:space="preserve">-114.0304</x:t>
  </x:si>
  <x:si>
    <x:t xml:space="preserve">11.36</x:t>
  </x:si>
  <x:si>
    <x:t xml:space="preserve">C｜阶段07正式精确计算</x:t>
  </x:si>
  <x:si>
    <x:t xml:space="preserve">5.564166666666666666666666667</x:t>
  </x:si>
  <x:si>
    <x:t xml:space="preserve">-13604.05229798</x:t>
  </x:si>
  <x:si>
    <x:t xml:space="preserve">1513.00209467</x:t>
  </x:si>
  <x:si>
    <x:t xml:space="preserve">18256.19439265</x:t>
  </x:si>
  <x:si>
    <x:t xml:space="preserve">-15117.05439265</x:t>
  </x:si>
  <x:si>
    <x:t xml:space="preserve">S07-INT-07</x:t>
  </x:si>
  <x:si>
    <x:t xml:space="preserve">UNREALIZED_PNL_NOT_AVAILABLE</x:t>
  </x:si>
  <x:si>
    <x:t xml:space="preserve">-0.02182631039691321933832546644</x:t>
  </x:si>
  <x:si>
    <x:t xml:space="preserve">-0.06513445250669277673800483679</x:t>
  </x:si>
  <x:si>
    <x:t xml:space="preserve">0.001245356752702746480306067529</x:t>
  </x:si>
  <x:si>
    <x:t xml:space="preserve">-0.0857154061509032495960242357</x:t>
  </x:si>
  <x:si>
    <x:t xml:space="preserve">名义价值÷开仓前快照锚定预估资金；未从账户资金扣除名义价值，不等于交易所实际杠杆。</x:t>
  </x:si>
  <x:si>
    <x:t xml:space="preserve">一般</x:t>
  </x:si>
  <x:si>
    <x:t xml:space="preserve">交易所未提供所需历史实时账户状态；仅按证据类型E标记不可得，不填充推测值。</x:t>
  </x:si>
  <x:si>
    <x:t xml:space="preserve">实时账户总权益、实时钱包余额、实时可用余额、实际占用保证金、实际杠杆、精确强平价、MFE、MAE、日内真实最大浮盈、日内真实最大浮亏、日内真实最大回撤</x:t>
  </x:si>
  <x:si>
    <x:t xml:space="preserve">前一张08:00实际总资产为16595.74 USDT。根据该快照后至首仓前的阶段07正式资金事件，开仓前快照锚定预估资金基线为18312.88901795 USDT。本交易净亏损1592.50279997 USDT，仅计本交易后的理论资金为16720.38621798 USDT；计入同期其他账户事件后，平仓时账户层快照锚定预估资金基线为16743.19229798 USDT。该值不是实时账户权益。首仓成本口径名义价值为284000 USDT，相当于开仓前预估资金的15.50820297778399446142972304倍；最大成本口径名义价值为570152 USDT，相当于31.13391881756866200765168822倍。成本口径仓位倍数不等于交易所实际杠杆；估算可靠度为低。</x:t>
  </x:si>
  <x:si>
    <x:t xml:space="preserve">阶段07统一资金事件总表、交易周期资金归属表、每日账户资金桥接、用户确认快照；阶段05完整周期和Order执行汇总；P3仅用于T/U映射与仓位时间链。</x:t>
  </x:si>
  <x:si>
    <x:t xml:space="preserve">18.43583333333333333333333333</x:t>
  </x:si>
  <x:si>
    <x:t xml:space="preserve">-285.67239997</x:t>
  </x:si>
  <x:si>
    <x:t xml:space="preserve">5.561944444444444444444444444</x:t>
  </x:si>
  <x:si>
    <x:t xml:space="preserve">-13007.43564098</x:t>
  </x:si>
  <x:si>
    <x:t xml:space="preserve">2109.61875167</x:t>
  </x:si>
  <x:si>
    <x:t xml:space="preserve">-0.0313545533243335793746047713</x:t>
  </x:si>
  <x:si>
    <x:t xml:space="preserve">-0.001387606455783625150031238999</x:t>
  </x:si>
  <x:si>
    <x:t xml:space="preserve">-0.08113816297675224119903501981</x:t>
  </x:si>
  <x:si>
    <x:t xml:space="preserve">-0.1138803227568694457236710301</x:t>
  </x:si>
  <x:si>
    <x:t xml:space="preserve">复杂</x:t>
  </x:si>
  <x:si>
    <x:t xml:space="preserve">前一张08:00实际总资产为16595.74 USDT。根据该快照后至首仓前的阶段07正式资金事件，开仓前快照锚定预估资金基线为16743.19229798至18221.66469795 USDT。本交易净亏损596.616657 USDT，仅计本交易后的理论资金为17625.04804095 USDT；计入同期其他账户事件后，平仓时账户层快照锚定预估资金基线为16146.57564098 USDT。该值不是实时账户权益。首仓成本口径名义价值为571344.8 USDT，相当于开仓前预估资金的31.35524714513478324774170088倍；最大成本口径名义价值为571344.8 USDT，相当于31.35524714513478324774170088倍。成本口径仓位倍数不等于交易所实际杠杆；估算可靠度为低。</x:t>
  </x:si>
  <x:si>
    <x:t xml:space="preserve">11.1225</x:t>
  </x:si>
  <x:si>
    <x:t xml:space="preserve">-55.632</x:t>
  </x:si>
  <x:si>
    <x:t xml:space="preserve">-4000</x:t>
  </x:si>
  <x:si>
    <x:t xml:space="preserve">-486.33421439</x:t>
  </x:si>
  <x:si>
    <x:t xml:space="preserve">29068.08104</x:t>
  </x:si>
  <x:si>
    <x:t xml:space="preserve">4.442222222222222222222222222</x:t>
  </x:si>
  <x:si>
    <x:t xml:space="preserve">39649.53065526</x:t>
  </x:si>
  <x:si>
    <x:t xml:space="preserve">-4269.32154636</x:t>
  </x:si>
  <x:si>
    <x:t xml:space="preserve">-9998.54220162</x:t>
  </x:si>
  <x:si>
    <x:t xml:space="preserve">43918.85220162</x:t>
  </x:si>
  <x:si>
    <x:t xml:space="preserve">S07-INT-08</x:t>
  </x:si>
  <x:si>
    <x:t xml:space="preserve">-0.4258331958664349638951767776</x:t>
  </x:si>
  <x:si>
    <x:t xml:space="preserve">-11.06664736067666138751269547</x:t>
  </x:si>
  <x:si>
    <x:t xml:space="preserve">8.776291572850890947582492224</x:t>
  </x:si>
  <x:si>
    <x:t xml:space="preserve">-2.728042404369854393389416632</x:t>
  </x:si>
  <x:si>
    <x:t xml:space="preserve">29000</x:t>
  </x:si>
  <x:si>
    <x:t xml:space="preserve">前一张08:00实际总资产为3139.14 USDT。根据该快照后至首仓前的阶段07正式资金事件，开仓前快照锚定预估资金基线为3315.43985308 USDT。本交易净亏损38141.92735122 USDT，仅计本交易后的理论资金为-34826.48749814 USDT；计入同期其他账户事件后，平仓时账户层快照锚定预估资金基线为-5729.22065526 USDT。该值不是实时账户权益。首仓成本口径名义价值为278160 USDT，相当于开仓前预估资金的83.89837014886366282335054835倍；最大成本口径名义价值为1888457.826740675624764535979 USDT，相当于569.594958866867438857195454倍。成本口径仓位倍数不等于交易所实际杠杆；估算可靠度为低。</x:t>
  </x:si>
  <x:si>
    <x:t xml:space="preserve">13.94111111111111111111111111</x:t>
  </x:si>
  <x:si>
    <x:t xml:space="preserve">-2.44212</x:t>
  </x:si>
  <x:si>
    <x:t xml:space="preserve">-3.65324</x:t>
  </x:si>
  <x:si>
    <x:t xml:space="preserve">9.076666666666666666666666667</x:t>
  </x:si>
  <x:si>
    <x:t xml:space="preserve">-470.36973421</x:t>
  </x:si>
  <x:si>
    <x:t xml:space="preserve">162.16848347</x:t>
  </x:si>
  <x:si>
    <x:t xml:space="preserve">30799.06821768</x:t>
  </x:si>
  <x:si>
    <x:t xml:space="preserve">-632.53821768</x:t>
  </x:si>
  <x:si>
    <x:t xml:space="preserve">S07-INT-11</x:t>
  </x:si>
  <x:si>
    <x:t xml:space="preserve">SNAPSHOT_SCOPE_DIFFERENCE</x:t>
  </x:si>
  <x:si>
    <x:t xml:space="preserve">-0.000576148603054417045601460921</x:t>
  </x:si>
  <x:si>
    <x:t xml:space="preserve">0.002554575124658998977591574572</x:t>
  </x:si>
  <x:si>
    <x:t xml:space="preserve">0.0001247996974196902274236567442</x:t>
  </x:si>
  <x:si>
    <x:t xml:space="preserve">0.002103226219024272159413770395</x:t>
  </x:si>
  <x:si>
    <x:t xml:space="preserve">前一张08:00实际总资产为30062.76 USDT。根据该快照后至首仓前的阶段07正式资金事件，开仓前快照锚定预估资金基线为30572.59864316 USDT。本交易净盈利60.48563999 USDT，仅计本交易后的理论资金为30633.08428315 USDT；计入同期其他账户事件后，平仓时账户层快照锚定预估资金基线为30636.89973421 USDT。该值不是实时账户权益。首仓成本口径名义价值为12210.6 USDT，相当于开仓前预估资金的0.3993968632670312618239435734倍；最大成本口径名义价值为18211.98 USDT，相当于0.5956961726599764139118817978倍。成本口径仓位倍数不等于交易所实际杠杆；估算可靠度为中。</x:t>
  </x:si>
  <x:si>
    <x:t xml:space="preserve">13.64972222222222222222222222</x:t>
  </x:si>
  <x:si>
    <x:t xml:space="preserve">5.781666666666666666666666667</x:t>
  </x:si>
  <x:si>
    <x:t xml:space="preserve">7138.26301196</x:t>
  </x:si>
  <x:si>
    <x:t xml:space="preserve">-64.72846376</x:t>
  </x:si>
  <x:si>
    <x:t xml:space="preserve">6237.01852428</x:t>
  </x:si>
  <x:si>
    <x:t xml:space="preserve">7202.99147572</x:t>
  </x:si>
  <x:si>
    <x:t xml:space="preserve">S07-INT-24</x:t>
  </x:si>
  <x:si>
    <x:t xml:space="preserve">-0.007045173424485395659118608621</x:t>
  </x:si>
  <x:si>
    <x:t xml:space="preserve">-0.8721497577350144357432294455</x:t>
  </x:si>
  <x:si>
    <x:t xml:space="preserve">0.1285831019570613844995431476</x:t>
  </x:si>
  <x:si>
    <x:t xml:space="preserve">-0.7506118292024384469028049065</x:t>
  </x:si>
  <x:si>
    <x:t xml:space="preserve">前一张08:00实际总资产为25258.33 USDT。根据该快照后至首仓前的阶段07正式资金事件，开仓前快照锚定预估资金基线为25268.8287816 USDT。本交易净亏损22216.22618112 USDT，仅计本交易后的理论资金为3052.60260048 USDT；计入同期其他账户事件后，平仓时账户层快照锚定预估资金基线为6301.74698804 USDT。该值不是实时账户权益。首仓成本口径名义价值为209500 USDT，相当于开仓前预估资金的8.290847265250045529636927128倍；最大成本口径名义价值为423020 USDT，相当于16.74078381931300362743204255倍。成本口径仓位倍数不等于交易所实际杠杆；估算可靠度为低。</x:t>
  </x:si>
  <x:si>
    <x:t xml:space="preserve">12.46722222222222222222222222</x:t>
  </x:si>
  <x:si>
    <x:t xml:space="preserve">-125.0182</x:t>
  </x:si>
  <x:si>
    <x:t xml:space="preserve">-187.6402</x:t>
  </x:si>
  <x:si>
    <x:t xml:space="preserve">25.00364</x:t>
  </x:si>
  <x:si>
    <x:t xml:space="preserve">1.491111111111111111111111111</x:t>
  </x:si>
  <x:si>
    <x:t xml:space="preserve">14372.42526614</x:t>
  </x:si>
  <x:si>
    <x:t xml:space="preserve">19.27617504</x:t>
  </x:si>
  <x:si>
    <x:t xml:space="preserve">-7990.5490911</x:t>
  </x:si>
  <x:si>
    <x:t xml:space="preserve">14353.1490911</x:t>
  </x:si>
  <x:si>
    <x:t xml:space="preserve">S07-INT-25|S07-INT-26</x:t>
  </x:si>
  <x:si>
    <x:t xml:space="preserve">-0.02754746276453141448595004847</x:t>
  </x:si>
  <x:si>
    <x:t xml:space="preserve">-1.565593999805491309333214824</x:t>
  </x:si>
  <x:si>
    <x:t xml:space="preserve">0.003598907297039976656888914411</x:t>
  </x:si>
  <x:si>
    <x:t xml:space="preserve">-1.581278255954096588622963858</x:t>
  </x:si>
  <x:si>
    <x:t xml:space="preserve">前一张08:00实际总资产为13440.01 USDT。根据该快照后至首仓前的阶段07正式资金事件，开仓前快照锚定预估资金基线为13779.67468092 USDT。本交易净亏损21839.09171882 USDT，仅计本交易后的理论资金为-8059.4170379 USDT；计入同期其他账户事件后，平仓时账户层快照锚定预估资金基线为-8009.82526614 USDT。该值不是实时账户权益。首仓成本口径名义价值为625091 USDT，相当于开仓前预估资金的45.36326252066974040355093774倍；最大成本口径名义价值为938201 USDT，相当于68.08585991504416335597839888倍。成本口径仓位倍数不等于交易所实际杠杆；估算可靠度为低。</x:t>
  </x:si>
  <x:si>
    <x:t xml:space="preserve">U005</x:t>
  </x:si>
  <x:si>
    <x:t xml:space="preserve">ETHUSDT</x:t>
  </x:si>
  <x:si>
    <x:t xml:space="preserve">2026-06-05 21:53:09</x:t>
  </x:si>
  <x:si>
    <x:t xml:space="preserve">2026-06-05 22:09:22</x:t>
  </x:si>
  <x:si>
    <x:t xml:space="preserve">13.88583333333333333333333333</x:t>
  </x:si>
  <x:si>
    <x:t xml:space="preserve">30572.95896271</x:t>
  </x:si>
  <x:si>
    <x:t xml:space="preserve">30572.76789001</x:t>
  </x:si>
  <x:si>
    <x:t xml:space="preserve">-0.1910727</x:t>
  </x:si>
  <x:si>
    <x:t xml:space="preserve">3.42108</x:t>
  </x:si>
  <x:si>
    <x:t xml:space="preserve">-0.38043486</x:t>
  </x:si>
  <x:si>
    <x:t xml:space="preserve">3.04064514</x:t>
  </x:si>
  <x:si>
    <x:t xml:space="preserve">30575.99960785</x:t>
  </x:si>
  <x:si>
    <x:t xml:space="preserve">-3.26199894</x:t>
  </x:si>
  <x:si>
    <x:t xml:space="preserve">30572.73760891</x:t>
  </x:si>
  <x:si>
    <x:t xml:space="preserve">9.843888888888888888888888889</x:t>
  </x:si>
  <x:si>
    <x:t xml:space="preserve">-406.20760891</x:t>
  </x:si>
  <x:si>
    <x:t xml:space="preserve">226.33060877</x:t>
  </x:si>
  <x:si>
    <x:t xml:space="preserve">0.234</x:t>
  </x:si>
  <x:si>
    <x:t xml:space="preserve">1633.1</x:t>
  </x:si>
  <x:si>
    <x:t xml:space="preserve">382.1454</x:t>
  </x:si>
  <x:si>
    <x:t xml:space="preserve">0.01249945746063064320031687757</x:t>
  </x:si>
  <x:si>
    <x:t xml:space="preserve">0.00009945537635754167545158874146</x:t>
  </x:si>
  <x:si>
    <x:t xml:space="preserve">-0.00001244350801844265103707254693</x:t>
  </x:si>
  <x:si>
    <x:t xml:space="preserve">0.0001118988843759843264886612884</x:t>
  </x:si>
  <x:si>
    <x:t xml:space="preserve">-0.0001066955587772409398384799668</x:t>
  </x:si>
  <x:si>
    <x:t xml:space="preserve">-0.000007240182419699264386891225314</x:t>
  </x:si>
  <x:si>
    <x:t xml:space="preserve">前一张08:00实际总资产为30062.76 USDT。根据该快照后至首仓前的阶段07正式资金事件，开仓前快照锚定预估资金基线为30572.95896271 USDT。本交易净盈利3.04064514 USDT，仅计本交易后的理论资金为30575.99960785 USDT；计入同期其他账户事件后，平仓时账户层快照锚定预估资金基线为30572.73760891 USDT。该值不是实时账户权益。首仓成本口径名义价值为382.1454 USDT，相当于开仓前预估资金的0.01249945746063064320031687757倍；最大成本口径名义价值为382.1454 USDT，相当于0.01249945746063064320031687757倍。成本口径仓位倍数不等于交易所实际杠杆；估算可靠度为中。</x:t>
  </x:si>
  <x:si>
    <x:t xml:space="preserve">13.62944444444444444444444444</x:t>
  </x:si>
  <x:si>
    <x:t xml:space="preserve">-65.21099996</x:t>
  </x:si>
  <x:si>
    <x:t xml:space="preserve">-131.21637236</x:t>
  </x:si>
  <x:si>
    <x:t xml:space="preserve">16.25368248</x:t>
  </x:si>
  <x:si>
    <x:t xml:space="preserve">5.993333333333333333333333333</x:t>
  </x:si>
  <x:si>
    <x:t xml:space="preserve">-21173.25281906</x:t>
  </x:si>
  <x:si>
    <x:t xml:space="preserve">919.0554565</x:t>
  </x:si>
  <x:si>
    <x:t xml:space="preserve">47350.63827556</x:t>
  </x:si>
  <x:si>
    <x:t xml:space="preserve">-22092.30827556</x:t>
  </x:si>
  <x:si>
    <x:t xml:space="preserve">S07-INT-23</x:t>
  </x:si>
  <x:si>
    <x:t xml:space="preserve">-0.005586718483393157199668405869</x:t>
  </x:si>
  <x:si>
    <x:t xml:space="preserve">-0.006391508808421384203306789486</x:t>
  </x:si>
  <x:si>
    <x:t xml:space="preserve">0.0005585440182696022041006573353</x:t>
  </x:si>
  <x:si>
    <x:t xml:space="preserve">-0.0117817476572917187664613181</x:t>
  </x:si>
  <x:si>
    <x:t xml:space="preserve">前一张08:00实际总资产为46985.15 USDT。根据该快照后至首仓前的阶段07正式资金事件，开仓前快照锚定预估资金基线为46985.15 USDT。本交易净亏损579.81045542 USDT，仅计本交易后的理论资金为46405.33954458 USDT；计入同期其他账户事件后，平仓时账户层快照锚定预估资金基线为46431.58281906 USDT。该值不是实时账户权益。首仓成本口径名义价值为326055 USDT，相当于开仓前预估资金的6.939533022667800358198281798倍；最大成本口径名义价值为656081.862 USDT，相当于13.96360045674005510251643338倍。成本口径仓位倍数不等于交易所实际杠杆；估算可靠度为低。</x:t>
  </x:si>
  <x:si>
    <x:t xml:space="preserve">19.12138888888888888888888889</x:t>
  </x:si>
  <x:si>
    <x:t xml:space="preserve">-65.971</x:t>
  </x:si>
  <x:si>
    <x:t xml:space="preserve">-105.39339999</x:t>
  </x:si>
  <x:si>
    <x:t xml:space="preserve">13.1942</x:t>
  </x:si>
  <x:si>
    <x:t xml:space="preserve">1.999166666666666666666666667</x:t>
  </x:si>
  <x:si>
    <x:t xml:space="preserve">-27040.65737084</x:t>
  </x:si>
  <x:si>
    <x:t xml:space="preserve">20.92213441</x:t>
  </x:si>
  <x:si>
    <x:t xml:space="preserve">65389.46950525</x:t>
  </x:si>
  <x:si>
    <x:t xml:space="preserve">-27061.57950525</x:t>
  </x:si>
  <x:si>
    <x:t xml:space="preserve">S07-INT-09</x:t>
  </x:si>
  <x:si>
    <x:t xml:space="preserve">-0.003277184066069221508602929554</x:t>
  </x:si>
  <x:si>
    <x:t xml:space="preserve">0.02053270085877469164502367906</x:t>
  </x:si>
  <x:si>
    <x:t xml:space="preserve">0.0003281290606397081014205359041</x:t>
  </x:si>
  <x:si>
    <x:t xml:space="preserve">0.01758364585334517823784128541</x:t>
  </x:si>
  <x:si>
    <x:t xml:space="preserve">前一张08:00实际总资产为33920.31 USDT。根据该快照后至首仓前的阶段07正式资金事件，开仓前快照锚定预估资金基线为64238.99169097 USDT。本交易净盈利1108.47699987 USDT，仅计本交易后的理论资金为65347.46869084 USDT；计入同期其他账户事件后，平仓时账户层快照锚定预估资金基线为65368.54737084 USDT。该值不是实时账户权益。首仓成本口径名义价值为329855 USDT，相当于开仓前预估资金的5.134809736535253431148006927倍；最大成本口径名义价值为526967 USDT，相当于8.203226515992702535513397604倍。成本口径仓位倍数不等于交易所实际杠杆；估算可靠度为低。</x:t>
  </x:si>
  <x:si>
    <x:t xml:space="preserve">23.06333333333333333333333333</x:t>
  </x:si>
  <x:si>
    <x:t xml:space="preserve">-14.8222</x:t>
  </x:si>
  <x:si>
    <x:t xml:space="preserve">22.48222222222222222222222222</x:t>
  </x:si>
  <x:si>
    <x:t xml:space="preserve">-13153.36426758</x:t>
  </x:si>
  <x:si>
    <x:t xml:space="preserve">1115.96512975</x:t>
  </x:si>
  <x:si>
    <x:t xml:space="preserve">17408.46939733</x:t>
  </x:si>
  <x:si>
    <x:t xml:space="preserve">-14269.32939733</x:t>
  </x:si>
  <x:si>
    <x:t xml:space="preserve">S07-INT-06|S07-INT-07</x:t>
  </x:si>
  <x:si>
    <x:t xml:space="preserve">-0.001873961829576970432188932113</x:t>
  </x:si>
  <x:si>
    <x:t xml:space="preserve">0.0352160203503564977234201725</x:t>
  </x:si>
  <x:si>
    <x:t xml:space="preserve">0.0001881005033647041731733616147</x:t>
  </x:si>
  <x:si>
    <x:t xml:space="preserve">0.03379668800967092960937966668</x:t>
  </x:si>
  <x:si>
    <x:t xml:space="preserve">前一张08:00实际总资产为15392.53 USDT。根据该快照后至首仓前的阶段07正式资金事件，开仓前快照锚定预估资金基线为15759.87276468 USDT。本交易净盈利529.6670629 USDT，仅计本交易后的理论资金为16289.53982758 USDT；计入同期其他账户事件后，平仓时账户层快照锚定预估资金基线为16292.50426758 USDT。该值不是实时账户权益。首仓成本口径名义价值为74111 USDT，相当于开仓前预估资金的4.702512584117604329334040368倍；最大成本口径名义价值为74111 USDT，相当于4.702512584117604329334040368倍。成本口径仓位倍数不等于交易所实际杠杆；估算可靠度为低。</x:t>
  </x:si>
  <x:si>
    <x:t xml:space="preserve">字段编号</x:t>
  </x:si>
  <x:si>
    <x:t xml:space="preserve">用户显示字段名</x:t>
  </x:si>
  <x:si>
    <x:t xml:space="preserve">来源类型</x:t>
  </x:si>
  <x:si>
    <x:t xml:space="preserve">原文件字段名</x:t>
  </x:si>
  <x:si>
    <x:t xml:space="preserve">阶段04字段名</x:t>
  </x:si>
  <x:si>
    <x:t xml:space="preserve">阶段08字段名</x:t>
  </x:si>
  <x:si>
    <x:t xml:space="preserve">最终工作簿区域</x:t>
  </x:si>
  <x:si>
    <x:t xml:space="preserve">是否程序计算</x:t>
  </x:si>
  <x:si>
    <x:t xml:space="preserve">是否用户可编辑</x:t>
  </x:si>
  <x:si>
    <x:t xml:space="preserve">默认值</x:t>
  </x:si>
  <x:si>
    <x:t xml:space="preserve">下拉选项</x:t>
  </x:si>
  <x:si>
    <x:t xml:space="preserve">显示格式</x:t>
  </x:si>
  <x:si>
    <x:t xml:space="preserve">数据类型</x:t>
  </x:si>
  <x:si>
    <x:t xml:space="preserve">是否允许空白</x:t>
  </x:si>
  <x:si>
    <x:t xml:space="preserve">重新生成保护方式</x:t>
  </x:si>
  <x:si>
    <x:t xml:space="preserve">中文说明</x:t>
  </x:si>
  <x:si>
    <x:t xml:space="preserve">R1E-001</x:t>
  </x:si>
  <x:si>
    <x:t xml:space="preserve">交易所实际事实/正式技术结果</x:t>
  </x:si>
  <x:si>
    <x:t xml:space="preserve">A｜交易结果摘要</x:t>
  </x:si>
  <x:si>
    <x:t xml:space="preserve">按正式阶段结果生成</x:t>
  </x:si>
  <x:si>
    <x:t xml:space="preserve">文本/自动换行</x:t>
  </x:si>
  <x:si>
    <x:t xml:space="preserve">文本</x:t>
  </x:si>
  <x:si>
    <x:t xml:space="preserve">仅正式来源不可得时允许</x:t>
  </x:si>
  <x:si>
    <x:t xml:space="preserve">计算结果只读；程序重新计算，人工不得覆盖</x:t>
  </x:si>
  <x:si>
    <x:t xml:space="preserve">由阶段B、C、D正式结果生成或格式化。</x:t>
  </x:si>
  <x:si>
    <x:t xml:space="preserve">R1E-002</x:t>
  </x:si>
  <x:si>
    <x:t xml:space="preserve">R1E-003</x:t>
  </x:si>
  <x:si>
    <x:t xml:space="preserve">R1E-004</x:t>
  </x:si>
  <x:si>
    <x:t xml:space="preserve">R1E-005</x:t>
  </x:si>
  <x:si>
    <x:t xml:space="preserve">R1E-006</x:t>
  </x:si>
  <x:si>
    <x:t xml:space="preserve">yyyy-mm-dd hh:mm:ss</x:t>
  </x:si>
  <x:si>
    <x:t xml:space="preserve">日期时间/文本</x:t>
  </x:si>
  <x:si>
    <x:t xml:space="preserve">R1E-007</x:t>
  </x:si>
  <x:si>
    <x:t xml:space="preserve">R1E-008</x:t>
  </x:si>
  <x:si>
    <x:t xml:space="preserve">R1E-009</x:t>
  </x:si>
  <x:si>
    <x:t xml:space="preserve">R1E-010</x:t>
  </x:si>
  <x:si>
    <x:t xml:space="preserve">R1E-011</x:t>
  </x:si>
  <x:si>
    <x:t xml:space="preserve">R1E-012</x:t>
  </x:si>
  <x:si>
    <x:t xml:space="preserve">内容类型标记</x:t>
  </x:si>
  <x:si>
    <x:t xml:space="preserve">R1E-013</x:t>
  </x:si>
  <x:si>
    <x:t xml:space="preserve">正式精确计算</x:t>
  </x:si>
  <x:si>
    <x:t xml:space="preserve">精确十进制文本</x:t>
  </x:si>
  <x:si>
    <x:t xml:space="preserve">十进制文本</x:t>
  </x:si>
  <x:si>
    <x:t xml:space="preserve">R1E-014</x:t>
  </x:si>
  <x:si>
    <x:t xml:space="preserve">R1E-015</x:t>
  </x:si>
  <x:si>
    <x:t xml:space="preserve">R1E-016</x:t>
  </x:si>
  <x:si>
    <x:t xml:space="preserve">R1E-017</x:t>
  </x:si>
  <x:si>
    <x:t xml:space="preserve">程序格式化展示</x:t>
  </x:si>
  <x:si>
    <x:t xml:space="preserve">#,##0.00或0.00%</x:t>
  </x:si>
  <x:si>
    <x:t xml:space="preserve">显示文本</x:t>
  </x:si>
  <x:si>
    <x:t xml:space="preserve">R1E-018</x:t>
  </x:si>
  <x:si>
    <x:t xml:space="preserve">R1E-019</x:t>
  </x:si>
  <x:si>
    <x:t xml:space="preserve">B｜首仓前开仓意图摘要</x:t>
  </x:si>
  <x:si>
    <x:t xml:space="preserve">整数</x:t>
  </x:si>
  <x:si>
    <x:t xml:space="preserve">按阶段B首仓前开仓意图链中的不同委托单统计；包括未成仓尝试及最终成功形成正式首仓的成交委托，不得与未成交撤销次数混用。</x:t>
  </x:si>
  <x:si>
    <x:t xml:space="preserve">R1E-020</x:t>
  </x:si>
  <x:si>
    <x:t xml:space="preserve">R1E-021</x:t>
  </x:si>
  <x:si>
    <x:t xml:space="preserve">R1E-022</x:t>
  </x:si>
  <x:si>
    <x:t xml:space="preserve">R1E-023</x:t>
  </x:si>
  <x:si>
    <x:t xml:space="preserve">R1E-024</x:t>
  </x:si>
  <x:si>
    <x:t xml:space="preserve">R1E-025</x:t>
  </x:si>
  <x:si>
    <x:t xml:space="preserve">R1E-026</x:t>
  </x:si>
  <x:si>
    <x:t xml:space="preserve">R1E-027</x:t>
  </x:si>
  <x:si>
    <x:t xml:space="preserve">R1E-028</x:t>
  </x:si>
  <x:si>
    <x:t xml:space="preserve">R1E-029</x:t>
  </x:si>
  <x:si>
    <x:t xml:space="preserve">R1E-030</x:t>
  </x:si>
  <x:si>
    <x:t xml:space="preserve">R1E-031</x:t>
  </x:si>
  <x:si>
    <x:t xml:space="preserve">R1E-032</x:t>
  </x:si>
  <x:si>
    <x:t xml:space="preserve">R1E-033</x:t>
  </x:si>
  <x:si>
    <x:t xml:space="preserve">C｜持仓期间操作摘要</x:t>
  </x:si>
  <x:si>
    <x:t xml:space="preserve">R1E-034</x:t>
  </x:si>
  <x:si>
    <x:t xml:space="preserve">R1E-035</x:t>
  </x:si>
  <x:si>
    <x:t xml:space="preserve">R1E-036</x:t>
  </x:si>
  <x:si>
    <x:t xml:space="preserve">R1E-037</x:t>
  </x:si>
  <x:si>
    <x:t xml:space="preserve">R1E-038</x:t>
  </x:si>
  <x:si>
    <x:t xml:space="preserve">R1E-039</x:t>
  </x:si>
  <x:si>
    <x:t xml:space="preserve">R1E-040</x:t>
  </x:si>
  <x:si>
    <x:t xml:space="preserve">R1E-041</x:t>
  </x:si>
  <x:si>
    <x:t xml:space="preserve">R1E-042</x:t>
  </x:si>
  <x:si>
    <x:t xml:space="preserve">R1E-043</x:t>
  </x:si>
  <x:si>
    <x:t xml:space="preserve">R1E-044</x:t>
  </x:si>
  <x:si>
    <x:t xml:space="preserve">R1E-045</x:t>
  </x:si>
  <x:si>
    <x:t xml:space="preserve">R1E-046</x:t>
  </x:si>
  <x:si>
    <x:t xml:space="preserve">D｜止盈止损演变摘要</x:t>
  </x:si>
  <x:si>
    <x:t xml:space="preserve">R1E-047</x:t>
  </x:si>
  <x:si>
    <x:t xml:space="preserve">R1E-048</x:t>
  </x:si>
  <x:si>
    <x:t xml:space="preserve">R1E-049</x:t>
  </x:si>
  <x:si>
    <x:t xml:space="preserve">R1E-050</x:t>
  </x:si>
  <x:si>
    <x:t xml:space="preserve">R1E-051</x:t>
  </x:si>
  <x:si>
    <x:t xml:space="preserve">R1E-052</x:t>
  </x:si>
  <x:si>
    <x:t xml:space="preserve">R1E-053</x:t>
  </x:si>
  <x:si>
    <x:t xml:space="preserve">R1E-054</x:t>
  </x:si>
  <x:si>
    <x:t xml:space="preserve">R1E-055</x:t>
  </x:si>
  <x:si>
    <x:t xml:space="preserve">R1E-056</x:t>
  </x:si>
  <x:si>
    <x:t xml:space="preserve">R1E-057</x:t>
  </x:si>
  <x:si>
    <x:t xml:space="preserve">R1E-058</x:t>
  </x:si>
  <x:si>
    <x:t xml:space="preserve">R1E-059</x:t>
  </x:si>
  <x:si>
    <x:t xml:space="preserve">R1E-060</x:t>
  </x:si>
  <x:si>
    <x:t xml:space="preserve">R1E-061</x:t>
  </x:si>
  <x:si>
    <x:t xml:space="preserve">快照锚定预估</x:t>
  </x:si>
  <x:si>
    <x:t xml:space="preserve">R1E-062</x:t>
  </x:si>
  <x:si>
    <x:t xml:space="preserve">R1E-063</x:t>
  </x:si>
  <x:si>
    <x:t xml:space="preserve">R1E-064</x:t>
  </x:si>
  <x:si>
    <x:t xml:space="preserve">E｜资金与风险摘要</x:t>
  </x:si>
  <x:si>
    <x:t xml:space="preserve">R1E-065</x:t>
  </x:si>
  <x:si>
    <x:t xml:space="preserve">R1E-066</x:t>
  </x:si>
  <x:si>
    <x:t xml:space="preserve">R1E-067</x:t>
  </x:si>
  <x:si>
    <x:t xml:space="preserve">R1E-068</x:t>
  </x:si>
  <x:si>
    <x:t xml:space="preserve">R1E-069</x:t>
  </x:si>
  <x:si>
    <x:t xml:space="preserve">R1E-070</x:t>
  </x:si>
  <x:si>
    <x:t xml:space="preserve">R1E-071</x:t>
  </x:si>
  <x:si>
    <x:t xml:space="preserve">R1E-072</x:t>
  </x:si>
  <x:si>
    <x:t xml:space="preserve">R1E-073</x:t>
  </x:si>
  <x:si>
    <x:t xml:space="preserve">R1E-074</x:t>
  </x:si>
  <x:si>
    <x:t xml:space="preserve">R1E-075</x:t>
  </x:si>
  <x:si>
    <x:t xml:space="preserve">R1E-076</x:t>
  </x:si>
  <x:si>
    <x:t xml:space="preserve">R1E-077</x:t>
  </x:si>
  <x:si>
    <x:t xml:space="preserve">R1E-078</x:t>
  </x:si>
  <x:si>
    <x:t xml:space="preserve">R1E-079</x:t>
  </x:si>
  <x:si>
    <x:t xml:space="preserve">R1E-080</x:t>
  </x:si>
  <x:si>
    <x:t xml:space="preserve">R1E-081</x:t>
  </x:si>
  <x:si>
    <x:t xml:space="preserve">R1E-082</x:t>
  </x:si>
  <x:si>
    <x:t xml:space="preserve">R1E-083</x:t>
  </x:si>
  <x:si>
    <x:t xml:space="preserve">R1E-084</x:t>
  </x:si>
  <x:si>
    <x:t xml:space="preserve">R1E-085</x:t>
  </x:si>
  <x:si>
    <x:t xml:space="preserve">R1E-086</x:t>
  </x:si>
  <x:si>
    <x:t xml:space="preserve">R1E-087</x:t>
  </x:si>
  <x:si>
    <x:t xml:space="preserve">R1E-088</x:t>
  </x:si>
  <x:si>
    <x:t xml:space="preserve">R1E-089</x:t>
  </x:si>
  <x:si>
    <x:t xml:space="preserve">R1E-090</x:t>
  </x:si>
  <x:si>
    <x:t xml:space="preserve">R1E-091</x:t>
  </x:si>
  <x:si>
    <x:t xml:space="preserve">R1E-092</x:t>
  </x:si>
  <x:si>
    <x:t xml:space="preserve">E｜仓位风险摘要</x:t>
  </x:si>
  <x:si>
    <x:t xml:space="preserve">R1E-093</x:t>
  </x:si>
  <x:si>
    <x:t xml:space="preserve">R1E-094</x:t>
  </x:si>
  <x:si>
    <x:t xml:space="preserve">R1E-095</x:t>
  </x:si>
  <x:si>
    <x:t xml:space="preserve">R1E-096</x:t>
  </x:si>
  <x:si>
    <x:t xml:space="preserve">R1E-097</x:t>
  </x:si>
  <x:si>
    <x:t xml:space="preserve">R1E-098</x:t>
  </x:si>
  <x:si>
    <x:t xml:space="preserve">R1E-099</x:t>
  </x:si>
  <x:si>
    <x:t xml:space="preserve">R1E-100</x:t>
  </x:si>
  <x:si>
    <x:t xml:space="preserve">R1E-101</x:t>
  </x:si>
  <x:si>
    <x:t xml:space="preserve">R1E-102</x:t>
  </x:si>
  <x:si>
    <x:t xml:space="preserve">R1E-103</x:t>
  </x:si>
  <x:si>
    <x:t xml:space="preserve">R1E-104</x:t>
  </x:si>
  <x:si>
    <x:t xml:space="preserve">R1E-105</x:t>
  </x:si>
  <x:si>
    <x:t xml:space="preserve">R1E-106</x:t>
  </x:si>
  <x:si>
    <x:t xml:space="preserve">R1E-107</x:t>
  </x:si>
  <x:si>
    <x:t xml:space="preserve">R1E-108</x:t>
  </x:si>
  <x:si>
    <x:t xml:space="preserve">F｜原人工复盘映射区</x:t>
  </x:si>
  <x:si>
    <x:t xml:space="preserve">否（正式来源映射）</x:t>
  </x:si>
  <x:si>
    <x:t xml:space="preserve">只读映射并保持原文；不得被程序改写</x:t>
  </x:si>
  <x:si>
    <x:t xml:space="preserve">来自原人工复盘及阶段04标准化字段；无独立原字段时显示未记录。</x:t>
  </x:si>
  <x:si>
    <x:t xml:space="preserve">R1E-109</x:t>
  </x:si>
  <x:si>
    <x:t xml:space="preserve">是否有交易计划</x:t>
  </x:si>
  <x:si>
    <x:t xml:space="preserve">had_trading_plan_boolean_raw</x:t>
  </x:si>
  <x:si>
    <x:t xml:space="preserve">R1E-110</x:t>
  </x:si>
  <x:si>
    <x:t xml:space="preserve">开仓原因</x:t>
  </x:si>
  <x:si>
    <x:t xml:space="preserve">manual_entry_reason</x:t>
  </x:si>
  <x:si>
    <x:t xml:space="preserve">R1E-111</x:t>
  </x:si>
  <x:si>
    <x:t xml:space="preserve">R1E-112</x:t>
  </x:si>
  <x:si>
    <x:t xml:space="preserve">盈利来源/出场方式</x:t>
  </x:si>
  <x:si>
    <x:t xml:space="preserve">profit_source_exit_classification_raw</x:t>
  </x:si>
  <x:si>
    <x:t xml:space="preserve">R1E-113</x:t>
  </x:si>
  <x:si>
    <x:t xml:space="preserve">R1E-114</x:t>
  </x:si>
  <x:si>
    <x:t xml:space="preserve">是否追单</x:t>
  </x:si>
  <x:si>
    <x:t xml:space="preserve">chased_entry_boolean_raw</x:t>
  </x:si>
  <x:si>
    <x:t xml:space="preserve">R1E-115</x:t>
  </x:si>
  <x:si>
    <x:t xml:space="preserve">是否报复性交易</x:t>
  </x:si>
  <x:si>
    <x:t xml:space="preserve">revenge_trade_flag_boolean_raw</x:t>
  </x:si>
  <x:si>
    <x:t xml:space="preserve">R1E-116</x:t>
  </x:si>
  <x:si>
    <x:t xml:space="preserve">用户事后判断的主要问题</x:t>
  </x:si>
  <x:si>
    <x:t xml:space="preserve">post_hoc_issue_assessment</x:t>
  </x:si>
  <x:si>
    <x:t xml:space="preserve">R1E-117</x:t>
  </x:si>
  <x:si>
    <x:t xml:space="preserve">亏损主分类/亏损证据标签及类型/盈利主分类及证据类型</x:t>
  </x:si>
  <x:si>
    <x:t xml:space="preserve">只读映射阶段08已验收标签；不得改称用户原始自述</x:t>
  </x:si>
  <x:si>
    <x:t xml:space="preserve">保留阶段08证据类型和确定性边界。</x:t>
  </x:si>
  <x:si>
    <x:t xml:space="preserve">R1E-118</x:t>
  </x:si>
  <x:si>
    <x:t xml:space="preserve">R1E-119</x:t>
  </x:si>
  <x:si>
    <x:t xml:space="preserve">R1E-120</x:t>
  </x:si>
  <x:si>
    <x:t xml:space="preserve">待用户填写</x:t>
  </x:si>
  <x:si>
    <x:t xml:space="preserve">F｜新人工填写区</x:t>
  </x:si>
  <x:si>
    <x:t xml:space="preserve">按T/U编号映射原入场原因；无原记录则待填写</x:t>
  </x:si>
  <x:si>
    <x:t xml:space="preserve">以T/U编号为唯一键独立保存；重新生成前先读取旧人工区并回填；空白默认值不得覆盖既有用户内容</x:t>
  </x:si>
  <x:si>
    <x:t xml:space="preserve">用户人工字段；程序不得自动生成主观答案。</x:t>
  </x:si>
  <x:si>
    <x:t xml:space="preserve">R1E-121</x:t>
  </x:si>
  <x:si>
    <x:t xml:space="preserve">R1E-122</x:t>
  </x:si>
  <x:si>
    <x:t xml:space="preserve">是|否|不确定</x:t>
  </x:si>
  <x:si>
    <x:t xml:space="preserve">R1E-123</x:t>
  </x:si>
  <x:si>
    <x:t xml:space="preserve">R1E-124</x:t>
  </x:si>
  <x:si>
    <x:t xml:space="preserve">R1E-125</x:t>
  </x:si>
  <x:si>
    <x:t xml:space="preserve">R1E-126</x:t>
  </x:si>
  <x:si>
    <x:t xml:space="preserve">是|否|部分执行|无原计划|不确定</x:t>
  </x:si>
  <x:si>
    <x:t xml:space="preserve">R1E-127</x:t>
  </x:si>
  <x:si>
    <x:t xml:space="preserve">R1E-128</x:t>
  </x:si>
  <x:si>
    <x:t xml:space="preserve">R1E-129</x:t>
  </x:si>
  <x:si>
    <x:t xml:space="preserve">R1E-130</x:t>
  </x:si>
  <x:si>
    <x:t xml:space="preserve">R1E-131</x:t>
  </x:si>
  <x:si>
    <x:t xml:space="preserve">R1E-132</x:t>
  </x:si>
  <x:si>
    <x:t xml:space="preserve">R1E-133</x:t>
  </x:si>
  <x:si>
    <x:t xml:space="preserve">R1E-134</x:t>
  </x:si>
  <x:si>
    <x:t xml:space="preserve">R1E-135</x:t>
  </x:si>
  <x:si>
    <x:t xml:space="preserve">未完成|进行中|已完成</x:t>
  </x:si>
  <x:si>
    <x:t xml:space="preserve">R1E-136</x:t>
  </x:si>
  <x:si>
    <x:t xml:space="preserve">R1E-137</x:t>
  </x:si>
  <x:si>
    <x:t xml:space="preserve">R1E-138</x:t>
  </x:si>
  <x:si>
    <x:t xml:space="preserve">R1E-139</x:t>
  </x:si>
  <x:si>
    <x:t xml:space="preserve">R1E-140</x:t>
  </x:si>
  <x:si>
    <x:t xml:space="preserve">R1E-141</x:t>
  </x:si>
  <x:si>
    <x:t xml:space="preserve">是|否|部分符合|不确定</x:t>
  </x:si>
  <x:si>
    <x:t xml:space="preserve">R1E-142</x:t>
  </x:si>
  <x:si>
    <x:t xml:space="preserve">R1E-143</x:t>
  </x:si>
  <x:si>
    <x:t xml:space="preserve">J｜汇总结论区</x:t>
  </x:si>
  <x:si>
    <x:t xml:space="preserve">R1E-144</x:t>
  </x:si>
  <x:si>
    <x:t xml:space="preserve">R1E-145</x:t>
  </x:si>
  <x:si>
    <x:t xml:space="preserve">R1E-146</x:t>
  </x:si>
  <x:si>
    <x:t xml:space="preserve">R1E-147</x:t>
  </x:si>
  <x:si>
    <x:t xml:space="preserve">R1E-148</x:t>
  </x:si>
  <x:si>
    <x:t xml:space="preserve">R1E-149</x:t>
  </x:si>
  <x:si>
    <x:t xml:space="preserve">来源</x:t>
  </x:si>
  <x:si>
    <x:t xml:space="preserve">2026-05-27</x:t>
  </x:si>
  <x:si>
    <x:t xml:space="preserve">06C_主动交易用户汇总.csv</x:t>
  </x:si>
  <x:si>
    <x:t xml:space="preserve">字段</x:t>
  </x:si>
  <x:si>
    <x:t xml:space="preserve">原始阶段E值</x:t>
  </x:si>
  <x:si>
    <x:t xml:space="preserve">文件</x:t>
  </x:si>
  <x:si>
    <x:t xml:space="preserve">05_阶段结果.json</x:t>
  </x:si>
  <x:si>
    <x:t xml:space="preserve">SHA-256</x:t>
  </x:si>
  <x:si>
    <x:t xml:space="preserve">219c883e7a6a960ffac708b36cf7ea12e5bc46d5d1cbaf765a3dbbd2411e2420</x:t>
  </x:si>
  <x:si>
    <x:t xml:space="preserve">stage</x:t>
  </x:si>
  <x:si>
    <x:t xml:space="preserve">阶段E｜10笔用户复盘摘要</x:t>
  </x:si>
  <x:si>
    <x:t xml:space="preserve">status</x:t>
  </x:si>
  <x:si>
    <x:t xml:space="preserve">completed</x:t>
  </x:si>
  <x:si>
    <x:t xml:space="preserve">completed_at</x:t>
  </x:si>
  <x:si>
    <x:t xml:space="preserve">2026-07-20 19:27:56 +0800</x:t>
  </x:si>
  <x:si>
    <x:t xml:space="preserve">selected_tids</x:t>
  </x:si>
  <x:si>
    <x:t xml:space="preserve">[
  "T029",
  "T042",
  "T043",
  "T049",
  "T069",
  "T087",
  "T120",
  "T123",
  "T125"
]</x:t>
  </x:si>
  <x:si>
    <x:t xml:space="preserve">record_counts</x:t>
  </x:si>
  <x:si>
    <x:t xml:space="preserve">{
  "逐笔复盘汇总": 10,
  "人工复盘字段映射": 149,
  "阶段结果": 1
}</x:t>
  </x:si>
  <x:si>
    <x:t xml:space="preserve">metrics</x:t>
  </x:si>
  <x:si>
    <x:t xml:space="preserve">{
  "版本": "M3R-F1",
  "固定10笔个人主动样本": [
    "T001",
    "T029",
    "T042",
    "T043",
    "T049",
    "T069",
    "T087",
    "T120",
    "T123",
    "T125"
  ],
  "个人行为链覆盖样本": [
    "T029",
    "T042",
    "T043",
    "T049",
    "T069",
    "T087",
    "T120",
    "T123",
    "T125"
  ],
  "T001行为证据": "不可得；保留正式交易和资金事实，不以0替代",
  "T087最新136正式人工修订": {
    "position_cycle_id": "S05-CYC-3574c78ed72a77a420720e67",
    "是否浮亏加仓": "是",
    "开仓过程": "已采用61053先开0.2 BTC及60360—61200间加仓、减仓、再加仓和平仓叙述"
  },
  "U005隔离": {
    "交易来源分类": "自动跟单",
    "新T编号": "",
    "个人行为分析资格": "否",
    "资金轨迹资格": "是",
    "规则": "仅作账户资金辅助证据，不进入行为、心理、策略、纪律或绩效统计"
  }
}</x:t>
  </x:si>
  <x:si>
    <x:t xml:space="preserve">input_files</x:t>
  </x:si>
  <x:si>
    <x:t xml:space="preserve">[
  "/Users/luodaluo/Desktop/30天复盘原始数据/人工复盘增强版_修正工程/R1_10笔成品原型/技术中间结果/01_统一事件底表.csv",
  "/Users/luodaluo/Desktop/30天复盘原始数据/人工复盘增强版_修正工程/R1_10笔成品原型/技术中间结果/01_阶段结果.json",
  "/Users/luodaluo/Desktop/30天复盘原始数据/人工复盘增强版_修正工程/R1_10笔成品原型/技术中间结果/02_仓位完整操作链.csv",
  "/Users/luodaluo/Desktop/30天复盘原始数据/人工复盘增强版_修正工程/R1_10笔成品原型/技术中间结果/02_阶段结果.json",
  "/Users/luodaluo/Desktop/30天复盘原始数据/人工复盘增强版_修正工程/R1_10笔成品原型/技术中间结果/03_条件委托演变链.csv",
  "/Users/luodaluo/Desktop/30天复盘原始数据/人工复盘增强版_修正工程/R1_10笔成品原型/技术中间结果/03_条件委托逐笔汇总.csv",
  "/Users/luodaluo/Desktop/30天复盘原始数据/人工复盘增强版_修正工程/R1_10笔成品原型/技术中间结果/03_阶段结果.json",
  "/Users/luodaluo/Desktop/30天复盘原始数据/人工复盘增强版_修正工程/R1_10笔成品原型/技术中间结果/04_资金估算结果.csv",
  "/Users/luodaluo/Desktop/30天复盘原始数据/人工复盘增强版_修正工程/R1_10笔成品原型/技术中间结果/04_资金事件归属明细.csv",
  "/Users/luodaluo/Desktop/30天复盘原始数据/人工复盘增强版_修正工程/R1_10笔成品原型/技术中间结果/04_阶段结果.json",
  "/Users/luodaluo/Desktop/30天复盘原始数据/30天复盘(9).xlsx",
  "/Users/luodaluo/Desktop/30天复盘原始数据/输出_新版/04_字段标准化与时间统一/标准化数据/04_人工复盘_标准化.xlsx",
  "/Users/luodaluo/Desktop/30天复盘原始数据/输出_新版/08_交易绩效与行为分析/绩效分析/08_交易绩效总览.xlsx"
]</x:t>
  </x:si>
  <x:si>
    <x:t xml:space="preserve">input_sha256</x:t>
  </x:si>
  <x:si>
    <x:t xml:space="preserve">{
  "/Users/luodaluo/Desktop/30天复盘原始数据/人工复盘增强版_修正工程/R1_10笔成品原型/技术中间结果/01_统一事件底表.csv": "548b5ee96b26ee4b9bcbc9af6b4f9e844a581391770bda17c46aaa7d6c16b39c",
  "/Users/luodaluo/Desktop/30天复盘原始数据/人工复盘增强版_修正工程/R1_10笔成品原型/技术中间结果/01_阶段结果.json": "88cae1d89cdbf76c8f2e78c963fa202705c8e6ca0cbde8a8545b740664e566b0",
  "/Users/luodaluo/Desktop/30天复盘原始数据/人工复盘增强版_修正工程/R1_10笔成品原型/技术中间结果/02_仓位完整操作链.csv": "2977e338b42ccb1db1211d682a2574d24c4dd702c20b0056325e69ca3b96ede2",
  "/Users/luodaluo/Desktop/30天复盘原始数据/人工复盘增强版_修正工程/R1_10笔成品原型/技术中间结果/02_阶段结果.json": "4445fa76c5ed1e8916ee8434978fdba61b354f4975ce6aa39bb5c0bd3f8a5652",
  "/Users/luodaluo/Desktop/30天复盘原始数据/人工复盘增强版_修正工程/R1_10笔成品原型/技术中间结果/03_条件委托演变链.csv": "6dcf3074854cda9b14521e060c299c38a79f5f60eb3e4c5f9b29c510100c0c18",
  "/Users/luodaluo/Desktop/30天复盘原始数据/人工复盘增强版_修正工程/R1_10笔成品原型/技术中间结果/03_条件委托逐笔汇总.csv": "e96035e01fc4b8031dc422d1b34c0c3aa38c1449e199744b012ad604dc6a41ed",
  "/Users/luodaluo/Desktop/30天复盘原始数据/人工复盘增强版_修正工程/R1_10笔成品原型/技术中间结果/03_阶段结果.json": "5abf968d523fee032bb106f2c121f3d9784e46df4f7a33f25159010b8ffb75b9",
  "/Users/luodaluo/Desktop/30天复盘原始数据/人工复盘增强版_修正工程/R1_10笔成品原型/技术中间结果/04_资金估算结果.csv": "da496c34de8a1bfe413892a4d298ba6afc16c384ffefafd0ccd93fe4047a6f5f",
  "/Users/luodaluo/Desktop/30天复盘原始数据/人工复盘增强版_修正工程/R1_10笔成品原型/技术中间结果/04_资金事件归属明细.csv": "e89c2e762c70a5f273e0e7d53ab7313c0d973bfd23623ac6e421663d62b3dd56",
  "/Users/luodaluo/Desktop/30天复盘原始数据/人工复盘增强版_修正工程/R1_10笔成品原型/技术中间结果/04_阶段结果.json": "05321b29ba6dc054e94186a5d344f56de22f1695c5998a8e73d6295483aed617",
  "/Users/luodaluo/Desktop/30天复盘原始数据/30天复盘(9).xlsx": "5ecd6b57c95f9007077a375609d503330d73a5b5d571f8e763b9df33ae8098f4",
  "/Users/luodaluo/Desktop/30天复盘原始数据/输出_新版/04_字段标准化与时间统一/标准化数据/04_人工复盘_标准化.xlsx": "349ba7521fbe6ceeaf08d98db5d08eafb38545f72865e449b6ee166ebfad4bbd",
  "/Users/luodaluo/Desktop/30天复盘原始数据/输出_新版/08_交易绩效与行为分析/绩效分析/08_交易绩效总览.xlsx": "297fe894bbcab1232b89e5147546a6c6d4a672f3dd403a48e5c8f2a01052941c"
}</x:t>
  </x:si>
  <x:si>
    <x:t xml:space="preserve">output_files</x:t>
  </x:si>
  <x:si>
    <x:t xml:space="preserve">[
  "/Users/luodaluo/Desktop/30天复盘原始数据/人工复盘增强版_修正工程/R1_10笔成品原型/技术中间结果/05_逐笔复盘汇总.csv",
  "/Users/luodaluo/Desktop/30天复盘原始数据/人工复盘增强版_修正工程/R1_10笔成品原型/技术中间结果/05_人工复盘字段映射.csv",
  "/Users/luodaluo/Desktop/30天复盘原始数据/人工复盘增强版_修正工程/R1_10笔成品原型/技术中间结果/05_阶段结果.json"
]</x:t>
  </x:si>
  <x:si>
    <x:t xml:space="preserve">output_sha256</x:t>
  </x:si>
  <x:si>
    <x:t xml:space="preserve">{
  "/Users/luodaluo/Desktop/30天复盘原始数据/人工复盘增强版_修正工程/R1_10笔成品原型/技术中间结果/05_逐笔复盘汇总.csv": "d79998991a9c905bf73f98bc6c11ece0abf6ad02e0f3e2b59f35d68dc1d9e958",
  "/Users/luodaluo/Desktop/30天复盘原始数据/人工复盘增强版_修正工程/R1_10笔成品原型/技术中间结果/05_人工复盘字段映射.csv": "9d8e7a7448c589bb7e6d10e519e95795d0ac496fc5e3d190fb2c2b134bfb5f88",
  "/Users/luodaluo/Desktop/30天复盘原始数据/人工复盘增强版_修正工程/R1_10笔成品原型/技术中间结果/05_阶段结果.json": "baf383f78f1c1f4cd9406addca04b71245d057b549b76cf1116abd278edf6854"
}</x:t>
  </x:si>
  <x:si>
    <x:t xml:space="preserve">stage_result_content_sha256</x:t>
  </x:si>
  <x:si>
    <x:t xml:space="preserve">baf383f78f1c1f4cd9406addca04b71245d057b549b76cf1116abd278edf6854</x:t>
  </x:si>
  <x:si>
    <x:t xml:space="preserve">stage_result_hash_rule</x:t>
  </x:si>
  <x:si>
    <x:t xml:space="preserve">两份CSV记录实际文件SHA-256；JSON按键排序紧凑序列化，并将stage_result_content_sha256及JSON自身output_sha256置空后计算规范化内容SHA-256；实际JSON文件SHA-256在日志和完成报告复核。</x:t>
  </x:si>
  <x:si>
    <x:t xml:space="preserve">quality_checks</x:t>
  </x:si>
  <x:si>
    <x:t xml:space="preserve">[
  {
    "name": "固定10笔样本",
    "passed": true,
    "detail": "T001|T029|T042|T043|T049|T069|T087|T120|T123|T125"
  },
  {
    "name": "T087最新136人工修订",
    "passed": true,
    "detail": "是否浮亏加仓=是；61053先开0.2 BTC；60360—61200间加仓、减仓、再加仓和平仓"
  },
  {
    "name": "U005自动跟单隔离",
    "passed": true,
    "detail": "新T编号空；个人行为分析资格否；资金轨迹资格是"
  },
  {
    "name": "22个人工字段",
    "passed": true,
    "detail": "A类1、B类21、C类0；不强行映射相似字段"
  }
]</x:t>
  </x:si>
  <x:si>
    <x:t xml:space="preserve">protected_source_sha256_before</x:t>
  </x:si>
  <x:si>
    <x:t xml:space="preserve">{
  "/Users/luodaluo/Desktop/30天复盘原始数据/人工复盘增强版_修正工程/R1_10笔成品原型/技术中间结果/01_统一事件底表.csv": "548b5ee96b26ee4b9bcbc9af6b4f9e844a581391770bda17c46aaa7d6c16b39c",
  "/Users/luodaluo/Desktop/30天复盘原始数据/人工复盘增强版_修正工程/R1_10笔成品原型/技术中间结果/01_阶段结果.json": "88cae1d89cdbf76c8f2e78c963fa202705c8e6ca0cbde8a8545b740664e566b0",
  "/Users/luodaluo/Desktop/30天复盘原始数据/人工复盘增强版_修正工程/R1_10笔成品原型/技术中间结果/02_仓位完整操作链.csv": "2977e338b42ccb1db1211d682a2574d24c4dd702c20b0056325e69ca3b96ede2",
  "/Users/luodaluo/Desktop/30天复盘原始数据/人工复盘增强版_修正工程/R1_10笔成品原型/技术中间结果/02_阶段结果.json": "4445fa76c5ed1e8916ee8434978fdba61b354f4975ce6aa39bb5c0bd3f8a5652",
  "/Users/luodaluo/Desktop/30天复盘原始数据/人工复盘增强版_修正工程/R1_10笔成品原型/技术中间结果/03_条件委托演变链.csv": "6dcf3074854cda9b14521e060c299c38a79f5f60eb3e4c5f9b29c510100c0c18",
  "/Users/luodaluo/Desktop/30天复盘原始数据/人工复盘增强版_修正工程/R1_10笔成品原型/技术中间结果/03_条件委托逐笔汇总.csv": "e96035e01fc4b8031dc422d1b34c0c3aa38c1449e199744b012ad604dc6a41ed",
  "/Users/luodaluo/Desktop/30天复盘原始数据/人工复盘增强版_修正工程/R1_10笔成品原型/技术中间结果/03_阶段结果.json": "5abf968d523fee032bb106f2c121f3d9784e46df4f7a33f25159010b8ffb75b9",
  "/Users/luodaluo/Desktop/30天复盘原始数据/人工复盘增强版_修正工程/R1_10笔成品原型/技术中间结果/04_资金估算结果.csv": "da496c34de8a1bfe413892a4d298ba6afc16c384ffefafd0ccd93fe4047a6f5f",
  "/Users/luodaluo/Desktop/30天复盘原始数据/人工复盘增强版_修正工程/R1_10笔成品原型/技术中间结果/04_资金事件归属明细.csv": "e89c2e762c70a5f273e0e7d53ab7313c0d973bfd23623ac6e421663d62b3dd56",
  "/Users/luodaluo/Desktop/30天复盘原始数据/人工复盘增强版_修正工程/R1_10笔成品原型/技术中间结果/04_阶段结果.json": "05321b29ba6dc054e94186a5d344f56de22f1695c5998a8e73d6295483aed617",
  "/Users/luodaluo/Desktop/30天复盘原始数据/30天复盘(9).xlsx": "5ecd6b57c95f9007077a375609d503330d73a5b5d571f8e763b9df33ae8098f4",
  "/Users/luodaluo/Desktop/30天复盘原始数据/输出_新版/04_字段标准化与时间统一/标准化数据/04_人工复盘_标准化.xlsx": "349ba7521fbe6ceeaf08d98db5d08eafb38545f72865e449b6ee166ebfad4bbd",
  "/Users/luodaluo/Desktop/30天复盘原始数据/输出_新版/08_交易绩效与行为分析/绩效分析/08_交易绩效总览.xlsx": "297fe894bbcab1232b89e5147546a6c6d4a672f3dd403a48e5c8f2a01052941c",
  "/Users/luodaluo/Desktop/30天复盘原始数据/输出_新版/07_账户资金与权益重建/资金事件/07_统一资金事件总表.xlsx": "ac99af6dced29add3e74b2259688d04795bc1c9768c579bbc460113339015de2",
  "/Users/luodaluo/Desktop/30天复盘原始数据/输出_新版/07_账户资金与权益重建/截图与快照/07_账户截图金额人工核验表.xlsx": "cf998e80a5db10ca1e6c4a5396833a0415f9ea7b197ccc5b48a94e5690706a4e",
  "/Users/luodaluo/Desktop/30天复盘原始数据/输出_新版/07_账户资金与权益重建/账户重建/07_交易周期资金归属表.xlsx": "e75dc5f9563d9a1605dd254bb9f03dc33d64cbb5a43e33e13892087b0f5cda01",
  "/Users/luodaluo/Desktop/30天复盘原始数据/输出_新版/07_账户资金与权益重建/账户重建/07_每日账户资金桥接.xlsx": "68440a378fa2254e8ab1967dddcaa482341bdd8fcff6e1b8095e6551850b158e",
  "/Users/luodaluo/Desktop/30天复盘原始数据/输出_新版/05_交易事件与仓位链重建/重建数据_v2/05_完整仓位周期_v2.xlsx": "f47a41a3b4ea6f3db0ad848205d242a9e60e16d89140cf0c6801c6e8bb4891b9",
  "/Users/luodaluo/Desktop/30天复盘原始数据/输出_新版/05_交易事件与仓位链重建/重建数据_v2/05_Order实际执行汇总_v2.xlsx": "6b0ce9b0c3f258854af5fc2e3ed1bc06f18f5bd3b06d63878be54f358acef2b8",
  "/Users/luodaluo/Desktop/30天复盘原始数据/用户版_中文交易链路/技术支持文件/P3_148个真实仓位全量中文交易链构建/技术中间结果/P3_全量工作簿载荷.json": "fc140d86ab1a53e1ffb18db74515b8bfda2db96613898b19bce9d1ef5177afb4",
  "/Users/luodaluo/Desktop/30天复盘原始数据/Binance-合约订单历史记录-a.xlsx": "e53c7aff833c374a059c3de6552ec3961ac45a343619bf9da75145fee3f391fa",
  "/Users/luodaluo/Desktop/30天复盘原始数据/人工复盘增强版_修正工程/R1_10笔成品原型/技术中间结果/母版只读预览/复盘说明与字段定义.png": "7e2372f4d67b38a43f88f5284f8da586415edd799eb716cad588fce0aa73e452",
  "/Users/luodaluo/Desktop/30天复盘原始数据/人工复盘增强版_修正工程/R1_10笔成品原型/技术中间结果/母版只读预览/资金变动记录.png": "26196b7d513886d2040ee40da31525565cb87cc996c0c2e6f73aa6d80239d7e8",
  "/Users/luodaluo/Desktop/30天复盘原始数据/人工复盘增强版_修正工程/R1_10笔成品原型/技术中间结果/母版只读预览/30天交易复盘明细.png": "290af9b645b86ca5c4cb872f5cc25835bec6740931e11e5ac6ab5e446c38044e"
}</x:t>
  </x:si>
  <x:si>
    <x:t xml:space="preserve">protected_source_sha256_after</x:t>
  </x:si>
  <x:si>
    <x:t xml:space="preserve">stage_a_b_c_d_reused_without_rerun</x:t>
  </x:si>
  <x:si>
    <x:t xml:space="preserve">true</x:t>
  </x:si>
  <x:si>
    <x:t xml:space="preserve">error_count</x:t>
  </x:si>
  <x:si>
    <x:t xml:space="preserve">errors</x:t>
  </x:si>
  <x:si>
    <x:t xml:space="preserve">[]</x:t>
  </x:si>
  <x:si>
    <x:t xml:space="preserve">next_stage</x:t>
  </x:si>
  <x:si>
    <x:t xml:space="preserve">阶段F｜组装10笔人工复盘Excel原型</x:t>
  </x:si>
  <x:si>
    <x:t xml:space="preserve">checkpoint_rule</x:t>
  </x:si>
  <x:si>
    <x:t xml:space="preserve">status=completed、两份CSV实际SHA-256匹配且JSON规范化内容哈希匹配时跳过阶段E</x:t>
  </x:si>
  <x:si>
    <x:t xml:space="preserve">scope_confirmation</x:t>
  </x:si>
  <x:si>
    <x:t xml:space="preserve">{
  "prototype_trade_count": 10,
  "excel_generated": false,
  "preview_generated": false,
  "stage_a_b_c_d_rerun": false,
  "stage_f_executed": false,
  "full_148_workbook_generated": false,
  "stage10_created": false,
  "p6_created": false
}</x:t>
  </x:si>
  <x:si>
    <x:t xml:space="preserve">完整正式开仓时间</x:t>
  </x:si>
  <x:si>
    <x:t xml:space="preserve">完整正式平仓时间</x:t>
  </x:si>
  <x:si>
    <x:t xml:space="preserve">首仓均价</x:t>
  </x:si>
  <x:si>
    <x:t xml:space="preserve">最终平仓方式</x:t>
  </x:si>
  <x:si>
    <x:t xml:space="preserve">当前交易净结果</x:t>
  </x:si>
  <x:si>
    <x:t xml:space="preserve">资金展示字段</x:t>
  </x:si>
  <x:si>
    <x:t xml:space="preserve">操作变化短摘要</x:t>
  </x:si>
  <x:si>
    <x:t xml:space="preserve">条件计划摘要</x:t>
  </x:si>
  <x:si>
    <x:t xml:space="preserve">待人工确认数量</x:t>
  </x:si>
  <x:si>
    <x:t xml:space="preserve">F23显示最大持仓均价</x:t>
  </x:si>
  <x:si>
    <x:t xml:space="preserve">F23操作变化短摘要</x:t>
  </x:si>
  <x:si>
    <x:t xml:space="preserve">16.762475</x:t>
  </x:si>
  <x:si>
    <x:t xml:space="preserve">前一08:00实际总资产14557.38 USDT；开仓前已确认资金事件滚动值29057.38 USDT；持仓期间外部净入金0 USDT；本交易正式净结果16.762475 USDT；平仓后已确认资金事件滚动值29075.666235 USDT；后一08:00实际总资产15546.43 USDT；未分配快照差额-13533.04998 USDT。</x:t>
  </x:si>
  <x:si>
    <x:t xml:space="preserve">正式首仓0.5，均价76188；成功加仓0次，累计加仓0，最大持仓0.5，最大持仓均价76188；实际限价部分减仓0次；最终普通市价平仓。</x:t>
  </x:si>
  <x:si>
    <x:t xml:space="preserve">前一08:00实际总资产15392.53 USDT；开仓前已确认资金事件滚动值15759.87276468 USDT；持仓期间外部净入金0 USDT；本交易正式净结果529.6670629 USDT；平仓后已确认资金事件滚动值16292.50426758 USDT；后一08:00实际总资产3139.14 USDT；未分配快照差额-14269.32939733 USDT。</x:t>
  </x:si>
  <x:si>
    <x:t xml:space="preserve">正式首仓1，均价74111；成功加仓0次，累计加仓0，最大持仓1，最大持仓均价74111；实际限价部分减仓0次；最终普通限价平仓。</x:t>
  </x:si>
  <x:si>
    <x:t xml:space="preserve">前一08:00实际总资产16595.74 USDT；开仓前已确认资金事件滚动值18312.88901795 USDT；持仓期间外部净入金0 USDT；本交易正式净结果-1592.50279997 USDT；平仓后已确认资金事件滚动值16743.19229798 USDT；后一08:00实际总资产3139.14 USDT；未分配快照差额-15117.05439265 USDT。</x:t>
  </x:si>
  <x:si>
    <x:t xml:space="preserve">正式首仓4，均价71000；成功加仓1次，累计加仓4，最大持仓8，最大持仓均价71269；实际限价部分减仓0次；最终T042误触反手中的原空头结束。</x:t>
  </x:si>
  <x:si>
    <x:t xml:space="preserve">2026-06-02 02:26:09反手操作前滚动值18221.66469795 USDT→2026-06-02 02:26:09 T042平仓完成后16743.19229798 USDT→2026-06-02 02:26:09 T043首仓完成后16457.51989801 USDT；平仓后滚动值16146.57564098 USDT；未分配快照差额-15117.05439265 USDT。</x:t>
  </x:si>
  <x:si>
    <x:t xml:space="preserve">正式首仓8，均价71418.1；成功加仓0次，累计加仓0，最大持仓8，最大持仓均价71418.1；实际限价部分减仓0次；最终普通市价平仓。</x:t>
  </x:si>
  <x:si>
    <x:t xml:space="preserve">67631.447364641677437885968691655895447364641677437885968691655895447364641677438</x:t>
  </x:si>
  <x:si>
    <x:t xml:space="preserve">前一08:00实际总资产3139.14 USDT；开仓前已确认资金事件滚动值3315.43985308 USDT；持仓期间外部净入金29000 USDT；本交易正式净结果-38141.92735122 USDT；平仓后已确认资金事件滚动值-5729.22065526 USDT；后一08:00实际总资产33920.31 USDT；未分配快照差额43918.85220162 USDT。按已确认资金事件计算的滚动结果为负，不能解释为真实账户总资产。</x:t>
  </x:si>
  <x:si>
    <x:t xml:space="preserve">正式首仓4，均价69540；成功加仓5次，累计加仓27.852，最大持仓27.852，最大持仓均价67631.447364641677437885968691655895447364641677437885968691655895447364641677438；实际限价部分减仓1次；最终条件止损触发平仓。</x:t>
  </x:si>
  <x:si>
    <x:t xml:space="preserve">正式首仓4，均价69540；成功加仓5次，累计加仓27.852，最大持仓27.852，最大持仓均价67631.45；实际限价部分减仓1次；最终条件止损触发平仓。</x:t>
  </x:si>
  <x:si>
    <x:t xml:space="preserve">1129.90438067</x:t>
  </x:si>
  <x:si>
    <x:t xml:space="preserve">前一08:00实际总资产33920.31 USDT；开仓前已确认资金事件滚动值64188.96496741 USDT；持仓期间外部净入金0 USDT；本交易正式净结果1129.90438067 USDT；平仓后已确认资金事件滚动值65339.94802808 USDT；后一08:00实际总资产38327.89 USDT；未分配快照差额-27061.57950525 USDT。</x:t>
  </x:si>
  <x:si>
    <x:t xml:space="preserve">正式首仓5，均价65971；成功加仓1次，累计加仓3，最大持仓8，最大持仓均价65870.875；实际限价部分减仓0次；最终普通限价平仓。</x:t>
  </x:si>
  <x:si>
    <x:t xml:space="preserve">60887.333333333333333333333333333333333333333333333333333333333333333333333333333</x:t>
  </x:si>
  <x:si>
    <x:t xml:space="preserve">前一08:00实际总资产30062.76 USDT；开仓前已确认资金事件滚动值30572.59864316 USDT；持仓期间外部净入金0 USDT；本交易正式净结果60.48563999 USDT；平仓后已确认资金事件滚动值30636.89973421 USDT；后一08:00实际总资产30166.53 USDT；未分配快照差额-632.53821768 USDT。</x:t>
  </x:si>
  <x:si>
    <x:t xml:space="preserve">正式首仓0.2，均价61053；成功加仓3次，累计加仓0.3，最大持仓0.3，最大持仓均价60887.333333333333333333333333333333333333333333333333333333333333333333333333333；实际限价部分减仓1次；最终条件止损触发平仓。</x:t>
  </x:si>
  <x:si>
    <x:t xml:space="preserve">正式首仓0.2，均价61053；成功加仓3次，累计加仓0.3，最大持仓0.3，最大持仓均价60887.33；实际限价部分减仓1次；最终条件止损触发平仓。</x:t>
  </x:si>
  <x:si>
    <x:t xml:space="preserve">5.026</x:t>
  </x:si>
  <x:si>
    <x:t xml:space="preserve">65438.047277079593058049072411729503291442250149611011370436864153201675643327349</x:t>
  </x:si>
  <x:si>
    <x:t xml:space="preserve">前一08:00实际总资产46073.12 USDT；开仓前已确认资金事件滚动值42729.67235219 USDT；持仓期间外部净入金0 USDT；本交易正式净结果-579.81045542 USDT；平仓后已确认资金事件滚动值42176.10517125 USDT；后一08:00实际总资产25258.33 USDT；未分配快照差额-17816.44088891 USDT。</x:t>
  </x:si>
  <x:si>
    <x:t xml:space="preserve">正式首仓5，均价65211；成功加仓2次，累计加仓5.026，最大持仓10.026，最大持仓均价65438.047277079593058049072411729503291442250149611011370436864153201675643327349；实际限价部分减仓0次；最终普通限价平仓。</x:t>
  </x:si>
  <x:si>
    <x:t xml:space="preserve">正式首仓5，均价65211；成功加仓2次，累计加仓5.026，最大持仓10.026，最大持仓均价65438.05；实际限价部分减仓0次；最终普通限价平仓。</x:t>
  </x:si>
  <x:si>
    <x:t xml:space="preserve">前一08:00实际总资产25258.33 USDT；开仓前已确认资金事件滚动值25262.72207512 USDT；持仓期间外部净入金0 USDT；本交易正式净结果-22216.22618112 USDT；平仓后已确认资金事件滚动值6295.64028156 USDT；后一08:00实际总资产13440.01 USDT；未分配快照差额7202.99147572 USDT。</x:t>
  </x:si>
  <x:si>
    <x:t xml:space="preserve">正式首仓100，均价2095；成功加仓1次，累计加仓100，最大持仓200，最大持仓均价2115.1；实际限价部分减仓0次；最终条件止损触发平仓。</x:t>
  </x:si>
  <x:si>
    <x:t xml:space="preserve">62546.733333333333333333333333333333333333333333333333333333333333333333333333333</x:t>
  </x:si>
  <x:si>
    <x:t xml:space="preserve">前一08:00实际总资产13440.01 USDT；开仓前已确认资金事件滚动值13741.67101695 USDT；持仓期间外部净入金0 USDT；本交易正式净结果-21839.09171882 USDT；平仓后已确认资金事件滚动值-8047.82893011 USDT；后一08:00实际总资产6362.6 USDT；未分配快照差额14353.1490911 USDT。按已确认资金事件计算的滚动结果为负，不能解释为真实账户总资产。</x:t>
  </x:si>
  <x:si>
    <x:t xml:space="preserve">正式首仓10，均价62509.1；成功加仓1次，累计加仓5，最大持仓15，最大持仓均价62546.733333333333333333333333333333333333333333333333333333333333333333333333333；实际限价部分减仓1次；最终普通限价平仓。</x:t>
  </x:si>
  <x:si>
    <x:t xml:space="preserve">正式首仓10，均价62509.1；成功加仓1次，累计加仓5，最大持仓15，最大持仓均价62546.73；实际限价部分减仓1次；最终普通限价平仓。</x:t>
  </x:si>
  <x:si>
    <x:t xml:space="preserve">完整北京时间</x:t>
  </x:si>
  <x:si>
    <x:t xml:space="preserve">方向</x:t>
  </x:si>
  <x:si>
    <x:t xml:space="preserve">成交数量</x:t>
  </x:si>
  <x:si>
    <x:t xml:space="preserve">成交加权均价</x:t>
  </x:si>
  <x:si>
    <x:t xml:space="preserve">动作后正式持仓均价</x:t>
  </x:si>
  <x:si>
    <x:t xml:space="preserve">动作前已确认事件滚动值</x:t>
  </x:si>
  <x:si>
    <x:t xml:space="preserve">动作后已确认事件滚动值</x:t>
  </x:si>
  <x:si>
    <x:t xml:space="preserve">自上一节点以来外部净入金</x:t>
  </x:si>
  <x:si>
    <x:t xml:space="preserve">对应正式委托</x:t>
  </x:si>
  <x:si>
    <x:t xml:space="preserve">分笔成交数量</x:t>
  </x:si>
  <x:si>
    <x:t xml:space="preserve">数据可靠度</x:t>
  </x:si>
  <x:si>
    <x:t xml:space="preserve">资金展示口径</x:t>
  </x:si>
  <x:si>
    <x:t xml:space="preserve">复合键</x:t>
  </x:si>
  <x:si>
    <x:t xml:space="preserve">卡片T/U编号</x:t>
  </x:si>
  <x:si>
    <x:t xml:space="preserve">1|动作序号</x:t>
  </x:si>
  <x:si>
    <x:t xml:space="preserve">1|动作类型</x:t>
  </x:si>
  <x:si>
    <x:t xml:space="preserve">1|完整北京时间</x:t>
  </x:si>
  <x:si>
    <x:t xml:space="preserve">1|成交数量</x:t>
  </x:si>
  <x:si>
    <x:t xml:space="preserve">1|成交加权均价</x:t>
  </x:si>
  <x:si>
    <x:t xml:space="preserve">1|动作前总持仓</x:t>
  </x:si>
  <x:si>
    <x:t xml:space="preserve">1|动作后总持仓</x:t>
  </x:si>
  <x:si>
    <x:t xml:space="preserve">1|动作后正式持仓均价</x:t>
  </x:si>
  <x:si>
    <x:t xml:space="preserve">1|动作前已确认事件滚动值</x:t>
  </x:si>
  <x:si>
    <x:t xml:space="preserve">1|动作后已确认事件滚动值</x:t>
  </x:si>
  <x:si>
    <x:t xml:space="preserve">1|自上一节点以来外部净入金</x:t>
  </x:si>
  <x:si>
    <x:t xml:space="preserve">1|是否部分成交后撤余</x:t>
  </x:si>
  <x:si>
    <x:t xml:space="preserve">2|动作序号</x:t>
  </x:si>
  <x:si>
    <x:t xml:space="preserve">2|动作类型</x:t>
  </x:si>
  <x:si>
    <x:t xml:space="preserve">2|完整北京时间</x:t>
  </x:si>
  <x:si>
    <x:t xml:space="preserve">2|成交数量</x:t>
  </x:si>
  <x:si>
    <x:t xml:space="preserve">2|成交加权均价</x:t>
  </x:si>
  <x:si>
    <x:t xml:space="preserve">2|动作前总持仓</x:t>
  </x:si>
  <x:si>
    <x:t xml:space="preserve">2|动作后总持仓</x:t>
  </x:si>
  <x:si>
    <x:t xml:space="preserve">2|动作后正式持仓均价</x:t>
  </x:si>
  <x:si>
    <x:t xml:space="preserve">2|动作前已确认事件滚动值</x:t>
  </x:si>
  <x:si>
    <x:t xml:space="preserve">2|动作后已确认事件滚动值</x:t>
  </x:si>
  <x:si>
    <x:t xml:space="preserve">2|自上一节点以来外部净入金</x:t>
  </x:si>
  <x:si>
    <x:t xml:space="preserve">2|是否部分成交后撤余</x:t>
  </x:si>
  <x:si>
    <x:t xml:space="preserve">3|动作序号</x:t>
  </x:si>
  <x:si>
    <x:t xml:space="preserve">3|动作类型</x:t>
  </x:si>
  <x:si>
    <x:t xml:space="preserve">3|完整北京时间</x:t>
  </x:si>
  <x:si>
    <x:t xml:space="preserve">3|成交数量</x:t>
  </x:si>
  <x:si>
    <x:t xml:space="preserve">3|成交加权均价</x:t>
  </x:si>
  <x:si>
    <x:t xml:space="preserve">3|动作前总持仓</x:t>
  </x:si>
  <x:si>
    <x:t xml:space="preserve">3|动作后总持仓</x:t>
  </x:si>
  <x:si>
    <x:t xml:space="preserve">3|动作后正式持仓均价</x:t>
  </x:si>
  <x:si>
    <x:t xml:space="preserve">3|动作前已确认事件滚动值</x:t>
  </x:si>
  <x:si>
    <x:t xml:space="preserve">3|动作后已确认事件滚动值</x:t>
  </x:si>
  <x:si>
    <x:t xml:space="preserve">3|自上一节点以来外部净入金</x:t>
  </x:si>
  <x:si>
    <x:t xml:space="preserve">3|是否部分成交后撤余</x:t>
  </x:si>
  <x:si>
    <x:t xml:space="preserve">4|动作序号</x:t>
  </x:si>
  <x:si>
    <x:t xml:space="preserve">4|动作类型</x:t>
  </x:si>
  <x:si>
    <x:t xml:space="preserve">4|完整北京时间</x:t>
  </x:si>
  <x:si>
    <x:t xml:space="preserve">4|成交数量</x:t>
  </x:si>
  <x:si>
    <x:t xml:space="preserve">4|成交加权均价</x:t>
  </x:si>
  <x:si>
    <x:t xml:space="preserve">4|动作前总持仓</x:t>
  </x:si>
  <x:si>
    <x:t xml:space="preserve">4|动作后总持仓</x:t>
  </x:si>
  <x:si>
    <x:t xml:space="preserve">4|动作后正式持仓均价</x:t>
  </x:si>
  <x:si>
    <x:t xml:space="preserve">4|动作前已确认事件滚动值</x:t>
  </x:si>
  <x:si>
    <x:t xml:space="preserve">4|动作后已确认事件滚动值</x:t>
  </x:si>
  <x:si>
    <x:t xml:space="preserve">4|自上一节点以来外部净入金</x:t>
  </x:si>
  <x:si>
    <x:t xml:space="preserve">4|是否部分成交后撤余</x:t>
  </x:si>
  <x:si>
    <x:t xml:space="preserve">5|动作序号</x:t>
  </x:si>
  <x:si>
    <x:t xml:space="preserve">5|动作类型</x:t>
  </x:si>
  <x:si>
    <x:t xml:space="preserve">5|完整北京时间</x:t>
  </x:si>
  <x:si>
    <x:t xml:space="preserve">5|成交数量</x:t>
  </x:si>
  <x:si>
    <x:t xml:space="preserve">5|成交加权均价</x:t>
  </x:si>
  <x:si>
    <x:t xml:space="preserve">5|动作前总持仓</x:t>
  </x:si>
  <x:si>
    <x:t xml:space="preserve">5|动作后总持仓</x:t>
  </x:si>
  <x:si>
    <x:t xml:space="preserve">5|动作后正式持仓均价</x:t>
  </x:si>
  <x:si>
    <x:t xml:space="preserve">5|动作前已确认事件滚动值</x:t>
  </x:si>
  <x:si>
    <x:t xml:space="preserve">5|动作后已确认事件滚动值</x:t>
  </x:si>
  <x:si>
    <x:t xml:space="preserve">5|自上一节点以来外部净入金</x:t>
  </x:si>
  <x:si>
    <x:t xml:space="preserve">5|是否部分成交后撤余</x:t>
  </x:si>
  <x:si>
    <x:t xml:space="preserve">6|动作序号</x:t>
  </x:si>
  <x:si>
    <x:t xml:space="preserve">6|动作类型</x:t>
  </x:si>
  <x:si>
    <x:t xml:space="preserve">6|完整北京时间</x:t>
  </x:si>
  <x:si>
    <x:t xml:space="preserve">6|成交数量</x:t>
  </x:si>
  <x:si>
    <x:t xml:space="preserve">6|成交加权均价</x:t>
  </x:si>
  <x:si>
    <x:t xml:space="preserve">6|动作前总持仓</x:t>
  </x:si>
  <x:si>
    <x:t xml:space="preserve">6|动作后总持仓</x:t>
  </x:si>
  <x:si>
    <x:t xml:space="preserve">6|动作后正式持仓均价</x:t>
  </x:si>
  <x:si>
    <x:t xml:space="preserve">6|动作前已确认事件滚动值</x:t>
  </x:si>
  <x:si>
    <x:t xml:space="preserve">6|动作后已确认事件滚动值</x:t>
  </x:si>
  <x:si>
    <x:t xml:space="preserve">6|自上一节点以来外部净入金</x:t>
  </x:si>
  <x:si>
    <x:t xml:space="preserve">6|是否部分成交后撤余</x:t>
  </x:si>
  <x:si>
    <x:t xml:space="preserve">7|动作序号</x:t>
  </x:si>
  <x:si>
    <x:t xml:space="preserve">7|动作类型</x:t>
  </x:si>
  <x:si>
    <x:t xml:space="preserve">7|完整北京时间</x:t>
  </x:si>
  <x:si>
    <x:t xml:space="preserve">7|成交数量</x:t>
  </x:si>
  <x:si>
    <x:t xml:space="preserve">7|成交加权均价</x:t>
  </x:si>
  <x:si>
    <x:t xml:space="preserve">7|动作前总持仓</x:t>
  </x:si>
  <x:si>
    <x:t xml:space="preserve">7|动作后总持仓</x:t>
  </x:si>
  <x:si>
    <x:t xml:space="preserve">7|动作后正式持仓均价</x:t>
  </x:si>
  <x:si>
    <x:t xml:space="preserve">7|动作前已确认事件滚动值</x:t>
  </x:si>
  <x:si>
    <x:t xml:space="preserve">7|动作后已确认事件滚动值</x:t>
  </x:si>
  <x:si>
    <x:t xml:space="preserve">7|自上一节点以来外部净入金</x:t>
  </x:si>
  <x:si>
    <x:t xml:space="preserve">7|是否部分成交后撤余</x:t>
  </x:si>
  <x:si>
    <x:t xml:space="preserve">8|动作序号</x:t>
  </x:si>
  <x:si>
    <x:t xml:space="preserve">8|动作类型</x:t>
  </x:si>
  <x:si>
    <x:t xml:space="preserve">8|完整北京时间</x:t>
  </x:si>
  <x:si>
    <x:t xml:space="preserve">8|成交数量</x:t>
  </x:si>
  <x:si>
    <x:t xml:space="preserve">8|成交加权均价</x:t>
  </x:si>
  <x:si>
    <x:t xml:space="preserve">8|动作前总持仓</x:t>
  </x:si>
  <x:si>
    <x:t xml:space="preserve">8|动作后总持仓</x:t>
  </x:si>
  <x:si>
    <x:t xml:space="preserve">8|动作后正式持仓均价</x:t>
  </x:si>
  <x:si>
    <x:t xml:space="preserve">8|动作前已确认事件滚动值</x:t>
  </x:si>
  <x:si>
    <x:t xml:space="preserve">8|动作后已确认事件滚动值</x:t>
  </x:si>
  <x:si>
    <x:t xml:space="preserve">8|自上一节点以来外部净入金</x:t>
  </x:si>
  <x:si>
    <x:t xml:space="preserve">8|是否部分成交后撤余</x:t>
  </x:si>
  <x:si>
    <x:t xml:space="preserve">9|动作序号</x:t>
  </x:si>
  <x:si>
    <x:t xml:space="preserve">9|动作类型</x:t>
  </x:si>
  <x:si>
    <x:t xml:space="preserve">9|完整北京时间</x:t>
  </x:si>
  <x:si>
    <x:t xml:space="preserve">9|成交数量</x:t>
  </x:si>
  <x:si>
    <x:t xml:space="preserve">9|成交加权均价</x:t>
  </x:si>
  <x:si>
    <x:t xml:space="preserve">9|动作前总持仓</x:t>
  </x:si>
  <x:si>
    <x:t xml:space="preserve">9|动作后总持仓</x:t>
  </x:si>
  <x:si>
    <x:t xml:space="preserve">9|动作后正式持仓均价</x:t>
  </x:si>
  <x:si>
    <x:t xml:space="preserve">9|动作前已确认事件滚动值</x:t>
  </x:si>
  <x:si>
    <x:t xml:space="preserve">9|动作后已确认事件滚动值</x:t>
  </x:si>
  <x:si>
    <x:t xml:space="preserve">9|自上一节点以来外部净入金</x:t>
  </x:si>
  <x:si>
    <x:t xml:space="preserve">9|是否部分成交后撤余</x:t>
  </x:si>
  <x:si>
    <x:t xml:space="preserve">10|动作序号</x:t>
  </x:si>
  <x:si>
    <x:t xml:space="preserve">10|动作类型</x:t>
  </x:si>
  <x:si>
    <x:t xml:space="preserve">10|完整北京时间</x:t>
  </x:si>
  <x:si>
    <x:t xml:space="preserve">10|成交数量</x:t>
  </x:si>
  <x:si>
    <x:t xml:space="preserve">10|成交加权均价</x:t>
  </x:si>
  <x:si>
    <x:t xml:space="preserve">10|动作前总持仓</x:t>
  </x:si>
  <x:si>
    <x:t xml:space="preserve">10|动作后总持仓</x:t>
  </x:si>
  <x:si>
    <x:t xml:space="preserve">10|动作后正式持仓均价</x:t>
  </x:si>
  <x:si>
    <x:t xml:space="preserve">10|动作前已确认事件滚动值</x:t>
  </x:si>
  <x:si>
    <x:t xml:space="preserve">10|动作后已确认事件滚动值</x:t>
  </x:si>
  <x:si>
    <x:t xml:space="preserve">10|自上一节点以来外部净入金</x:t>
  </x:si>
  <x:si>
    <x:t xml:space="preserve">10|是否部分成交后撤余</x:t>
  </x:si>
  <x:si>
    <x:t xml:space="preserve">29057.38</x:t>
  </x:si>
  <x:si>
    <x:t xml:space="preserve">29049.7612</x:t>
  </x:si>
  <x:si>
    <x:t xml:space="preserve">1021988705271</x:t>
  </x:si>
  <x:si>
    <x:t xml:space="preserve">已确认资金事件滚动值，不等于实时账户余额或实时总权益</x:t>
  </x:si>
  <x:si>
    <x:t xml:space="preserve">06B资金节点；阶段05 Order、Fill与仓位变化；T069另应用06C首仓前费用修正</x:t>
  </x:si>
  <x:si>
    <x:t xml:space="preserve">T001|1</x:t>
  </x:si>
  <x:si>
    <x:t xml:space="preserve">§无记录§</x:t>
  </x:si>
  <x:si>
    <x:t xml:space="preserve">T029|1</x:t>
  </x:si>
  <x:si>
    <x:t xml:space="preserve">T042|1</x:t>
  </x:si>
  <x:si>
    <x:t xml:space="preserve">第1次成功加仓</x:t>
  </x:si>
  <x:si>
    <x:t xml:space="preserve">18267.44901795</x:t>
  </x:si>
  <x:si>
    <x:t xml:space="preserve">T042|2</x:t>
  </x:si>
  <x:si>
    <x:t xml:space="preserve">16457.51989801</x:t>
  </x:si>
  <x:si>
    <x:t xml:space="preserve">T043|1</x:t>
  </x:si>
  <x:si>
    <x:t xml:space="preserve">第2次成功加仓</x:t>
  </x:si>
  <x:si>
    <x:t xml:space="preserve">第3次成功加仓</x:t>
  </x:si>
  <x:si>
    <x:t xml:space="preserve">第4次成功加仓</x:t>
  </x:si>
  <x:si>
    <x:t xml:space="preserve">第5次成功加仓</x:t>
  </x:si>
  <x:si>
    <x:t xml:space="preserve">T049|1</x:t>
  </x:si>
  <x:si>
    <x:t xml:space="preserve">3270.93425308</x:t>
  </x:si>
  <x:si>
    <x:t xml:space="preserve">3202.36625308</x:t>
  </x:si>
  <x:si>
    <x:t xml:space="preserve">T049|2</x:t>
  </x:si>
  <x:si>
    <x:t xml:space="preserve">68523.714285714285714285714285714285714285714285714285714285714285714285714285714</x:t>
  </x:si>
  <x:si>
    <x:t xml:space="preserve">28172.55985308</x:t>
  </x:si>
  <x:si>
    <x:t xml:space="preserve">28145.62665308</x:t>
  </x:si>
  <x:si>
    <x:t xml:space="preserve">T049|3</x:t>
  </x:si>
  <x:si>
    <x:t xml:space="preserve">68089.25</x:t>
  </x:si>
  <x:si>
    <x:t xml:space="preserve">28111.71398977</x:t>
  </x:si>
  <x:si>
    <x:t xml:space="preserve">28044.23298977</x:t>
  </x:si>
  <x:si>
    <x:t xml:space="preserve">T049|4</x:t>
  </x:si>
  <x:si>
    <x:t xml:space="preserve">67883.882352941176470588235294117647058823529411764705882352941176470588235294118</x:t>
  </x:si>
  <x:si>
    <x:t xml:space="preserve">28057.72918977</x:t>
  </x:si>
  <x:si>
    <x:t xml:space="preserve">27990.33818977</x:t>
  </x:si>
  <x:si>
    <x:t xml:space="preserve">T049|5</x:t>
  </x:si>
  <x:si>
    <x:t xml:space="preserve">28003.81638977</x:t>
  </x:si>
  <x:si>
    <x:t xml:space="preserve">T049|6</x:t>
  </x:si>
  <x:si>
    <x:t xml:space="preserve">64188.96496741</x:t>
  </x:si>
  <x:si>
    <x:t xml:space="preserve">64144.42134821</x:t>
  </x:si>
  <x:si>
    <x:t xml:space="preserve">T069|1</x:t>
  </x:si>
  <x:si>
    <x:t xml:space="preserve">64157.61554821</x:t>
  </x:si>
  <x:si>
    <x:t xml:space="preserve">64118.19314822</x:t>
  </x:si>
  <x:si>
    <x:t xml:space="preserve">T069|2</x:t>
  </x:si>
  <x:si>
    <x:t xml:space="preserve">T087|1</x:t>
  </x:si>
  <x:si>
    <x:t xml:space="preserve">T087|2</x:t>
  </x:si>
  <x:si>
    <x:t xml:space="preserve">60699.166666666666666666666666666666666666666666666666666666666666666666666666665</x:t>
  </x:si>
  <x:si>
    <x:t xml:space="preserve">30631.55904834</x:t>
  </x:si>
  <x:si>
    <x:t xml:space="preserve">30630.34882834</x:t>
  </x:si>
  <x:si>
    <x:t xml:space="preserve">T087|3</x:t>
  </x:si>
  <x:si>
    <x:t xml:space="preserve">60586.11111111111111111111111111111111111111111111111111111111111111111111111111</x:t>
  </x:si>
  <x:si>
    <x:t xml:space="preserve">30631.15248355</x:t>
  </x:si>
  <x:si>
    <x:t xml:space="preserve">30629.94528355</x:t>
  </x:si>
  <x:si>
    <x:t xml:space="preserve">T087|4</x:t>
  </x:si>
  <x:si>
    <x:t xml:space="preserve">42729.67235219</x:t>
  </x:si>
  <x:si>
    <x:t xml:space="preserve">42664.46135223</x:t>
  </x:si>
  <x:si>
    <x:t xml:space="preserve">T120|1</x:t>
  </x:si>
  <x:si>
    <x:t xml:space="preserve">65265.348859620944426598136845486668808223578541599743013170575008030838419530999</x:t>
  </x:si>
  <x:si>
    <x:t xml:space="preserve">42677.50355223</x:t>
  </x:si>
  <x:si>
    <x:t xml:space="preserve">42661.44613983</x:t>
  </x:si>
  <x:si>
    <x:t xml:space="preserve">T120|2</x:t>
  </x:si>
  <x:si>
    <x:t xml:space="preserve">42664.65762231</x:t>
  </x:si>
  <x:si>
    <x:t xml:space="preserve">42614.70966231</x:t>
  </x:si>
  <x:si>
    <x:t xml:space="preserve">T120|3</x:t>
  </x:si>
  <x:si>
    <x:t xml:space="preserve">25262.72207512</x:t>
  </x:si>
  <x:si>
    <x:t xml:space="preserve">T123|1</x:t>
  </x:si>
  <x:si>
    <x:t xml:space="preserve">T123|2</x:t>
  </x:si>
  <x:si>
    <x:t xml:space="preserve">13741.67101695</x:t>
  </x:si>
  <x:si>
    <x:t xml:space="preserve">13616.65281695</x:t>
  </x:si>
  <x:si>
    <x:t xml:space="preserve">T125|1</x:t>
  </x:si>
  <x:si>
    <x:t xml:space="preserve">13641.65645695</x:t>
  </x:si>
  <x:si>
    <x:t xml:space="preserve">13579.03445695</x:t>
  </x:si>
  <x:si>
    <x:t xml:space="preserve">T125|2</x:t>
  </x:si>
  <x:si>
    <x:t xml:space="preserve">reduceOnly证据</x:t>
  </x:si>
  <x:si>
    <x:t xml:space="preserve">closePosition证据</x:t>
  </x:si>
  <x:si>
    <x:t xml:space="preserve">是否未成交取消</x:t>
  </x:si>
  <x:si>
    <x:t xml:space="preserve">是否未成交过期</x:t>
  </x:si>
  <x:si>
    <x:t xml:space="preserve">是否实际部分减仓</x:t>
  </x:si>
  <x:si>
    <x:t xml:space="preserve">是否最终使仓位归零</x:t>
  </x:si>
  <x:si>
    <x:t xml:space="preserve">是否普通限价委托</x:t>
  </x:si>
  <x:si>
    <x:t xml:space="preserve">是否由条件委托触发生成</x:t>
  </x:si>
  <x:si>
    <x:t xml:space="preserve">意图判定依据</x:t>
  </x:si>
  <x:si>
    <x:t xml:space="preserve">展示序号</x:t>
  </x:si>
  <x:si>
    <x:t xml:space="preserve">1|委托时间</x:t>
  </x:si>
  <x:si>
    <x:t xml:space="preserve">1|中文意图</x:t>
  </x:si>
  <x:si>
    <x:t xml:space="preserve">1|委托价格</x:t>
  </x:si>
  <x:si>
    <x:t xml:space="preserve">1|委托数量</x:t>
  </x:si>
  <x:si>
    <x:t xml:space="preserve">1|实际成交数量</x:t>
  </x:si>
  <x:si>
    <x:t xml:space="preserve">1|最终状态</x:t>
  </x:si>
  <x:si>
    <x:t xml:space="preserve">1|仓位变化</x:t>
  </x:si>
  <x:si>
    <x:t xml:space="preserve">1|中文事实说明</x:t>
  </x:si>
  <x:si>
    <x:t xml:space="preserve">2|委托时间</x:t>
  </x:si>
  <x:si>
    <x:t xml:space="preserve">2|中文意图</x:t>
  </x:si>
  <x:si>
    <x:t xml:space="preserve">2|委托价格</x:t>
  </x:si>
  <x:si>
    <x:t xml:space="preserve">2|委托数量</x:t>
  </x:si>
  <x:si>
    <x:t xml:space="preserve">2|实际成交数量</x:t>
  </x:si>
  <x:si>
    <x:t xml:space="preserve">2|最终状态</x:t>
  </x:si>
  <x:si>
    <x:t xml:space="preserve">2|仓位变化</x:t>
  </x:si>
  <x:si>
    <x:t xml:space="preserve">2|中文事实说明</x:t>
  </x:si>
  <x:si>
    <x:t xml:space="preserve">3|委托时间</x:t>
  </x:si>
  <x:si>
    <x:t xml:space="preserve">3|中文意图</x:t>
  </x:si>
  <x:si>
    <x:t xml:space="preserve">3|委托价格</x:t>
  </x:si>
  <x:si>
    <x:t xml:space="preserve">3|委托数量</x:t>
  </x:si>
  <x:si>
    <x:t xml:space="preserve">3|实际成交数量</x:t>
  </x:si>
  <x:si>
    <x:t xml:space="preserve">3|最终状态</x:t>
  </x:si>
  <x:si>
    <x:t xml:space="preserve">3|仓位变化</x:t>
  </x:si>
  <x:si>
    <x:t xml:space="preserve">3|中文事实说明</x:t>
  </x:si>
  <x:si>
    <x:t xml:space="preserve">4|委托时间</x:t>
  </x:si>
  <x:si>
    <x:t xml:space="preserve">4|中文意图</x:t>
  </x:si>
  <x:si>
    <x:t xml:space="preserve">4|委托价格</x:t>
  </x:si>
  <x:si>
    <x:t xml:space="preserve">4|委托数量</x:t>
  </x:si>
  <x:si>
    <x:t xml:space="preserve">4|实际成交数量</x:t>
  </x:si>
  <x:si>
    <x:t xml:space="preserve">4|最终状态</x:t>
  </x:si>
  <x:si>
    <x:t xml:space="preserve">4|仓位变化</x:t>
  </x:si>
  <x:si>
    <x:t xml:space="preserve">4|中文事实说明</x:t>
  </x:si>
  <x:si>
    <x:t xml:space="preserve">5|委托时间</x:t>
  </x:si>
  <x:si>
    <x:t xml:space="preserve">5|中文意图</x:t>
  </x:si>
  <x:si>
    <x:t xml:space="preserve">5|委托价格</x:t>
  </x:si>
  <x:si>
    <x:t xml:space="preserve">5|委托数量</x:t>
  </x:si>
  <x:si>
    <x:t xml:space="preserve">5|实际成交数量</x:t>
  </x:si>
  <x:si>
    <x:t xml:space="preserve">5|最终状态</x:t>
  </x:si>
  <x:si>
    <x:t xml:space="preserve">5|仓位变化</x:t>
  </x:si>
  <x:si>
    <x:t xml:space="preserve">5|中文事实说明</x:t>
  </x:si>
  <x:si>
    <x:t xml:space="preserve">6|委托时间</x:t>
  </x:si>
  <x:si>
    <x:t xml:space="preserve">6|中文意图</x:t>
  </x:si>
  <x:si>
    <x:t xml:space="preserve">6|委托价格</x:t>
  </x:si>
  <x:si>
    <x:t xml:space="preserve">6|委托数量</x:t>
  </x:si>
  <x:si>
    <x:t xml:space="preserve">6|实际成交数量</x:t>
  </x:si>
  <x:si>
    <x:t xml:space="preserve">6|最终状态</x:t>
  </x:si>
  <x:si>
    <x:t xml:space="preserve">6|仓位变化</x:t>
  </x:si>
  <x:si>
    <x:t xml:space="preserve">6|中文事实说明</x:t>
  </x:si>
  <x:si>
    <x:t xml:space="preserve">7|委托时间</x:t>
  </x:si>
  <x:si>
    <x:t xml:space="preserve">7|中文意图</x:t>
  </x:si>
  <x:si>
    <x:t xml:space="preserve">7|委托价格</x:t>
  </x:si>
  <x:si>
    <x:t xml:space="preserve">7|委托数量</x:t>
  </x:si>
  <x:si>
    <x:t xml:space="preserve">7|实际成交数量</x:t>
  </x:si>
  <x:si>
    <x:t xml:space="preserve">7|最终状态</x:t>
  </x:si>
  <x:si>
    <x:t xml:space="preserve">7|仓位变化</x:t>
  </x:si>
  <x:si>
    <x:t xml:space="preserve">7|中文事实说明</x:t>
  </x:si>
  <x:si>
    <x:t xml:space="preserve">8|委托时间</x:t>
  </x:si>
  <x:si>
    <x:t xml:space="preserve">8|中文意图</x:t>
  </x:si>
  <x:si>
    <x:t xml:space="preserve">8|委托价格</x:t>
  </x:si>
  <x:si>
    <x:t xml:space="preserve">8|委托数量</x:t>
  </x:si>
  <x:si>
    <x:t xml:space="preserve">8|实际成交数量</x:t>
  </x:si>
  <x:si>
    <x:t xml:space="preserve">8|最终状态</x:t>
  </x:si>
  <x:si>
    <x:t xml:space="preserve">8|仓位变化</x:t>
  </x:si>
  <x:si>
    <x:t xml:space="preserve">8|中文事实说明</x:t>
  </x:si>
  <x:si>
    <x:t xml:space="preserve">9|委托时间</x:t>
  </x:si>
  <x:si>
    <x:t xml:space="preserve">9|中文意图</x:t>
  </x:si>
  <x:si>
    <x:t xml:space="preserve">9|委托价格</x:t>
  </x:si>
  <x:si>
    <x:t xml:space="preserve">9|委托数量</x:t>
  </x:si>
  <x:si>
    <x:t xml:space="preserve">9|实际成交数量</x:t>
  </x:si>
  <x:si>
    <x:t xml:space="preserve">9|最终状态</x:t>
  </x:si>
  <x:si>
    <x:t xml:space="preserve">9|仓位变化</x:t>
  </x:si>
  <x:si>
    <x:t xml:space="preserve">9|中文事实说明</x:t>
  </x:si>
  <x:si>
    <x:t xml:space="preserve">10|委托时间</x:t>
  </x:si>
  <x:si>
    <x:t xml:space="preserve">10|中文意图</x:t>
  </x:si>
  <x:si>
    <x:t xml:space="preserve">10|委托价格</x:t>
  </x:si>
  <x:si>
    <x:t xml:space="preserve">10|委托数量</x:t>
  </x:si>
  <x:si>
    <x:t xml:space="preserve">10|实际成交数量</x:t>
  </x:si>
  <x:si>
    <x:t xml:space="preserve">10|最终状态</x:t>
  </x:si>
  <x:si>
    <x:t xml:space="preserve">10|仓位变化</x:t>
  </x:si>
  <x:si>
    <x:t xml:space="preserve">10|中文事实说明</x:t>
  </x:si>
  <x:si>
    <x:t xml:space="preserve">11|委托时间</x:t>
  </x:si>
  <x:si>
    <x:t xml:space="preserve">11|中文意图</x:t>
  </x:si>
  <x:si>
    <x:t xml:space="preserve">11|委托价格</x:t>
  </x:si>
  <x:si>
    <x:t xml:space="preserve">11|委托数量</x:t>
  </x:si>
  <x:si>
    <x:t xml:space="preserve">11|实际成交数量</x:t>
  </x:si>
  <x:si>
    <x:t xml:space="preserve">11|最终状态</x:t>
  </x:si>
  <x:si>
    <x:t xml:space="preserve">11|仓位变化</x:t>
  </x:si>
  <x:si>
    <x:t xml:space="preserve">11|中文事实说明</x:t>
  </x:si>
  <x:si>
    <x:t xml:space="preserve">12|委托时间</x:t>
  </x:si>
  <x:si>
    <x:t xml:space="preserve">12|中文意图</x:t>
  </x:si>
  <x:si>
    <x:t xml:space="preserve">12|委托价格</x:t>
  </x:si>
  <x:si>
    <x:t xml:space="preserve">12|委托数量</x:t>
  </x:si>
  <x:si>
    <x:t xml:space="preserve">12|实际成交数量</x:t>
  </x:si>
  <x:si>
    <x:t xml:space="preserve">12|最终状态</x:t>
  </x:si>
  <x:si>
    <x:t xml:space="preserve">12|仓位变化</x:t>
  </x:si>
  <x:si>
    <x:t xml:space="preserve">12|中文事实说明</x:t>
  </x:si>
  <x:si>
    <x:t xml:space="preserve">13|委托时间</x:t>
  </x:si>
  <x:si>
    <x:t xml:space="preserve">13|中文意图</x:t>
  </x:si>
  <x:si>
    <x:t xml:space="preserve">13|委托价格</x:t>
  </x:si>
  <x:si>
    <x:t xml:space="preserve">13|委托数量</x:t>
  </x:si>
  <x:si>
    <x:t xml:space="preserve">13|实际成交数量</x:t>
  </x:si>
  <x:si>
    <x:t xml:space="preserve">13|最终状态</x:t>
  </x:si>
  <x:si>
    <x:t xml:space="preserve">13|仓位变化</x:t>
  </x:si>
  <x:si>
    <x:t xml:space="preserve">13|中文事实说明</x:t>
  </x:si>
  <x:si>
    <x:t xml:space="preserve">14|委托时间</x:t>
  </x:si>
  <x:si>
    <x:t xml:space="preserve">14|中文意图</x:t>
  </x:si>
  <x:si>
    <x:t xml:space="preserve">14|委托价格</x:t>
  </x:si>
  <x:si>
    <x:t xml:space="preserve">14|委托数量</x:t>
  </x:si>
  <x:si>
    <x:t xml:space="preserve">14|实际成交数量</x:t>
  </x:si>
  <x:si>
    <x:t xml:space="preserve">14|最终状态</x:t>
  </x:si>
  <x:si>
    <x:t xml:space="preserve">14|仓位变化</x:t>
  </x:si>
  <x:si>
    <x:t xml:space="preserve">14|中文事实说明</x:t>
  </x:si>
  <x:si>
    <x:t xml:space="preserve">15|委托时间</x:t>
  </x:si>
  <x:si>
    <x:t xml:space="preserve">15|中文意图</x:t>
  </x:si>
  <x:si>
    <x:t xml:space="preserve">15|委托价格</x:t>
  </x:si>
  <x:si>
    <x:t xml:space="preserve">15|委托数量</x:t>
  </x:si>
  <x:si>
    <x:t xml:space="preserve">15|实际成交数量</x:t>
  </x:si>
  <x:si>
    <x:t xml:space="preserve">15|最终状态</x:t>
  </x:si>
  <x:si>
    <x:t xml:space="preserve">15|仓位变化</x:t>
  </x:si>
  <x:si>
    <x:t xml:space="preserve">15|中文事实说明</x:t>
  </x:si>
  <x:si>
    <x:t xml:space="preserve">16|委托时间</x:t>
  </x:si>
  <x:si>
    <x:t xml:space="preserve">16|中文意图</x:t>
  </x:si>
  <x:si>
    <x:t xml:space="preserve">16|委托价格</x:t>
  </x:si>
  <x:si>
    <x:t xml:space="preserve">16|委托数量</x:t>
  </x:si>
  <x:si>
    <x:t xml:space="preserve">16|实际成交数量</x:t>
  </x:si>
  <x:si>
    <x:t xml:space="preserve">16|最终状态</x:t>
  </x:si>
  <x:si>
    <x:t xml:space="preserve">16|仓位变化</x:t>
  </x:si>
  <x:si>
    <x:t xml:space="preserve">16|中文事实说明</x:t>
  </x:si>
  <x:si>
    <x:t xml:space="preserve">限价减空或平空尝试</x:t>
  </x:si>
  <x:si>
    <x:t xml:space="preserve">持仓方向＋买卖方向＋限价类型＋委托前后仓位＋实际成交量＋最终状态；reduceOnly和closePosition按正式源字段列示，缺失时不作虚构。</x:t>
  </x:si>
  <x:si>
    <x:t xml:space="preserve">限价委托实际成交1，仓位由1降至0，构成最终限价平仓。</x:t>
  </x:si>
  <x:si>
    <x:t xml:space="preserve">限价委托已挂出但成交数量为0，随后过期；仓位保持8。</x:t>
  </x:si>
  <x:si>
    <x:t xml:space="preserve">1 → 0</x:t>
  </x:si>
  <x:si>
    <x:t xml:space="preserve">限价减多或平多尝试</x:t>
  </x:si>
  <x:si>
    <x:t xml:space="preserve">限价委托已挂出但成交数量为0，随后取消；仓位保持4。</x:t>
  </x:si>
  <x:si>
    <x:t xml:space="preserve">8 → 8</x:t>
  </x:si>
  <x:si>
    <x:t xml:space="preserve">4 → 4</x:t>
  </x:si>
  <x:si>
    <x:t xml:space="preserve">限价委托已挂出但成交数量为0，随后过期；仓位保持4。</x:t>
  </x:si>
  <x:si>
    <x:t xml:space="preserve">9 → 9</x:t>
  </x:si>
  <x:si>
    <x:t xml:space="preserve">限价委托已挂出但成交数量为0，随后取消；仓位保持9。</x:t>
  </x:si>
  <x:si>
    <x:t xml:space="preserve">9 → 5</x:t>
  </x:si>
  <x:si>
    <x:t xml:space="preserve">限价委托实际成交4，仓位由9降至5，构成实际限价部分减仓。</x:t>
  </x:si>
  <x:si>
    <x:t xml:space="preserve">5 → 5</x:t>
  </x:si>
  <x:si>
    <x:t xml:space="preserve">限价委托已挂出但成交数量为0，随后取消；仓位保持5。</x:t>
  </x:si>
  <x:si>
    <x:t xml:space="preserve">7 → 7</x:t>
  </x:si>
  <x:si>
    <x:t xml:space="preserve">限价委托已挂出但成交数量为0，随后取消；仓位保持7。</x:t>
  </x:si>
  <x:si>
    <x:t xml:space="preserve">12 → 12</x:t>
  </x:si>
  <x:si>
    <x:t xml:space="preserve">限价委托已挂出但成交数量为0，随后取消；仓位保持12。</x:t>
  </x:si>
  <x:si>
    <x:t xml:space="preserve">17 → 17</x:t>
  </x:si>
  <x:si>
    <x:t xml:space="preserve">限价委托已挂出但成交数量为0，随后取消；仓位保持17。</x:t>
  </x:si>
  <x:si>
    <x:t xml:space="preserve">27.852 → 27.852</x:t>
  </x:si>
  <x:si>
    <x:t xml:space="preserve">限价委托已挂出但成交数量为0，随后取消；仓位保持27.852。</x:t>
  </x:si>
  <x:si>
    <x:t xml:space="preserve">限价委托已挂出但成交数量为0，随后过期；仓位保持27.852。</x:t>
  </x:si>
  <x:si>
    <x:t xml:space="preserve">8 → 0</x:t>
  </x:si>
  <x:si>
    <x:t xml:space="preserve">限价委托实际成交8，仓位由8降至0，构成最终限价平仓。</x:t>
  </x:si>
  <x:si>
    <x:t xml:space="preserve">0.3 → 0.1</x:t>
  </x:si>
  <x:si>
    <x:t xml:space="preserve">限价委托实际成交0.2，仓位由0.3降至0.1，构成实际限价部分减仓。</x:t>
  </x:si>
  <x:si>
    <x:t xml:space="preserve">10.026 → 10.026</x:t>
  </x:si>
  <x:si>
    <x:t xml:space="preserve">限价委托已挂出但成交数量为0，随后取消；仓位保持10.026。</x:t>
  </x:si>
  <x:si>
    <x:t xml:space="preserve">10.026 → 0</x:t>
  </x:si>
  <x:si>
    <x:t xml:space="preserve">限价委托实际成交10.026，仓位由10.026降至0，构成最终限价平仓。</x:t>
  </x:si>
  <x:si>
    <x:t xml:space="preserve">T049|7</x:t>
  </x:si>
  <x:si>
    <x:t xml:space="preserve">100 → 100</x:t>
  </x:si>
  <x:si>
    <x:t xml:space="preserve">限价委托已挂出但成交数量为0，随后取消；仓位保持100。</x:t>
  </x:si>
  <x:si>
    <x:t xml:space="preserve">200 → 200</x:t>
  </x:si>
  <x:si>
    <x:t xml:space="preserve">限价委托已挂出但成交数量为0，随后过期；仓位保持200。</x:t>
  </x:si>
  <x:si>
    <x:t xml:space="preserve">限价委托已挂出但成交数量为0，随后取消；仓位保持200。</x:t>
  </x:si>
  <x:si>
    <x:t xml:space="preserve">T049|8</x:t>
  </x:si>
  <x:si>
    <x:t xml:space="preserve">15 → 15</x:t>
  </x:si>
  <x:si>
    <x:t xml:space="preserve">限价委托已挂出但成交数量为0，随后取消；仓位保持15。</x:t>
  </x:si>
  <x:si>
    <x:t xml:space="preserve">15 → 7.5</x:t>
  </x:si>
  <x:si>
    <x:t xml:space="preserve">限价委托实际成交7.5，仓位由15降至7.5，构成实际限价部分减仓。</x:t>
  </x:si>
  <x:si>
    <x:t xml:space="preserve">7.5 → 7.5</x:t>
  </x:si>
  <x:si>
    <x:t xml:space="preserve">限价委托已挂出但成交数量为0，随后取消；仓位保持7.5。</x:t>
  </x:si>
  <x:si>
    <x:t xml:space="preserve">限价委托已挂出但成交数量为0，随后过期；仓位保持7.5。</x:t>
  </x:si>
  <x:si>
    <x:t xml:space="preserve">7.5 → 0</x:t>
  </x:si>
  <x:si>
    <x:t xml:space="preserve">限价委托实际成交7.5，仓位由7.5降至0，构成最终限价平仓。</x:t>
  </x:si>
  <x:si>
    <x:t xml:space="preserve">T049|9</x:t>
  </x:si>
  <x:si>
    <x:t xml:space="preserve">T049|10</x:t>
  </x:si>
  <x:si>
    <x:t xml:space="preserve">T049|11</x:t>
  </x:si>
  <x:si>
    <x:t xml:space="preserve">T049|12</x:t>
  </x:si>
  <x:si>
    <x:t xml:space="preserve">T049|13</x:t>
  </x:si>
  <x:si>
    <x:t xml:space="preserve">T049|14</x:t>
  </x:si>
  <x:si>
    <x:t xml:space="preserve">T049|15</x:t>
  </x:si>
  <x:si>
    <x:t xml:space="preserve">T049|16</x:t>
  </x:si>
  <x:si>
    <x:t xml:space="preserve">T120|4</x:t>
  </x:si>
  <x:si>
    <x:t xml:space="preserve">T123|3</x:t>
  </x:si>
  <x:si>
    <x:t xml:space="preserve">T123|4</x:t>
  </x:si>
  <x:si>
    <x:t xml:space="preserve">T123|5</x:t>
  </x:si>
  <x:si>
    <x:t xml:space="preserve">T123|6</x:t>
  </x:si>
  <x:si>
    <x:t xml:space="preserve">T123|7</x:t>
  </x:si>
  <x:si>
    <x:t xml:space="preserve">T123|8</x:t>
  </x:si>
  <x:si>
    <x:t xml:space="preserve">T123|9</x:t>
  </x:si>
  <x:si>
    <x:t xml:space="preserve">T125|3</x:t>
  </x:si>
  <x:si>
    <x:t xml:space="preserve">T125|4</x:t>
  </x:si>
  <x:si>
    <x:t xml:space="preserve">T125|5</x:t>
  </x:si>
  <x:si>
    <x:t xml:space="preserve">T125|6</x:t>
  </x:si>
  <x:si>
    <x:t xml:space="preserve">T125|7</x:t>
  </x:si>
  <x:si>
    <x:t xml:space="preserve">限价减仓或平仓委托尝试总数</x:t>
  </x:si>
  <x:si>
    <x:t xml:space="preserve">普通限价平仓尝试数</x:t>
  </x:si>
  <x:si>
    <x:t xml:space="preserve">条件触发生成限价平仓尝试数</x:t>
  </x:si>
  <x:si>
    <x:t xml:space="preserve">未成交限价平仓取消数</x:t>
  </x:si>
  <x:si>
    <x:t xml:space="preserve">未成交限价平仓过期数</x:t>
  </x:si>
  <x:si>
    <x:t xml:space="preserve">限价平仓部分成交后撤余数</x:t>
  </x:si>
  <x:si>
    <x:t xml:space="preserve">实际限价部分减仓数</x:t>
  </x:si>
  <x:si>
    <x:t xml:space="preserve">最终限价平仓数</x:t>
  </x:si>
  <x:si>
    <x:t xml:space="preserve">用户摘要</x:t>
  </x:si>
  <x:si>
    <x:t xml:space="preserve">统计口径</x:t>
  </x:si>
  <x:si>
    <x:t xml:space="preserve">持仓期间未发现基础限价减仓或平仓委托；最终真实出场方式为普通市价平仓。</x:t>
  </x:si>
  <x:si>
    <x:t xml:space="preserve">每张基础Order只计算一次；成交数量为0不计实际减仓或平仓；条件事件与生成基础单不重复计算实际动作。</x:t>
  </x:si>
  <x:si>
    <x:t xml:space="preserve">持仓期间挂出限价减仓或平仓委托1次，1次最终限价平仓，最终真实出场方式为普通限价平仓。</x:t>
  </x:si>
  <x:si>
    <x:t xml:space="preserve">持仓期间挂出限价减仓或平仓委托1次，1次未成交过期，最终真实出场方式为T042误触反手中的原空头结束。</x:t>
  </x:si>
  <x:si>
    <x:t xml:space="preserve">持仓期间挂出限价减仓或平仓委托16次，其中13次未成交取消，2次未成交过期，1次实际限价部分减仓，最终真实出场方式为条件止损触发平仓。</x:t>
  </x:si>
  <x:si>
    <x:t xml:space="preserve">持仓期间挂出限价减仓或平仓委托1次，1次实际限价部分减仓，最终真实出场方式为条件止损触发平仓。</x:t>
  </x:si>
  <x:si>
    <x:t xml:space="preserve">持仓期间挂出限价减仓或平仓委托4次，其中3次未成交取消，1次最终限价平仓，最终真实出场方式为普通限价平仓。</x:t>
  </x:si>
  <x:si>
    <x:t xml:space="preserve">持仓期间挂出限价减仓或平仓委托9次，其中6次未成交取消，3次未成交过期，最终真实出场方式为条件止损触发平仓。</x:t>
  </x:si>
  <x:si>
    <x:t xml:space="preserve">持仓期间挂出限价减仓或平仓委托7次，其中3次未成交取消，2次未成交过期，1次实际限价部分减仓，1次最终限价平仓，最终真实出场方式为普通限价平仓。</x:t>
  </x:si>
  <x:si>
    <x:t xml:space="preserve">前一张08:00实际总资产时间</x:t>
  </x:si>
  <x:si>
    <x:t xml:space="preserve">持仓期间外部净入金</x:t>
  </x:si>
  <x:si>
    <x:t xml:space="preserve">最大持仓时已确认资金事件滚动值</x:t>
  </x:si>
  <x:si>
    <x:t xml:space="preserve">后一张08:00实际总资产时间</x:t>
  </x:si>
  <x:si>
    <x:t xml:space="preserve">是否具备普通资金预估展示资格</x:t>
  </x:si>
  <x:si>
    <x:t xml:space="preserve">推荐用户显示方式</x:t>
  </x:si>
  <x:si>
    <x:t xml:space="preserve">反手操作前节点时间</x:t>
  </x:si>
  <x:si>
    <x:t xml:space="preserve">反手操作前已确认资金事件滚动值</x:t>
  </x:si>
  <x:si>
    <x:t xml:space="preserve">T042平仓完成节点时间</x:t>
  </x:si>
  <x:si>
    <x:t xml:space="preserve">T042平仓完成后已确认资金事件滚动值</x:t>
  </x:si>
  <x:si>
    <x:t xml:space="preserve">T043首仓完成节点时间</x:t>
  </x:si>
  <x:si>
    <x:t xml:space="preserve">T043首仓完成后已确认资金事件滚动值</x:t>
  </x:si>
  <x:si>
    <x:t xml:space="preserve">资金展示限制说明</x:t>
  </x:si>
  <x:si>
    <x:t xml:space="preserve">2026-05-26 08:00:00</x:t>
  </x:si>
  <x:si>
    <x:t xml:space="preserve">14557.38</x:t>
  </x:si>
  <x:si>
    <x:t xml:space="preserve">1.52376</x:t>
  </x:si>
  <x:si>
    <x:t xml:space="preserve">29075.666235</x:t>
  </x:si>
  <x:si>
    <x:t xml:space="preserve">2026-05-27 08:00:00</x:t>
  </x:si>
  <x:si>
    <x:t xml:space="preserve">15546.43</x:t>
  </x:si>
  <x:si>
    <x:t xml:space="preserve">-13533.04998</x:t>
  </x:si>
  <x:si>
    <x:t xml:space="preserve">0.92963500162804021053238975694802224026576210829146453551394550392996541960160413</x:t>
  </x:si>
  <x:si>
    <x:t xml:space="preserve">B｜大部分闭环，剩余差额有明确类别但无法精确分配</x:t>
  </x:si>
  <x:si>
    <x:t xml:space="preserve">已确认资金事件滚动值＋未分配快照差额</x:t>
  </x:si>
  <x:si>
    <x:t xml:space="preserve">已确认资金事件滚动值只累计现有证据能够确认的资金事件，不等于实时账户余额或实时总权益。未分配快照差额保留在账户层，不归因于当前交易。</x:t>
  </x:si>
  <x:si>
    <x:t xml:space="preserve">0.927029500499917817278900869447712624240459495612482158553532135392947098365246</x:t>
  </x:si>
  <x:si>
    <x:t xml:space="preserve">0.91089968827241207683417551733155617043891986738765490421035759779316860832960748</x:t>
  </x:si>
  <x:si>
    <x:t xml:space="preserve">见T043反手三节点</x:t>
  </x:si>
  <x:si>
    <x:t xml:space="preserve">已确认资金事件滚动值只累计现有证据能够确认的资金事件，不等于实时账户余额或实时总权益。未分配快照差额保留在账户层，不归因于当前交易。T042平仓和T043首仓同秒，仅展示可证实的三节点逻辑顺序，不伪造毫秒时间。</x:t>
  </x:si>
  <x:si>
    <x:t xml:space="preserve">97.26684288</x:t>
  </x:si>
  <x:si>
    <x:t xml:space="preserve">13.990727460903304726772300693820600546646533764024541753473881381524876239989296</x:t>
  </x:si>
  <x:si>
    <x:t xml:space="preserve">已确认资金事件滚动值只累计现有证据能够确认的资金事件，不等于实时账户余额或实时总权益。未分配快照差额保留在账户层，不归因于当前交易。按已确认资金事件计算的滚动结果为负，不能解释为真实账户总资产。</x:t>
  </x:si>
  <x:si>
    <x:t xml:space="preserve">65339.94802808</x:t>
  </x:si>
  <x:si>
    <x:t xml:space="preserve">0.79779870836233513196076333028796022206164979034684529710960778365527909385262104</x:t>
  </x:si>
  <x:si>
    <x:t xml:space="preserve">1.96782394</x:t>
  </x:si>
  <x:si>
    <x:t xml:space="preserve">1.84762712</x:t>
  </x:si>
  <x:si>
    <x:t xml:space="preserve">0.02104059034100661416317064700646248049081321874638256766843762848121729342216084</x:t>
  </x:si>
  <x:si>
    <x:t xml:space="preserve">2026-06-16 08:00:00</x:t>
  </x:si>
  <x:si>
    <x:t xml:space="preserve">46073.12</x:t>
  </x:si>
  <x:si>
    <x:t xml:space="preserve">42176.10517125</x:t>
  </x:si>
  <x:si>
    <x:t xml:space="preserve">-17816.44088891</x:t>
  </x:si>
  <x:si>
    <x:t xml:space="preserve">0.38669924869229607198296967950075879384769253742746312817538729740898814753591682</x:t>
  </x:si>
  <x:si>
    <x:t xml:space="preserve">3240.0121824</x:t>
  </x:si>
  <x:si>
    <x:t xml:space="preserve">-0.03132295</x:t>
  </x:si>
  <x:si>
    <x:t xml:space="preserve">9.16352811</x:t>
  </x:si>
  <x:si>
    <x:t xml:space="preserve">6295.64028156</x:t>
  </x:si>
  <x:si>
    <x:t xml:space="preserve">0.28517291031196440936514805214754894721860075468172282173841263456451792339398527</x:t>
  </x:si>
  <x:si>
    <x:t xml:space="preserve">-7.1649103</x:t>
  </x:si>
  <x:si>
    <x:t xml:space="preserve">56.75668206</x:t>
  </x:si>
  <x:si>
    <x:t xml:space="preserve">-8047.82893011</x:t>
  </x:si>
  <x:si>
    <x:t xml:space="preserve">1.0679418461072573606716066431498190849560379791384083791604321722974908500812127</x:t>
  </x:si>
  <x:si>
    <x:t xml:space="preserve">原始枚举值（技术字段）</x:t>
  </x:si>
  <x:si>
    <x:t xml:space="preserve">中文显示值（用户字段）</x:t>
  </x:si>
  <x:si>
    <x:t xml:space="preserve">枚举类别</x:t>
  </x:si>
  <x:si>
    <x:t xml:space="preserve">是否实际出现</x:t>
  </x:si>
  <x:si>
    <x:t xml:space="preserve">实际出现次数</x:t>
  </x:si>
  <x:si>
    <x:t xml:space="preserve">扫描来源</x:t>
  </x:si>
  <x:si>
    <x:t xml:space="preserve">映射状态</x:t>
  </x:si>
  <x:si>
    <x:t xml:space="preserve">用户可见字段是否保留英文原值</x:t>
  </x:si>
  <x:si>
    <x:t xml:space="preserve">ADD</x:t>
  </x:si>
  <x:si>
    <x:t xml:space="preserve">加仓</x:t>
  </x:si>
  <x:si>
    <x:t xml:space="preserve">仓位动作</x:t>
  </x:si>
  <x:si>
    <x:t xml:space="preserve">阶段05_Order.order_position_role</x:t>
  </x:si>
  <x:si>
    <x:t xml:space="preserve">02_仓位完整操作链.买卖方向｜阶段05_Order.side</x:t>
  </x:si>
  <x:si>
    <x:t xml:space="preserve">CANCELED</x:t>
  </x:si>
  <x:si>
    <x:t xml:space="preserve">阶段05_Order.order_status</x:t>
  </x:si>
  <x:si>
    <x:t xml:space="preserve">CANCELLED</x:t>
  </x:si>
  <x:si>
    <x:t xml:space="preserve">否｜固定映射预置</x:t>
  </x:si>
  <x:si>
    <x:t xml:space="preserve">D2-C固定映射清单</x:t>
  </x:si>
  <x:si>
    <x:t xml:space="preserve">CLOSE_FULL</x:t>
  </x:si>
  <x:si>
    <x:t xml:space="preserve">全部平仓</x:t>
  </x:si>
  <x:si>
    <x:t xml:space="preserve">EXPIRED</x:t>
  </x:si>
  <x:si>
    <x:t xml:space="preserve">EXPIRED_IN_MATCH</x:t>
  </x:si>
  <x:si>
    <x:t xml:space="preserve">撮合中过期</x:t>
  </x:si>
  <x:si>
    <x:t xml:space="preserve">FALSE</x:t>
  </x:si>
  <x:si>
    <x:t xml:space="preserve">布尔值</x:t>
  </x:si>
  <x:si>
    <x:t xml:space="preserve">FILLED</x:t>
  </x:si>
  <x:si>
    <x:t xml:space="preserve">125</x:t>
  </x:si>
  <x:si>
    <x:t xml:space="preserve">02_仓位完整操作链.委托类型｜阶段05_Order.order_type</x:t>
  </x:si>
  <x:si>
    <x:t xml:space="preserve">LONG</x:t>
  </x:si>
  <x:si>
    <x:t xml:space="preserve">阶段05_Order.position_side</x:t>
  </x:si>
  <x:si>
    <x:t xml:space="preserve">MARKET</x:t>
  </x:si>
  <x:si>
    <x:t xml:space="preserve">阶段05_Order.order_type</x:t>
  </x:si>
  <x:si>
    <x:t xml:space="preserve">NEW</x:t>
  </x:si>
  <x:si>
    <x:t xml:space="preserve">已挂出</x:t>
  </x:si>
  <x:si>
    <x:t xml:space="preserve">OPEN</x:t>
  </x:si>
  <x:si>
    <x:t xml:space="preserve">开仓</x:t>
  </x:si>
  <x:si>
    <x:t xml:space="preserve">PARTIALLY_FILLED</x:t>
  </x:si>
  <x:si>
    <x:t xml:space="preserve">部分成交</x:t>
  </x:si>
  <x:si>
    <x:t xml:space="preserve">REDUCE</x:t>
  </x:si>
  <x:si>
    <x:t xml:space="preserve">减仓</x:t>
  </x:si>
  <x:si>
    <x:t xml:space="preserve">81</x:t>
  </x:si>
  <x:si>
    <x:t xml:space="preserve">SHORT</x:t>
  </x:si>
  <x:si>
    <x:t xml:space="preserve">STOP</x:t>
  </x:si>
  <x:si>
    <x:t xml:space="preserve">限价止损</x:t>
  </x:si>
  <x:si>
    <x:t xml:space="preserve">STOP_MARKET</x:t>
  </x:si>
  <x:si>
    <x:t xml:space="preserve">TAKE_PROFIT</x:t>
  </x:si>
  <x:si>
    <x:t xml:space="preserve">限价止盈</x:t>
  </x:si>
  <x:si>
    <x:t xml:space="preserve">TAKE_PROFIT_MARKET</x:t>
  </x:si>
  <x:si>
    <x:t xml:space="preserve">TRAILING_STOP_MARKET</x:t>
  </x:si>
  <x:si>
    <x:t xml:space="preserve">追踪止损</x:t>
  </x:si>
  <x:si>
    <x:t xml:space="preserve">TRUE</x:t>
  </x:si>
  <x:si>
    <x:t xml:space="preserve">费用序号</x:t>
  </x:si>
  <x:si>
    <x:t xml:space="preserve">事件时间（北京时间）</x:t>
  </x:si>
  <x:si>
    <x:t xml:space="preserve">金额</x:t>
  </x:si>
  <x:si>
    <x:t xml:space="preserve">币种</x:t>
  </x:si>
  <x:si>
    <x:t xml:space="preserve">资金流水编号</x:t>
  </x:si>
  <x:si>
    <x:t xml:space="preserve">统一资金事件ID</x:t>
  </x:si>
  <x:si>
    <x:t xml:space="preserve">技术源记录ID</x:t>
  </x:si>
  <x:si>
    <x:t xml:space="preserve">对应正式Order</x:t>
  </x:si>
  <x:si>
    <x:t xml:space="preserve">对应Fill编号</x:t>
  </x:si>
  <x:si>
    <x:t xml:space="preserve">对应Fill交易ID</x:t>
  </x:si>
  <x:si>
    <x:t xml:space="preserve">Fill匹配数量</x:t>
  </x:si>
  <x:si>
    <x:t xml:space="preserve">是否可唯一匹配Fill</x:t>
  </x:si>
  <x:si>
    <x:t xml:space="preserve">是否属于T069正式周期</x:t>
  </x:si>
  <x:si>
    <x:t xml:space="preserve">是否属于首仓前其他成交或账户事件</x:t>
  </x:si>
  <x:si>
    <x:t xml:space="preserve">账户时间轴分类</x:t>
  </x:si>
  <x:si>
    <x:t xml:space="preserve">是否只影响T069开仓前资金滚动值</x:t>
  </x:si>
  <x:si>
    <x:t xml:space="preserve">是否已计入T069正式周期净结果</x:t>
  </x:si>
  <x:si>
    <x:t xml:space="preserve">事件前已确认资金事件滚动值</x:t>
  </x:si>
  <x:si>
    <x:t xml:space="preserve">事件后已确认资金事件滚动值</x:t>
  </x:si>
  <x:si>
    <x:t xml:space="preserve">修正前开仓前滚动值</x:t>
  </x:si>
  <x:si>
    <x:t xml:space="preserve">修正后开仓前滚动值</x:t>
  </x:si>
  <x:si>
    <x:t xml:space="preserve">修正前首仓节点后滚动值</x:t>
  </x:si>
  <x:si>
    <x:t xml:space="preserve">修正后首仓节点后滚动值</x:t>
  </x:si>
  <x:si>
    <x:t xml:space="preserve">修正差异</x:t>
  </x:si>
  <x:si>
    <x:t xml:space="preserve">T069正式周期净结果</x:t>
  </x:si>
  <x:si>
    <x:t xml:space="preserve">T069正式周期净结果是否改变</x:t>
  </x:si>
  <x:si>
    <x:t xml:space="preserve">时间精度</x:t>
  </x:si>
  <x:si>
    <x:t xml:space="preserve">-1.7020518</x:t>
  </x:si>
  <x:si>
    <x:t xml:space="preserve">USDT</x:t>
  </x:si>
  <x:si>
    <x:t xml:space="preserve">900307722964510</x:t>
  </x:si>
  <x:si>
    <x:t xml:space="preserve">S07-ECO-0813f42dd992f29e2c691610</x:t>
  </x:si>
  <x:si>
    <x:t xml:space="preserve">S04-8c9b68a5b356c57a67d518fd6f54</x:t>
  </x:si>
  <x:si>
    <x:t xml:space="preserve">S04-255f7f4eed7dda9bfaf6c66d7c04</x:t>
  </x:si>
  <x:si>
    <x:t xml:space="preserve">7722964510</x:t>
  </x:si>
  <x:si>
    <x:t xml:space="preserve">是｜阶段05正式首仓Order、Fill与周期ID一致</x:t>
  </x:si>
  <x:si>
    <x:t xml:space="preserve">是｜正式首仓Order完成前产生的分笔手续费</x:t>
  </x:si>
  <x:si>
    <x:t xml:space="preserve">首仓前其他已确认账户费用</x:t>
  </x:si>
  <x:si>
    <x:t xml:space="preserve">是｜并持续传导至后续滚动节点</x:t>
  </x:si>
  <x:si>
    <x:t xml:space="preserve">否｜D2-C保持阶段07继承口径，不改写正式周期净结果</x:t>
  </x:si>
  <x:si>
    <x:t xml:space="preserve">64210.39234821</x:t>
  </x:si>
  <x:si>
    <x:t xml:space="preserve">64208.69029641</x:t>
  </x:si>
  <x:si>
    <x:t xml:space="preserve">64165.84872901</x:t>
  </x:si>
  <x:si>
    <x:t xml:space="preserve">-21.4273808</x:t>
  </x:si>
  <x:si>
    <x:t xml:space="preserve">精确到秒</x:t>
  </x:si>
  <x:si>
    <x:t xml:space="preserve">原始合约流水、统一资金事件及阶段05首仓Fill在时间和金额上交叉吻合；费用补入账户滚动时间轴，但按D2-C固定口径不改写阶段07正式周期净结果。</x:t>
  </x:si>
  <x:si>
    <x:t xml:space="preserve">Binance-合约交易流水-a.xlsx｜Sheet0｜行14281；阶段05 Fill增强明细</x:t>
  </x:si>
  <x:si>
    <x:t xml:space="preserve">-11.083128</x:t>
  </x:si>
  <x:si>
    <x:t xml:space="preserve">900307722964511</x:t>
  </x:si>
  <x:si>
    <x:t xml:space="preserve">S07-ECO-51df9d976c9464742022a4a2</x:t>
  </x:si>
  <x:si>
    <x:t xml:space="preserve">S04-7ecbe4dff3cf6307b3ac365488ac</x:t>
  </x:si>
  <x:si>
    <x:t xml:space="preserve">S04-1a5117064a774314e514a168361e</x:t>
  </x:si>
  <x:si>
    <x:t xml:space="preserve">7722964511</x:t>
  </x:si>
  <x:si>
    <x:t xml:space="preserve">64197.60716841</x:t>
  </x:si>
  <x:si>
    <x:t xml:space="preserve">Binance-合约交易流水-a.xlsx｜Sheet0｜行14282；阶段05 Fill增强明细</x:t>
  </x:si>
  <x:si>
    <x:t xml:space="preserve">-2.1902372</x:t>
  </x:si>
  <x:si>
    <x:t xml:space="preserve">900307722964514</x:t>
  </x:si>
  <x:si>
    <x:t xml:space="preserve">S07-ECO-f51d867b0f6bbe45a092b239</x:t>
  </x:si>
  <x:si>
    <x:t xml:space="preserve">S04-25a3796816df3f0406161ca29d04</x:t>
  </x:si>
  <x:si>
    <x:t xml:space="preserve">S04-c071682e7a4ce32a649aac20d11f</x:t>
  </x:si>
  <x:si>
    <x:t xml:space="preserve">7722964514</x:t>
  </x:si>
  <x:si>
    <x:t xml:space="preserve">64195.41693121</x:t>
  </x:si>
  <x:si>
    <x:t xml:space="preserve">Binance-合约交易流水-a.xlsx｜Sheet0｜行14283；阶段05 Fill增强明细</x:t>
  </x:si>
  <x:si>
    <x:t xml:space="preserve">-1.97913</x:t>
  </x:si>
  <x:si>
    <x:t xml:space="preserve">900307722964513</x:t>
  </x:si>
  <x:si>
    <x:t xml:space="preserve">S07-ECO-9d8b9bc50ba7e7587605d756</x:t>
  </x:si>
  <x:si>
    <x:t xml:space="preserve">S04-e4bc221c7b9b9754fe288a0d9525</x:t>
  </x:si>
  <x:si>
    <x:t xml:space="preserve">S04-10530394a36c9c7a1cd116adffbc｜S04-880ccc12af66ec8850eda679aecc</x:t>
  </x:si>
  <x:si>
    <x:t xml:space="preserve">7722964512｜7722964513</x:t>
  </x:si>
  <x:si>
    <x:t xml:space="preserve">否｜同秒同额Fill仅能确定属于同一首仓Order</x:t>
  </x:si>
  <x:si>
    <x:t xml:space="preserve">64193.43780121</x:t>
  </x:si>
  <x:si>
    <x:t xml:space="preserve">Binance-合约交易流水-a.xlsx｜Sheet0｜行14284；阶段05 Fill增强明细</x:t>
  </x:si>
  <x:si>
    <x:t xml:space="preserve">900307722964512</x:t>
  </x:si>
  <x:si>
    <x:t xml:space="preserve">S07-ECO-79d6ad6cf971010c8e487d92</x:t>
  </x:si>
  <x:si>
    <x:t xml:space="preserve">S04-5e0d5bf0bd35bff81201fb5afd5e</x:t>
  </x:si>
  <x:si>
    <x:t xml:space="preserve">64191.45867121</x:t>
  </x:si>
  <x:si>
    <x:t xml:space="preserve">Binance-合约交易流水-a.xlsx｜Sheet0｜行14285；阶段05 Fill增强明细</x:t>
  </x:si>
  <x:si>
    <x:t xml:space="preserve">-0.0923594</x:t>
  </x:si>
  <x:si>
    <x:t xml:space="preserve">900307722964517</x:t>
  </x:si>
  <x:si>
    <x:t xml:space="preserve">S07-ECO-3db205f2b44a78e6fa9dc724</x:t>
  </x:si>
  <x:si>
    <x:t xml:space="preserve">S04-0ddea4451fa4dad8d6e3574b436e</x:t>
  </x:si>
  <x:si>
    <x:t xml:space="preserve">S04-98171d3f0b375247aaf82bd1eded</x:t>
  </x:si>
  <x:si>
    <x:t xml:space="preserve">7722964517</x:t>
  </x:si>
  <x:si>
    <x:t xml:space="preserve">64191.36631181</x:t>
  </x:si>
  <x:si>
    <x:t xml:space="preserve">Binance-合约交易流水-a.xlsx｜Sheet0｜行14286；阶段05 Fill增强明细</x:t>
  </x:si>
  <x:si>
    <x:t xml:space="preserve">2026-06-04 03:07:19</x:t>
  </x:si>
  <x:si>
    <x:t xml:space="preserve">-1.6228866</x:t>
  </x:si>
  <x:si>
    <x:t xml:space="preserve">900307722964520</x:t>
  </x:si>
  <x:si>
    <x:t xml:space="preserve">S07-ECO-5079f0b02d283a4524caa721</x:t>
  </x:si>
  <x:si>
    <x:t xml:space="preserve">S04-755939b2f2f69925258c0a111478</x:t>
  </x:si>
  <x:si>
    <x:t xml:space="preserve">S04-4d9f6fb02a6dc289f3cad3581af9</x:t>
  </x:si>
  <x:si>
    <x:t xml:space="preserve">7722964520</x:t>
  </x:si>
  <x:si>
    <x:t xml:space="preserve">64189.74342521</x:t>
  </x:si>
  <x:si>
    <x:t xml:space="preserve">Binance-合约交易流水-a.xlsx｜Sheet0｜行14287；阶段05 Fill增强明细</x:t>
  </x:si>
  <x:si>
    <x:t xml:space="preserve">2026-06-04 03:07:20</x:t>
  </x:si>
  <x:si>
    <x:t xml:space="preserve">-0.6860984</x:t>
  </x:si>
  <x:si>
    <x:t xml:space="preserve">900307722964522</x:t>
  </x:si>
  <x:si>
    <x:t xml:space="preserve">S07-ECO-778e7af5d72e8bbf85d994c9</x:t>
  </x:si>
  <x:si>
    <x:t xml:space="preserve">S04-aa02072299ffa79707da820dd52d</x:t>
  </x:si>
  <x:si>
    <x:t xml:space="preserve">S04-1e10f7b5e41d985eb0943d4b7db7</x:t>
  </x:si>
  <x:si>
    <x:t xml:space="preserve">7722964522</x:t>
  </x:si>
  <x:si>
    <x:t xml:space="preserve">64189.05732681</x:t>
  </x:si>
  <x:si>
    <x:t xml:space="preserve">Binance-合约交易流水-a.xlsx｜Sheet0｜行14288；阶段05 Fill增强明细</x:t>
  </x:si>
  <x:si>
    <x:t xml:space="preserve">2026-06-04 03:07:22</x:t>
  </x:si>
  <x:si>
    <x:t xml:space="preserve">-0.0263884</x:t>
  </x:si>
  <x:si>
    <x:t xml:space="preserve">900307722964524</x:t>
  </x:si>
  <x:si>
    <x:t xml:space="preserve">S07-ECO-4104ec18deee2e682f4b0029</x:t>
  </x:si>
  <x:si>
    <x:t xml:space="preserve">S04-4b904bc8cd744b0a6188af5f5f5a</x:t>
  </x:si>
  <x:si>
    <x:t xml:space="preserve">S04-cc2db3e8a4f59b7987e916178633</x:t>
  </x:si>
  <x:si>
    <x:t xml:space="preserve">7722964524</x:t>
  </x:si>
  <x:si>
    <x:t xml:space="preserve">64189.03093841</x:t>
  </x:si>
  <x:si>
    <x:t xml:space="preserve">Binance-合约交易流水-a.xlsx｜Sheet0｜行14289；阶段05 Fill增强明细</x:t>
  </x:si>
  <x:si>
    <x:t xml:space="preserve">-0.065971</x:t>
  </x:si>
  <x:si>
    <x:t xml:space="preserve">900307722964523</x:t>
  </x:si>
  <x:si>
    <x:t xml:space="preserve">S07-ECO-9ea66e644b310140a0ad2bbc</x:t>
  </x:si>
  <x:si>
    <x:t xml:space="preserve">S04-6f8fa554af0d89294093ec3d6531</x:t>
  </x:si>
  <x:si>
    <x:t xml:space="preserve">S04-4c351d3e3cd2929e72423f3d418f</x:t>
  </x:si>
  <x:si>
    <x:t xml:space="preserve">7722964523</x:t>
  </x:si>
  <x:si>
    <x:t xml:space="preserve">Binance-合约交易流水-a.xlsx｜Sheet0｜行14290；阶段05 Fill增强明细</x:t>
  </x:si>
  <x:si>
    <x:t xml:space="preserve">字段路径</x:t>
  </x:si>
  <x:si>
    <x:t xml:space="preserve">值</x:t>
  </x:si>
  <x:si>
    <x:t xml:space="preserve">task</x:t>
  </x:si>
  <x:si>
    <x:t xml:space="preserve">R1-D2-C｜主动交易展示数据包、限价平仓统计与T069修正</x:t>
  </x:si>
  <x:si>
    <x:t xml:space="preserve">06C_阶段结果.json</x:t>
  </x:si>
  <x:si>
    <x:t xml:space="preserve">COMPLETED</x:t>
  </x:si>
  <x:si>
    <x:t xml:space="preserve">checkpoint</x:t>
  </x:si>
  <x:si>
    <x:t xml:space="preserve">D2-C_COMPLETE_WAITING_R1-F2.3</x:t>
  </x:si>
  <x:si>
    <x:t xml:space="preserve">2026-07-21 17:15:22 +0800</x:t>
  </x:si>
  <x:si>
    <x:t xml:space="preserve">stopped</x:t>
  </x:si>
  <x:si>
    <x:t xml:space="preserve">scope_boundary</x:t>
  </x:si>
  <x:si>
    <x:t xml:space="preserve">只完成D2-C；未重跑D2-A/D2-B/D2-B.1；未执行R1-F2.3；未生成或修改Excel。</x:t>
  </x:si>
  <x:si>
    <x:t xml:space="preserve">sample[0]</x:t>
  </x:si>
  <x:si>
    <x:t xml:space="preserve">sample[1]</x:t>
  </x:si>
  <x:si>
    <x:t xml:space="preserve">sample[2]</x:t>
  </x:si>
  <x:si>
    <x:t xml:space="preserve">sample[3]</x:t>
  </x:si>
  <x:si>
    <x:t xml:space="preserve">sample[4]</x:t>
  </x:si>
  <x:si>
    <x:t xml:space="preserve">sample[5]</x:t>
  </x:si>
  <x:si>
    <x:t xml:space="preserve">sample[6]</x:t>
  </x:si>
  <x:si>
    <x:t xml:space="preserve">sample[7]</x:t>
  </x:si>
  <x:si>
    <x:t xml:space="preserve">sample[8]</x:t>
  </x:si>
  <x:si>
    <x:t xml:space="preserve">sample[9]</x:t>
  </x:si>
  <x:si>
    <x:t xml:space="preserve">R1-F2.3</x:t>
  </x:si>
  <x:si>
    <x:t xml:space="preserve">checkpoint_verification.passed</x:t>
  </x:si>
  <x:si>
    <x:t xml:space="preserve">checkpoint_verification.external_inflow_count</x:t>
  </x:si>
  <x:si>
    <x:t xml:space="preserve">checkpoint_verification.external_inflow_total</x:t>
  </x:si>
  <x:si>
    <x:t xml:space="preserve">73500</x:t>
  </x:si>
  <x:si>
    <x:t xml:space="preserve">checkpoint_verification.external_outflow_count</x:t>
  </x:si>
  <x:si>
    <x:t xml:space="preserve">checkpoint_verification.external_outflow_total</x:t>
  </x:si>
  <x:si>
    <x:t xml:space="preserve">88.57</x:t>
  </x:si>
  <x:si>
    <x:t xml:space="preserve">checkpoint_verification.rebate_642_count</x:t>
  </x:si>
  <x:si>
    <x:t xml:space="preserve">checkpoint_verification.internal_transfer_pair_count</x:t>
  </x:si>
  <x:si>
    <x:t xml:space="preserve">checkpoint_verification.ordinary_fund_estimate_eligible_count</x:t>
  </x:si>
  <x:si>
    <x:t xml:space="preserve">checkpoint_verification.negative_rolling_trade_ids[0]</x:t>
  </x:si>
  <x:si>
    <x:t xml:space="preserve">checkpoint_verification.negative_rolling_trade_ids[1]</x:t>
  </x:si>
  <x:si>
    <x:t xml:space="preserve">checkpoint_verification.timezone_error_count</x:t>
  </x:si>
  <x:si>
    <x:t xml:space="preserve">checkpoint_verification.duplicate_fund_event_count</x:t>
  </x:si>
  <x:si>
    <x:t xml:space="preserve">checkpoint_verification.stage_02_03_05_hashes_match</x:t>
  </x:si>
  <x:si>
    <x:t xml:space="preserve">t067_correction.preopen_fee_event_count</x:t>
  </x:si>
  <x:si>
    <x:t xml:space="preserve">t067_correction.preopen_fee_total</x:t>
  </x:si>
  <x:si>
    <x:t xml:space="preserve">t067_correction.formal_open_order</x:t>
  </x:si>
  <x:si>
    <x:t xml:space="preserve">t067_correction.formal_open_fill_count</x:t>
  </x:si>
  <x:si>
    <x:t xml:space="preserve">t067_correction.old_preopen_rolling</x:t>
  </x:si>
  <x:si>
    <x:t xml:space="preserve">t067_correction.corrected_preopen_rolling</x:t>
  </x:si>
  <x:si>
    <x:t xml:space="preserve">t067_correction.old_open_node_after_rolling</x:t>
  </x:si>
  <x:si>
    <x:t xml:space="preserve">t067_correction.corrected_open_node_after_rolling</x:t>
  </x:si>
  <x:si>
    <x:t xml:space="preserve">t067_correction.formal_cycle_net</x:t>
  </x:si>
  <x:si>
    <x:t xml:space="preserve">t067_correction.formal_cycle_net_changed</x:t>
  </x:si>
  <x:si>
    <x:t xml:space="preserve">t067_correction.classification</x:t>
  </x:si>
  <x:si>
    <x:t xml:space="preserve">statistics.formal_open_record_count</x:t>
  </x:si>
  <x:si>
    <x:t xml:space="preserve">statistics.successful_add_ladder_count</x:t>
  </x:si>
  <x:si>
    <x:t xml:space="preserve">statistics.limit_reduce_close_attempt_count</x:t>
  </x:si>
  <x:si>
    <x:t xml:space="preserve">statistics.unfilled_limit_cancel_count</x:t>
  </x:si>
  <x:si>
    <x:t xml:space="preserve">statistics.unfilled_limit_expire_count</x:t>
  </x:si>
  <x:si>
    <x:t xml:space="preserve">statistics.limit_partial_fill_then_cancel_count</x:t>
  </x:si>
  <x:si>
    <x:t xml:space="preserve">statistics.actual_limit_partial_reduce_count</x:t>
  </x:si>
  <x:si>
    <x:t xml:space="preserve">statistics.final_limit_close_count</x:t>
  </x:si>
  <x:si>
    <x:t xml:space="preserve">statistics.condition_generated_limit_attempt_count</x:t>
  </x:si>
  <x:si>
    <x:t xml:space="preserve">statistics.enum_original_value_count</x:t>
  </x:si>
  <x:si>
    <x:t xml:space="preserve">statistics.enum_mapping_completed_count</x:t>
  </x:si>
  <x:si>
    <x:t xml:space="preserve">statistics.user_visible_english_enum_residual_count</x:t>
  </x:si>
  <x:si>
    <x:t xml:space="preserve">statistics.ordinary_fund_estimate_eligible_count</x:t>
  </x:si>
  <x:si>
    <x:t xml:space="preserve">statistics.confirmed_event_rolling_only_count</x:t>
  </x:si>
  <x:si>
    <x:t xml:space="preserve">statistics.error_count</x:t>
  </x:si>
  <x:si>
    <x:t xml:space="preserve">quality_checks.only_10_personal_active_trades</x:t>
  </x:si>
  <x:si>
    <x:t xml:space="preserve">quality_checks.t001_replaced_u005</x:t>
  </x:si>
  <x:si>
    <x:t xml:space="preserve">quality_checks.automatic_copy_only_account_event</x:t>
  </x:si>
  <x:si>
    <x:t xml:space="preserve">quality_checks.t067_preopen_fee_event_count</x:t>
  </x:si>
  <x:si>
    <x:t xml:space="preserve">quality_checks.t067_preopen_fee_amount</x:t>
  </x:si>
  <x:si>
    <x:t xml:space="preserve">quality_checks.t067_formal_cycle_net_unchanged</x:t>
  </x:si>
  <x:si>
    <x:t xml:space="preserve">quality_checks.formal_open_record_count</x:t>
  </x:si>
  <x:si>
    <x:t xml:space="preserve">quality_checks.successful_add_ladder_count</x:t>
  </x:si>
  <x:si>
    <x:t xml:space="preserve">quality_checks.all_adds_complete</x:t>
  </x:si>
  <x:si>
    <x:t xml:space="preserve">quality_checks.limit_reduce_close_attempt_count</x:t>
  </x:si>
  <x:si>
    <x:t xml:space="preserve">quality_checks.unfilled_limit_cancel_count</x:t>
  </x:si>
  <x:si>
    <x:t xml:space="preserve">quality_checks.unfilled_limit_expire_count</x:t>
  </x:si>
  <x:si>
    <x:t xml:space="preserve">quality_checks.limit_partial_fill_then_cancel_count</x:t>
  </x:si>
  <x:si>
    <x:t xml:space="preserve">quality_checks.actual_limit_partial_reduce_count</x:t>
  </x:si>
  <x:si>
    <x:t xml:space="preserve">quality_checks.final_limit_close_count</x:t>
  </x:si>
  <x:si>
    <x:t xml:space="preserve">quality_checks.condition_generated_limit_attempt_count</x:t>
  </x:si>
  <x:si>
    <x:t xml:space="preserve">quality_checks.enum_original_value_count</x:t>
  </x:si>
  <x:si>
    <x:t xml:space="preserve">quality_checks.enum_mapping_completed_count</x:t>
  </x:si>
  <x:si>
    <x:t xml:space="preserve">quality_checks.user_visible_english_enum_residual_count</x:t>
  </x:si>
  <x:si>
    <x:t xml:space="preserve">quality_checks.ordinary_fund_estimate_eligible_count</x:t>
  </x:si>
  <x:si>
    <x:t xml:space="preserve">quality_checks.confirmed_event_rolling_only_count</x:t>
  </x:si>
  <x:si>
    <x:t xml:space="preserve">quality_checks.t041_three_node_display</x:t>
  </x:si>
  <x:si>
    <x:t xml:space="preserve">quality_checks.t047_negative_rolling_limitation_complete</x:t>
  </x:si>
  <x:si>
    <x:t xml:space="preserve">quality_checks.t120_negative_rolling_limitation_complete</x:t>
  </x:si>
  <x:si>
    <x:t xml:space="preserve">quality_checks.unallocated_snapshot_residual_not_assigned_to_current_trade</x:t>
  </x:si>
  <x:si>
    <x:t xml:space="preserve">quality_checks.old_formal_files_modified</x:t>
  </x:si>
  <x:si>
    <x:t xml:space="preserve">quality_checks.excel_generated_or_modified</x:t>
  </x:si>
  <x:si>
    <x:t xml:space="preserve">quality_checks.error_count</x:t>
  </x:si>
  <x:si>
    <x:t xml:space="preserve">protection_check.protected_file_count</x:t>
  </x:si>
  <x:si>
    <x:t xml:space="preserve">sha256.inputs.人工复盘增强版_修正工程/R1_10笔成品原型/技术中间结果/02_仓位完整操作链.csv</x:t>
  </x:si>
  <x:si>
    <x:t xml:space="preserve">2977e338b42ccb1db1211d682a2574d24c4dd702c20b0056325e69ca3b96ede2</x:t>
  </x:si>
  <x:si>
    <x:t xml:space="preserve">sha256.inputs.人工复盘增强版_修正工程/R1_10笔成品原型/技术中间结果/03_条件委托演变链.csv</x:t>
  </x:si>
  <x:si>
    <x:t xml:space="preserve">6dcf3074854cda9b14521e060c299c38a79f5f60eb3e4c5f9b29c510100c0c18</x:t>
  </x:si>
  <x:si>
    <x:t xml:space="preserve">sha256.inputs.人工复盘增强版_修正工程/R1_10笔成品原型/技术中间结果/05_逐笔复盘汇总.csv</x:t>
  </x:si>
  <x:si>
    <x:t xml:space="preserve">d79998991a9c905bf73f98bc6c11ece0abf6ad02e0f3e2b59f35d68dc1d9e958</x:t>
  </x:si>
  <x:si>
    <x:t xml:space="preserve">sha256.inputs.人工复盘增强版_修正工程/R1_10笔成品原型/技术中间结果/06A_外部资金事件底表.csv</x:t>
  </x:si>
  <x:si>
    <x:t xml:space="preserve">17ebb8b9c09aa41dedb97dd375e8b8efdd5aa7ce2ffd7be7e6f24cd94bd40c83</x:t>
  </x:si>
  <x:si>
    <x:t xml:space="preserve">sha256.inputs.人工复盘增强版_修正工程/R1_10笔成品原型/技术中间结果/06A_阶段结果.json</x:t>
  </x:si>
  <x:si>
    <x:t xml:space="preserve">398eb201d447fd6033f482ddce3ba108a2806ace0b787207357a710d7e2baa1f</x:t>
  </x:si>
  <x:si>
    <x:t xml:space="preserve">sha256.inputs.人工复盘增强版_修正工程/R1_10笔成品原型/技术中间结果/06B_主动交易资金节点明细.csv</x:t>
  </x:si>
  <x:si>
    <x:t xml:space="preserve">76aa914238d793f21ff15b001af30954d291ceef79576075a07ec299d0af5216</x:t>
  </x:si>
  <x:si>
    <x:t xml:space="preserve">sha256.inputs.人工复盘增强版_修正工程/R1_10笔成品原型/技术中间结果/06B_成功加仓节点明细.csv</x:t>
  </x:si>
  <x:si>
    <x:t xml:space="preserve">6a1fb87bb88399e5d77435601d4e473f72c691b5d4b6a9a8b7a4930979cd4bd8</x:t>
  </x:si>
  <x:si>
    <x:t xml:space="preserve">sha256.inputs.人工复盘增强版_修正工程/R1_10笔成品原型/技术中间结果/06B_逐笔资金重建结果.csv</x:t>
  </x:si>
  <x:si>
    <x:t xml:space="preserve">ba360c90dc597849cf9a4b72fe695750187babee1857d2c937e262f4639d7be1</x:t>
  </x:si>
  <x:si>
    <x:t xml:space="preserve">sha256.inputs.人工复盘增强版_修正工程/R1_10笔成品原型/技术中间结果/06B_T043反手资金桥接.csv</x:t>
  </x:si>
  <x:si>
    <x:t xml:space="preserve">ee8fd31489fcc3135d59eed84c43df8d71ac7fc3b8e604f600fe931c2dea18fa</x:t>
  </x:si>
  <x:si>
    <x:t xml:space="preserve">sha256.inputs.人工复盘增强版_修正工程/R1_10笔成品原型/技术中间结果/06B_T049资金专项核对.csv</x:t>
  </x:si>
  <x:si>
    <x:t xml:space="preserve">89a35425a0cb38c633373818f48d94a858f0283dd131216bcc5881dc00e4ba17</x:t>
  </x:si>
  <x:si>
    <x:t xml:space="preserve">sha256.inputs.人工复盘增强版_修正工程/R1_10笔成品原型/技术中间结果/06B_阶段结果.json</x:t>
  </x:si>
  <x:si>
    <x:t xml:space="preserve">8649c9b8e84d9314da8a4d77a3579e4b0ade10f7182b54db49d87d690fab6aef</x:t>
  </x:si>
  <x:si>
    <x:t xml:space="preserve">sha256.inputs.人工复盘增强版_修正工程/R1_10笔成品原型/技术中间结果/06B1_快照区间资金闭环.csv</x:t>
  </x:si>
  <x:si>
    <x:t xml:space="preserve">5273a4c13c5192189fdb903e2d266e1c1cc0cb30685d59cf990bf5ea07f977ec</x:t>
  </x:si>
  <x:si>
    <x:t xml:space="preserve">sha256.inputs.人工复盘增强版_修正工程/R1_10笔成品原型/技术中间结果/06B1_逐笔资金展示资格.csv</x:t>
  </x:si>
  <x:si>
    <x:t xml:space="preserve">04ec9ef41dbf3d6ef77553d29efabac428af4d234619c48e0ad3b993576d50cb</x:t>
  </x:si>
  <x:si>
    <x:t xml:space="preserve">sha256.inputs.人工复盘增强版_修正工程/R1_10笔成品原型/技术中间结果/06B1_T049完整资金闭环.csv</x:t>
  </x:si>
  <x:si>
    <x:t xml:space="preserve">a58318b5c02406bd3db41f8ca86d0b08d85dd29aa70d0572f790a7e86666d82f</x:t>
  </x:si>
  <x:si>
    <x:t xml:space="preserve">sha256.inputs.人工复盘增强版_修正工程/R1_10笔成品原型/技术中间结果/06B1_T049残差归因报告.md</x:t>
  </x:si>
  <x:si>
    <x:t xml:space="preserve">ccd7cd3c2a34adcc79fe9b3c62e5a543606963d3d054c65079b42445dd2deaff</x:t>
  </x:si>
  <x:si>
    <x:t xml:space="preserve">sha256.inputs.人工复盘增强版_修正工程/R1_10笔成品原型/技术中间结果/06B1_T043展示结论.md</x:t>
  </x:si>
  <x:si>
    <x:t xml:space="preserve">7127d013ac6845d5fcf2dcbefff09fea0a03775c31baa20053a7667ee8f7887e</x:t>
  </x:si>
  <x:si>
    <x:t xml:space="preserve">sha256.inputs.人工复盘增强版_修正工程/R1_10笔成品原型/技术中间结果/06B1_阶段结果.json</x:t>
  </x:si>
  <x:si>
    <x:t xml:space="preserve">115f8c7de0b1b5ecc1bed41356be7a6abd3fabcd54fac272d6f428b349b864db</x:t>
  </x:si>
  <x:si>
    <x:t xml:space="preserve">sha256.inputs.输出_新版/05_交易事件与仓位链重建/重建数据_v2/05_Order实际执行汇总_v2.xlsx</x:t>
  </x:si>
  <x:si>
    <x:t xml:space="preserve">6b0ce9b0c3f258854af5fc2e3ed1bc06f18f5bd3b06d63878be54f358acef2b8</x:t>
  </x:si>
  <x:si>
    <x:t xml:space="preserve">sha256.inputs.输出_新版/05_交易事件与仓位链重建/重建数据_v2/05_Fill增强明细_v2.xlsx</x:t>
  </x:si>
  <x:si>
    <x:t xml:space="preserve">7f578cc5ba0f10fb5d605e5ae7c02341e98a254dfb6b6cc77ddfadba307b9d85</x:t>
  </x:si>
  <x:si>
    <x:t xml:space="preserve">sha256.inputs.输出_新版/05_交易事件与仓位链重建/重建数据_v2/05_仓位变化事件_v2.xlsx</x:t>
  </x:si>
  <x:si>
    <x:t xml:space="preserve">3d35d77ce90d599679cdb600037302752c189a660fa785e6750c547b4125d914</x:t>
  </x:si>
  <x:si>
    <x:t xml:space="preserve">sha256.inputs.输出_新版/06_人工复盘匹配/匹配结果/06_个人主动交易清单.xlsx</x:t>
  </x:si>
  <x:si>
    <x:t xml:space="preserve">0e68bb403315969e66eb90dbf37b90c1bbdf8c3ee45a07321609b0c474a2a9a6</x:t>
  </x:si>
  <x:si>
    <x:t xml:space="preserve">sha256.inputs.输出_新版/07_账户资金与权益重建/资金事件/07_统一资金事件总表.xlsx</x:t>
  </x:si>
  <x:si>
    <x:t xml:space="preserve">ac99af6dced29add3e74b2259688d04795bc1c9768c579bbc460113339015de2</x:t>
  </x:si>
  <x:si>
    <x:t xml:space="preserve">sha256.inputs.Binance-合约交易流水-a.xlsx</x:t>
  </x:si>
  <x:si>
    <x:t xml:space="preserve">dcee862006858ced9f32db8b3d985f12eaf8428ace49fdff41d5c15aa8648b7e</x:t>
  </x:si>
  <x:si>
    <x:t xml:space="preserve">sha256.outputs.人工复盘增强版_修正工程/R1_10笔成品原型/技术中间结果/06C_T069首仓前资金修正.csv</x:t>
  </x:si>
  <x:si>
    <x:t xml:space="preserve">df135c49e85dfced050e42962698c3ad118516d9203fb64ac86131a497e025fb</x:t>
  </x:si>
  <x:si>
    <x:t xml:space="preserve">sha256.outputs.人工复盘增强版_修正工程/R1_10笔成品原型/技术中间结果/06C_首仓与逐次加仓阶梯.csv</x:t>
  </x:si>
  <x:si>
    <x:t xml:space="preserve">35cd7478dbab200b4746cc9ad8a1a84b4cc0f322eb415e39b5f312408fa4526f</x:t>
  </x:si>
  <x:si>
    <x:t xml:space="preserve">sha256.outputs.人工复盘增强版_修正工程/R1_10笔成品原型/技术中间结果/06C_限价减仓平仓尝试明细.csv</x:t>
  </x:si>
  <x:si>
    <x:t xml:space="preserve">91769a22e41944f7ac3ae94858e91cbef67649e71ae93d41de4c8abf787a84d7</x:t>
  </x:si>
  <x:si>
    <x:t xml:space="preserve">sha256.outputs.人工复盘增强版_修正工程/R1_10笔成品原型/技术中间结果/06C_逐笔平仓意图汇总.csv</x:t>
  </x:si>
  <x:si>
    <x:t xml:space="preserve">0e4b9d3e1f6b9037684c6bfe7597eca3804a42ebc1d851d3699d1fb67722a0b4</x:t>
  </x:si>
  <x:si>
    <x:t xml:space="preserve">sha256.outputs.人工复盘增强版_修正工程/R1_10笔成品原型/技术中间结果/06C_资金用户展示结果.csv</x:t>
  </x:si>
  <x:si>
    <x:t xml:space="preserve">8dd35f9605d0856147b2cc09cf2a4f87148eddbe38c786d0539283c3d83f27dc</x:t>
  </x:si>
  <x:si>
    <x:t xml:space="preserve">sha256.outputs.人工复盘增强版_修正工程/R1_10笔成品原型/技术中间结果/06C_主动交易用户汇总.csv</x:t>
  </x:si>
  <x:si>
    <x:t xml:space="preserve">749ca50e7ca9bc9fd20a49f31792aa0204cb96c2b812df38e454ad6fc671f9d5</x:t>
  </x:si>
  <x:si>
    <x:t xml:space="preserve">sha256.outputs.人工复盘增强版_修正工程/R1_10笔成品原型/技术中间结果/06C_用户枚举中文映射.csv</x:t>
  </x:si>
  <x:si>
    <x:t xml:space="preserve">919ef670dcde8fdc1c52f7f6f871c513cfee6f3213b142d6083b7dd9c9783b59</x:t>
  </x:si>
  <x:si>
    <x:t xml:space="preserve">sha256.algorithm</x:t>
  </x:si>
  <x:si>
    <x:t xml:space="preserve">sha256.stage_json_hash_scope</x:t>
  </x:si>
  <x:si>
    <x:t xml:space="preserve">logical payload before self-hash field</x:t>
  </x:si>
  <x:si>
    <x:t xml:space="preserve">sha256.stage_json_logical_payload</x:t>
  </x:si>
  <x:si>
    <x:t xml:space="preserve">a3d4177dba5efb63207670507925c3b4c9c5e41f313b58c2a06e63bf0b4ed227</x:t>
  </x:si>
  <x:si>
    <x:t>三、仓位建立与调整过程｜首仓、加仓与实际减仓</x:t>
  </x:si>
  <x:si>
    <x:t>仓位建立与调整过程｜动作序号</x:t>
  </x:si>
  <x:si>
    <x:t>仓位建立与调整过程｜动作类型</x:t>
  </x:si>
  <x:si>
    <x:t>仓位建立与调整过程｜完整成交时间</x:t>
  </x:si>
  <x:si>
    <x:t>仓位建立与调整过程｜本次成交数量</x:t>
  </x:si>
  <x:si>
    <x:t>仓位建立与调整过程｜本次成交均价</x:t>
  </x:si>
  <x:si>
    <x:t>仓位建立与调整过程｜动作前总持仓</x:t>
  </x:si>
  <x:si>
    <x:t>仓位建立与调整过程｜动作后总持仓</x:t>
  </x:si>
  <x:si>
    <x:t>仓位建立与调整过程｜动作后持仓均价</x:t>
  </x:si>
  <x:si>
    <x:t>仓位建立与调整过程｜动作前滚动值</x:t>
  </x:si>
  <x:si>
    <x:t>仓位建立与调整过程｜动作后滚动值</x:t>
  </x:si>
  <x:si>
    <x:t>仓位建立与调整过程｜区间外部净入金</x:t>
  </x:si>
  <x:si>
    <x:t>仓位建立与调整过程｜部分成交后撤余</x:t>
  </x:si>
  <x:si>
    <x:t>仓位建立与调整过程｜最大总持仓</x:t>
  </x:si>
  <x:si>
    <x:t>仓位建立与调整过程｜最大持仓均价</x:t>
  </x:si>
  <x:si>
    <x:t>按真实完成成交时间顺序显示连续动作序号。</x:t>
  </x:si>
  <x:si>
    <x:t>按真实完成成交时间顺序显示正式首仓、成功加仓与实际部分减仓的动作类型。</x:t>
  </x:si>
  <x:si>
    <x:t>同一基础Order的多个Fill聚合为一个动作，以最后一笔相关Fill时间作为完成成交时间。</x:t>
  </x:si>
  <x:si>
    <x:t>同一基础Order在本周期内的实际Fill数量合计；实际减仓数量以正数绝对值显示。</x:t>
  </x:si>
  <x:si>
    <x:t>同一基础Order相关Fill按成交数量加权计算成交均价。</x:t>
  </x:si>
  <x:si>
    <x:t>显示动作发生前的绝对总持仓，并与上一行动作后总持仓连续。</x:t>
  </x:si>
  <x:si>
    <x:t>显示动作发生后的绝对总持仓；实际减仓行动作前总持仓大于动作后总持仓。</x:t>
  </x:si>
  <x:si>
    <x:t>加仓后按正式仓位成本更新；实际减仓后沿用项目冻结的剩余仓位成本口径。</x:t>
  </x:si>
  <x:si>
    <x:t>最终归零仍由第五部分展示；未成交、取消、过期、条件单状态和资金事件不进入本区块。</x:t>
  </x:si>
  <x:si>
    <x:t>06B资金节点；M1正式Order/Fill；现有技术_完整操作链</x:t>
  </x:si>
  <x:si>
    <x:t>第1次实际减仓</x:t>
  </x:si>
  <x:si>
    <x:t>3216.07985308</x:t>
  </x:si>
  <x:si>
    <x:t>-838.32014692</x:t>
  </x:si>
  <x:si>
    <x:t>06B资金节点；M1正式Order/Fill；现有技术_完整操作链；沿用技术_T067资金修正（历史名称，现对应T069）</x:t>
  </x:si>
  <x:si>
    <x:t>30571.47371501</x:t>
  </x:si>
  <x:si>
    <x:t>T087|5</x:t>
  </x:si>
  <x:si>
    <x:t>13666.65620302</x:t>
  </x:si>
  <x:si>
    <x:t>4801.58220307</x:t>
  </x:si>
</x:sst>
</file>

<file path=xl/styles.xml><?xml version="1.0" encoding="utf-8"?>
<x:styleSheet xmlns:x="http://schemas.openxmlformats.org/spreadsheetml/2006/main">
  <x:numFmts count="18">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0\ &quot;USDT&quot;;[Red]\-#,##0.00\ &quot;USDT&quot;;\-"/>
    <x:numFmt numFmtId="177" formatCode="yyyy\-mm\-dd\ hh:mm:ss"/>
    <x:numFmt numFmtId="178" formatCode="#,##0.######"/>
    <x:numFmt numFmtId="179" formatCode="yyyy\-mm\-dd"/>
    <x:numFmt numFmtId="180" formatCode="#,##0.########"/>
    <x:numFmt numFmtId="181" formatCode="#,##0.00####"/>
    <x:numFmt numFmtId="182" formatCode="0&quot; 笔&quot;"/>
    <x:numFmt numFmtId="183" formatCode="0&quot; 条&quot;"/>
    <x:numFmt numFmtId="184" formatCode="0&quot; 次&quot;"/>
    <x:numFmt numFmtId="185" formatCode="0&quot; 个&quot;"/>
    <x:numFmt numFmtId="186" formatCode="0&quot; 项&quot;"/>
    <x:numFmt numFmtId="200" formatCode="@"/>
    <x:numFmt numFmtId="201" formatCode="yyyy-mm-dd hh:mm:ss"/>
    <x:numFmt numFmtId="202" formatCode="0.00%"/>
  </x:numFmts>
  <x:fonts count="37">
    <x:font>
      <x:sz val="11"/>
      <x:name val="Carlito"/>
    </x:font>
    <x:font>
      <x:b/>
      <x:sz val="11"/>
      <x:color rgb="FFFFFFFF"/>
      <x:name val="Carlito"/>
    </x:font>
    <x:font>
      <x:b/>
      <x:sz val="8"/>
      <x:color rgb="FFFFFFFF"/>
      <x:name val="Microsoft YaHei"/>
    </x:font>
    <x:font>
      <x:sz val="8"/>
      <x:color rgb="FF111111"/>
      <x:name val="Microsoft YaHei"/>
    </x:font>
    <x:font>
      <x:b/>
      <x:sz val="15"/>
      <x:color rgb="FFFFFFFF"/>
      <x:name val="Microsoft YaHei"/>
    </x:font>
    <x:font>
      <x:b/>
      <x:sz val="10"/>
      <x:color rgb="FFFFFFFF"/>
      <x:name val="Microsoft YaHei"/>
    </x:font>
    <x:font>
      <x:sz val="9"/>
      <x:color rgb="FF5B6573"/>
      <x:name val="Microsoft YaHei"/>
    </x:font>
    <x:font>
      <x:b/>
      <x:sz val="9"/>
      <x:color rgb="FFFFFFFF"/>
      <x:name val="Microsoft YaHei"/>
    </x:font>
    <x:font>
      <x:sz val="9"/>
      <x:color rgb="FF008000"/>
      <x:name val="Microsoft YaHei"/>
    </x:font>
    <x:font>
      <x:sz val="11"/>
      <x:color rgb="FF008000"/>
      <x:name val="Carlito"/>
    </x:font>
    <x:font>
      <x:sz val="11"/>
      <x:color rgb="FF0000FF"/>
      <x:name val="Carlito"/>
    </x:font>
    <x:font>
      <x:b/>
      <x:sz val="9"/>
      <x:color rgb="FF17365D"/>
      <x:name val="Microsoft YaHei"/>
    </x:font>
    <x:font>
      <x:b/>
      <x:sz val="11"/>
      <x:color rgb="FF0000FF"/>
      <x:name val="Microsoft YaHei"/>
    </x:font>
    <x:font>
      <x:b/>
      <x:sz val="11"/>
      <x:color rgb="FFFFFFFF"/>
      <x:name val="Microsoft YaHei"/>
    </x:font>
    <x:font>
      <x:b/>
      <x:sz val="9"/>
      <x:color rgb="FFC00000"/>
      <x:name val="Microsoft YaHei"/>
    </x:font>
    <x:font>
      <x:b/>
      <x:sz val="14"/>
      <x:color rgb="FF17365D"/>
      <x:name val="Microsoft YaHei"/>
    </x:font>
    <x:font>
      <x:b/>
      <x:sz val="10"/>
      <x:color rgb="FF17365D"/>
      <x:name val="Microsoft YaHe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5">
    <x:fill>
      <x:patternFill patternType="none"/>
    </x:fill>
    <x:fill>
      <x:patternFill patternType="gray125"/>
    </x:fill>
    <x:fill>
      <x:patternFill patternType="solid">
        <x:fgColor rgb="FF117681"/>
      </x:patternFill>
    </x:fill>
    <x:fill>
      <x:patternFill patternType="solid">
        <x:fgColor rgb="FF17324D"/>
      </x:patternFill>
    </x:fill>
    <x:fill>
      <x:patternFill patternType="solid">
        <x:fgColor rgb="FF193B5B"/>
      </x:patternFill>
    </x:fill>
    <x:fill>
      <x:patternFill patternType="solid">
        <x:fgColor rgb="FF285676"/>
      </x:patternFill>
    </x:fill>
    <x:fill>
      <x:patternFill patternType="solid">
        <x:fgColor rgb="FFE5F2F7"/>
      </x:patternFill>
    </x:fill>
    <x:fill>
      <x:patternFill patternType="solid">
        <x:fgColor rgb="FF0F7F88"/>
      </x:patternFill>
    </x:fill>
    <x:fill>
      <x:patternFill patternType="solid">
        <x:fgColor rgb="FFC7E7F2"/>
      </x:patternFill>
    </x:fill>
    <x:fill>
      <x:patternFill patternType="solid">
        <x:fgColor rgb="FFFFFFFF"/>
      </x:patternFill>
    </x:fill>
    <x:fill>
      <x:patternFill patternType="solid">
        <x:fgColor rgb="FFBFE3F0"/>
      </x:patternFill>
    </x:fill>
    <x:fill>
      <x:patternFill patternType="solid">
        <x:fgColor rgb="FFFFF2CC"/>
      </x:patternFill>
    </x:fill>
    <x:fill>
      <x:patternFill patternType="solid">
        <x:fgColor rgb="FFEEF2F6"/>
      </x:patternFill>
    </x:fill>
    <x:fill>
      <x:patternFill patternType="solid">
        <x:fgColor rgb="FFFCE4E4"/>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rgb="FFCFD8E3"/>
      </x:left>
      <x:right style="thin">
        <x:color rgb="FFCFD8E3"/>
      </x:right>
      <x:top style="thin">
        <x:color rgb="FFCFD8E3"/>
      </x:top>
      <x:bottom style="thin">
        <x:color rgb="FFCFD8E3"/>
      </x:bottom>
    </x:border>
    <x:border>
      <x:left style="thin">
        <x:color rgb="FFCDD8E5"/>
      </x:left>
      <x:right style="thin">
        <x:color rgb="FFCDD8E5"/>
      </x:right>
      <x:top style="thin">
        <x:color rgb="FFCDD8E5"/>
      </x:top>
      <x:bottom style="thin">
        <x:color rgb="FFCDD8E5"/>
      </x:bottom>
    </x:border>
    <x:border>
      <x:left style="medium">
        <x:color rgb="FFE6B800"/>
      </x:left>
      <x:right style="medium">
        <x:color rgb="FFE6B800"/>
      </x:right>
      <x:top style="medium">
        <x:color rgb="FFE6B800"/>
      </x:top>
      <x:bottom style="medium">
        <x:color rgb="FFE6B8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17" fillId="0" borderId="0">
      <x:alignment vertical="center"/>
    </x:xf>
    <x:xf numFmtId="43" fontId="17" fillId="0" borderId="0" applyFont="0" applyFill="0" applyBorder="0" applyAlignment="0" applyProtection="0">
      <x:alignment vertical="center"/>
    </x:xf>
    <x:xf numFmtId="44" fontId="17" fillId="0" borderId="0" applyFont="0" applyFill="0" applyBorder="0" applyAlignment="0" applyProtection="0">
      <x:alignment vertical="center"/>
    </x:xf>
    <x:xf numFmtId="9" fontId="17" fillId="0" borderId="0" applyFont="0" applyFill="0" applyBorder="0" applyAlignment="0" applyProtection="0">
      <x:alignment vertical="center"/>
    </x:xf>
    <x:xf numFmtId="41" fontId="17" fillId="0" borderId="0" applyFont="0" applyFill="0" applyBorder="0" applyAlignment="0" applyProtection="0">
      <x:alignment vertical="center"/>
    </x:xf>
    <x:xf numFmtId="42" fontId="17" fillId="0" borderId="0" applyFon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17" fillId="14" borderId="4" applyNumberFormat="0" applyFont="0" applyAlignment="0" applyProtection="0">
      <x:alignment vertical="center"/>
    </x:xf>
    <x:xf numFmtId="0" fontId="20" fillId="0" borderId="0" applyNumberFormat="0" applyFill="0" applyBorder="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23" fillId="0" borderId="5" applyNumberFormat="0" applyFill="0" applyAlignment="0" applyProtection="0">
      <x:alignment vertical="center"/>
    </x:xf>
    <x:xf numFmtId="0" fontId="24" fillId="0" borderId="5" applyNumberFormat="0" applyFill="0" applyAlignment="0" applyProtection="0">
      <x:alignment vertical="center"/>
    </x:xf>
    <x:xf numFmtId="0" fontId="25" fillId="0" borderId="6" applyNumberFormat="0" applyFill="0" applyAlignment="0" applyProtection="0">
      <x:alignment vertical="center"/>
    </x:xf>
    <x:xf numFmtId="0" fontId="25" fillId="0" borderId="0" applyNumberFormat="0" applyFill="0" applyBorder="0" applyAlignment="0" applyProtection="0">
      <x:alignment vertical="center"/>
    </x:xf>
    <x:xf numFmtId="0" fontId="26" fillId="15" borderId="7" applyNumberFormat="0" applyAlignment="0" applyProtection="0">
      <x:alignment vertical="center"/>
    </x:xf>
    <x:xf numFmtId="0" fontId="27" fillId="16" borderId="8" applyNumberFormat="0" applyAlignment="0" applyProtection="0">
      <x:alignment vertical="center"/>
    </x:xf>
    <x:xf numFmtId="0" fontId="28" fillId="16" borderId="7" applyNumberFormat="0" applyAlignment="0" applyProtection="0">
      <x:alignment vertical="center"/>
    </x:xf>
    <x:xf numFmtId="0" fontId="29" fillId="17" borderId="9" applyNumberFormat="0" applyAlignment="0" applyProtection="0">
      <x:alignment vertical="center"/>
    </x:xf>
    <x:xf numFmtId="0" fontId="30" fillId="0" borderId="10" applyNumberFormat="0" applyFill="0" applyAlignment="0" applyProtection="0">
      <x:alignment vertical="center"/>
    </x:xf>
    <x:xf numFmtId="0" fontId="31" fillId="0" borderId="11" applyNumberFormat="0" applyFill="0" applyAlignment="0" applyProtection="0">
      <x:alignment vertical="center"/>
    </x:xf>
    <x:xf numFmtId="0" fontId="32" fillId="18" borderId="0" applyNumberFormat="0" applyBorder="0" applyAlignment="0" applyProtection="0">
      <x:alignment vertical="center"/>
    </x:xf>
    <x:xf numFmtId="0" fontId="33" fillId="19" borderId="0" applyNumberFormat="0" applyBorder="0" applyAlignment="0" applyProtection="0">
      <x:alignment vertical="center"/>
    </x:xf>
    <x:xf numFmtId="0" fontId="34" fillId="20" borderId="0" applyNumberFormat="0" applyBorder="0" applyAlignment="0" applyProtection="0">
      <x:alignment vertical="center"/>
    </x:xf>
    <x:xf numFmtId="0" fontId="35" fillId="21" borderId="0" applyNumberFormat="0" applyBorder="0" applyAlignment="0" applyProtection="0">
      <x:alignment vertical="center"/>
    </x:xf>
    <x:xf numFmtId="0" fontId="36" fillId="22" borderId="0" applyNumberFormat="0" applyBorder="0" applyAlignment="0" applyProtection="0">
      <x:alignment vertical="center"/>
    </x:xf>
    <x:xf numFmtId="0" fontId="36" fillId="23" borderId="0" applyNumberFormat="0" applyBorder="0" applyAlignment="0" applyProtection="0">
      <x:alignment vertical="center"/>
    </x:xf>
    <x:xf numFmtId="0" fontId="35" fillId="24" borderId="0" applyNumberFormat="0" applyBorder="0" applyAlignment="0" applyProtection="0">
      <x:alignment vertical="center"/>
    </x:xf>
    <x:xf numFmtId="0" fontId="35" fillId="25" borderId="0" applyNumberFormat="0" applyBorder="0" applyAlignment="0" applyProtection="0">
      <x:alignment vertical="center"/>
    </x:xf>
    <x:xf numFmtId="0" fontId="36" fillId="26" borderId="0" applyNumberFormat="0" applyBorder="0" applyAlignment="0" applyProtection="0">
      <x:alignment vertical="center"/>
    </x:xf>
    <x:xf numFmtId="0" fontId="36" fillId="27" borderId="0" applyNumberFormat="0" applyBorder="0" applyAlignment="0" applyProtection="0">
      <x:alignment vertical="center"/>
    </x:xf>
    <x:xf numFmtId="0" fontId="35" fillId="28" borderId="0" applyNumberFormat="0" applyBorder="0" applyAlignment="0" applyProtection="0">
      <x:alignment vertical="center"/>
    </x:xf>
    <x:xf numFmtId="0" fontId="35" fillId="29" borderId="0" applyNumberFormat="0" applyBorder="0" applyAlignment="0" applyProtection="0">
      <x:alignment vertical="center"/>
    </x:xf>
    <x:xf numFmtId="0" fontId="36" fillId="30" borderId="0" applyNumberFormat="0" applyBorder="0" applyAlignment="0" applyProtection="0">
      <x:alignment vertical="center"/>
    </x:xf>
    <x:xf numFmtId="0" fontId="36" fillId="31" borderId="0" applyNumberFormat="0" applyBorder="0" applyAlignment="0" applyProtection="0">
      <x:alignment vertical="center"/>
    </x:xf>
    <x:xf numFmtId="0" fontId="35" fillId="32" borderId="0" applyNumberFormat="0" applyBorder="0" applyAlignment="0" applyProtection="0">
      <x:alignment vertical="center"/>
    </x:xf>
    <x:xf numFmtId="0" fontId="35" fillId="33" borderId="0" applyNumberFormat="0" applyBorder="0" applyAlignment="0" applyProtection="0">
      <x:alignment vertical="center"/>
    </x:xf>
    <x:xf numFmtId="0" fontId="36" fillId="34" borderId="0" applyNumberFormat="0" applyBorder="0" applyAlignment="0" applyProtection="0">
      <x:alignment vertical="center"/>
    </x:xf>
    <x:xf numFmtId="0" fontId="36" fillId="35" borderId="0" applyNumberFormat="0" applyBorder="0" applyAlignment="0" applyProtection="0">
      <x:alignment vertical="center"/>
    </x:xf>
    <x:xf numFmtId="0" fontId="35" fillId="36" borderId="0" applyNumberFormat="0" applyBorder="0" applyAlignment="0" applyProtection="0">
      <x:alignment vertical="center"/>
    </x:xf>
    <x:xf numFmtId="0" fontId="35" fillId="37" borderId="0" applyNumberFormat="0" applyBorder="0" applyAlignment="0" applyProtection="0">
      <x:alignment vertical="center"/>
    </x:xf>
    <x:xf numFmtId="0" fontId="36" fillId="38" borderId="0" applyNumberFormat="0" applyBorder="0" applyAlignment="0" applyProtection="0">
      <x:alignment vertical="center"/>
    </x:xf>
    <x:xf numFmtId="0" fontId="36" fillId="39" borderId="0" applyNumberFormat="0" applyBorder="0" applyAlignment="0" applyProtection="0">
      <x:alignment vertical="center"/>
    </x:xf>
    <x:xf numFmtId="0" fontId="35" fillId="40" borderId="0" applyNumberFormat="0" applyBorder="0" applyAlignment="0" applyProtection="0">
      <x:alignment vertical="center"/>
    </x:xf>
    <x:xf numFmtId="0" fontId="35" fillId="41" borderId="0" applyNumberFormat="0" applyBorder="0" applyAlignment="0" applyProtection="0">
      <x:alignment vertical="center"/>
    </x:xf>
    <x:xf numFmtId="0" fontId="36" fillId="42" borderId="0" applyNumberFormat="0" applyBorder="0" applyAlignment="0" applyProtection="0">
      <x:alignment vertical="center"/>
    </x:xf>
    <x:xf numFmtId="0" fontId="36" fillId="43" borderId="0" applyNumberFormat="0" applyBorder="0" applyAlignment="0" applyProtection="0">
      <x:alignment vertical="center"/>
    </x:xf>
    <x:xf numFmtId="0" fontId="35" fillId="44" borderId="0" applyNumberFormat="0" applyBorder="0" applyAlignment="0" applyProtection="0">
      <x:alignment vertical="center"/>
    </x:xf>
    <x:xf numFmtId="0" fontId="0" fillId="0" borderId="0"/>
  </x:cellStyleXfs>
  <x:cellXfs count="69">
    <x:xf numFmtId="0" fontId="0" fillId="0" borderId="0" xfId="49"/>
    <x:xf numFmtId="0" fontId="1" fillId="2" borderId="1" xfId="49" applyFont="1" applyFill="1" applyBorder="1" applyAlignment="1">
      <x:alignment vertical="top" wrapText="1"/>
    </x:xf>
    <x:xf numFmtId="0" fontId="0" fillId="0" borderId="1" xfId="49" applyBorder="1" applyAlignment="1">
      <x:alignment vertical="top" wrapText="1"/>
    </x:xf>
    <x:xf numFmtId="0" fontId="2" fillId="3" borderId="0" xfId="49" applyFont="1" applyFill="1" applyAlignment="1"/>
    <x:xf numFmtId="0" fontId="3" fillId="0" borderId="0" xfId="49" applyFont="1" applyAlignment="1"/>
    <x:xf numFmtId="0" fontId="4" fillId="4" borderId="0" xfId="49" applyNumberFormat="1" applyFont="1" applyFill="1" applyBorder="1" applyAlignment="1">
      <x:alignment vertical="center"/>
    </x:xf>
    <x:xf numFmtId="0" fontId="5" fillId="5" borderId="0" xfId="49" applyNumberFormat="1" applyFont="1" applyFill="1" applyBorder="1" applyAlignment="1">
      <x:alignment horizontal="center" vertical="center"/>
    </x:xf>
    <x:xf numFmtId="0" fontId="6" fillId="6" borderId="0" xfId="49" applyNumberFormat="1" applyFont="1" applyFill="1" applyBorder="1" applyAlignment="1">
      <x:alignment vertical="center" wrapText="1"/>
    </x:xf>
    <x:xf numFmtId="0" fontId="7" fillId="7" borderId="2" xfId="49" applyNumberFormat="1" applyFont="1" applyFill="1" applyBorder="1" applyAlignment="1">
      <x:alignment horizontal="center" vertical="center" wrapText="1"/>
    </x:xf>
    <x:xf numFmtId="0" fontId="8" fillId="8" borderId="2" xfId="49" applyNumberFormat="1" applyFont="1" applyFill="1" applyBorder="1" applyAlignment="1">
      <x:alignment vertical="top" wrapText="1"/>
    </x:xf>
    <x:xf numFmtId="0" fontId="8" fillId="9" borderId="2" xfId="49" applyNumberFormat="1" applyFont="1" applyFill="1" applyBorder="1" applyAlignment="1">
      <x:alignment vertical="top" wrapText="1"/>
    </x:xf>
    <x:xf numFmtId="0" fontId="1" fillId="2" borderId="1" xfId="49" applyFont="1" applyFill="1" applyBorder="1" applyAlignment="1">
      <x:alignment horizontal="center" vertical="center" wrapText="1"/>
    </x:xf>
    <x:xf numFmtId="0" fontId="9" fillId="10" borderId="1" xfId="49" applyFont="1" applyFill="1" applyBorder="1" applyAlignment="1">
      <x:alignment vertical="center" wrapText="1"/>
    </x:xf>
    <x:xf numFmtId="0" fontId="10" fillId="11" borderId="1" xfId="49" applyFont="1" applyFill="1" applyBorder="1" applyAlignment="1">
      <x:alignment vertical="top" wrapText="1"/>
    </x:xf>
    <x:xf numFmtId="0" fontId="9" fillId="0" borderId="1" xfId="49" applyFont="1" applyBorder="1" applyAlignment="1">
      <x:alignment vertical="center" wrapText="1"/>
    </x:xf>
    <x:xf numFmtId="9" fontId="9" fillId="10" borderId="1" xfId="49" applyNumberFormat="1" applyFont="1" applyFill="1" applyBorder="1" applyAlignment="1">
      <x:alignment vertical="center" wrapText="1"/>
    </x:xf>
    <x:xf numFmtId="9" fontId="9" fillId="0" borderId="1" xfId="49" applyNumberFormat="1" applyFont="1" applyBorder="1" applyAlignment="1">
      <x:alignment vertical="center" wrapText="1"/>
    </x:xf>
    <x:xf numFmtId="176" fontId="9" fillId="10" borderId="1" xfId="49" applyNumberFormat="1" applyFont="1" applyFill="1" applyBorder="1" applyAlignment="1">
      <x:alignment vertical="center" wrapText="1"/>
    </x:xf>
    <x:xf numFmtId="176" fontId="9" fillId="0" borderId="1" xfId="49" applyNumberFormat="1" applyFont="1" applyBorder="1" applyAlignment="1">
      <x:alignment vertical="center" wrapText="1"/>
    </x:xf>
    <x:xf numFmtId="10" fontId="9" fillId="10" borderId="1" xfId="49" applyNumberFormat="1" applyFont="1" applyFill="1" applyBorder="1" applyAlignment="1">
      <x:alignment vertical="center" wrapText="1"/>
    </x:xf>
    <x:xf numFmtId="10" fontId="9" fillId="0" borderId="1" xfId="49" applyNumberFormat="1" applyFont="1" applyBorder="1" applyAlignment="1">
      <x:alignment vertical="center" wrapText="1"/>
    </x:xf>
    <x:xf numFmtId="0" fontId="10" fillId="11" borderId="1" xfId="49" applyFont="1" applyFill="1" applyBorder="1" applyAlignment="1">
      <x:alignment vertical="center" wrapText="1"/>
    </x:xf>
    <x:xf numFmtId="0" fontId="11" fillId="12" borderId="2" xfId="49" applyNumberFormat="1" applyFont="1" applyFill="1" applyBorder="1" applyAlignment="1">
      <x:alignment vertical="center" wrapText="1"/>
    </x:xf>
    <x:xf numFmtId="0" fontId="12" fillId="11" borderId="3" xfId="49" applyNumberFormat="1" applyFont="1" applyFill="1" applyBorder="1" applyAlignment="1">
      <x:alignment horizontal="center" vertical="center"/>
    </x:xf>
    <x:xf numFmtId="0" fontId="13" fillId="7" borderId="0" xfId="49" applyNumberFormat="1" applyFont="1" applyFill="1" applyBorder="1" applyAlignment="1">
      <x:alignment vertical="center"/>
    </x:xf>
    <x:xf numFmtId="0" fontId="8" fillId="0" borderId="2" xfId="49" applyNumberFormat="1" applyFont="1" applyFill="1" applyBorder="1" applyAlignment="1">
      <x:alignment vertical="center" wrapText="1"/>
    </x:xf>
    <x:xf numFmtId="177" fontId="8" fillId="0" borderId="2" xfId="49" applyNumberFormat="1" applyFont="1" applyFill="1" applyBorder="1" applyAlignment="1">
      <x:alignment vertical="center" wrapText="1"/>
    </x:xf>
    <x:xf numFmtId="178" fontId="8" fillId="0" borderId="2" xfId="49" applyNumberFormat="1" applyFont="1" applyFill="1" applyBorder="1" applyAlignment="1">
      <x:alignment vertical="center" wrapText="1"/>
    </x:xf>
    <x:xf numFmtId="176" fontId="8" fillId="0" borderId="2" xfId="49" applyNumberFormat="1" applyFont="1" applyFill="1" applyBorder="1" applyAlignment="1">
      <x:alignment vertical="center" wrapText="1"/>
    </x:xf>
    <x:xf numFmtId="1" fontId="8" fillId="0" borderId="2" xfId="49" applyNumberFormat="1" applyFont="1" applyFill="1" applyBorder="1" applyAlignment="1">
      <x:alignment vertical="center" wrapText="1"/>
    </x:xf>
    <x:xf numFmtId="1" fontId="8" fillId="8" borderId="2" xfId="49" applyNumberFormat="1" applyFont="1" applyFill="1" applyBorder="1" applyAlignment="1">
      <x:alignment vertical="center" wrapText="1"/>
    </x:xf>
    <x:xf numFmtId="0" fontId="8" fillId="8" borderId="2" xfId="49" applyNumberFormat="1" applyFont="1" applyFill="1" applyBorder="1" applyAlignment="1">
      <x:alignment vertical="center" wrapText="1"/>
    </x:xf>
    <x:xf numFmtId="177" fontId="8" fillId="8" borderId="2" xfId="49" applyNumberFormat="1" applyFont="1" applyFill="1" applyBorder="1" applyAlignment="1">
      <x:alignment vertical="center" wrapText="1"/>
    </x:xf>
    <x:xf numFmtId="178" fontId="8" fillId="8" borderId="2" xfId="49" applyNumberFormat="1" applyFont="1" applyFill="1" applyBorder="1" applyAlignment="1">
      <x:alignment vertical="center" wrapText="1"/>
    </x:xf>
    <x:xf numFmtId="1" fontId="8" fillId="9" borderId="2" xfId="49" applyNumberFormat="1" applyFont="1" applyFill="1" applyBorder="1" applyAlignment="1">
      <x:alignment vertical="center" wrapText="1"/>
    </x:xf>
    <x:xf numFmtId="0" fontId="8" fillId="9" borderId="2" xfId="49" applyNumberFormat="1" applyFont="1" applyFill="1" applyBorder="1" applyAlignment="1">
      <x:alignment vertical="center" wrapText="1"/>
    </x:xf>
    <x:xf numFmtId="177" fontId="8" fillId="9" borderId="2" xfId="49" applyNumberFormat="1" applyFont="1" applyFill="1" applyBorder="1" applyAlignment="1">
      <x:alignment vertical="center" wrapText="1"/>
    </x:xf>
    <x:xf numFmtId="178" fontId="8" fillId="9" borderId="2" xfId="49" applyNumberFormat="1" applyFont="1" applyFill="1" applyBorder="1" applyAlignment="1">
      <x:alignment vertical="center" wrapText="1"/>
    </x:xf>
    <x:xf numFmtId="178" fontId="11" fillId="12" borderId="2" xfId="49" applyNumberFormat="1" applyFont="1" applyFill="1" applyBorder="1" applyAlignment="1">
      <x:alignment vertical="center" wrapText="1"/>
    </x:xf>
    <x:xf numFmtId="178" fontId="8" fillId="0" borderId="2" xfId="49" applyNumberFormat="1" applyFont="1" applyFill="1" applyBorder="1" applyAlignment="1">
      <x:alignment horizontal="right" vertical="center" wrapText="1"/>
    </x:xf>
    <x:xf numFmtId="1" fontId="8" fillId="0" borderId="2" xfId="49" applyNumberFormat="1" applyFont="1" applyFill="1" applyBorder="1" applyAlignment="1">
      <x:alignment horizontal="center" vertical="center" wrapText="1"/>
    </x:xf>
    <x:xf numFmtId="0" fontId="11" fillId="12" borderId="2" xfId="49" applyNumberFormat="1" applyFont="1" applyFill="1" applyBorder="1" applyAlignment="1">
      <x:alignment horizontal="center" vertical="center" wrapText="1"/>
    </x:xf>
    <x:xf numFmtId="179" fontId="8" fillId="0" borderId="2" xfId="49" applyNumberFormat="1" applyFont="1" applyFill="1" applyBorder="1" applyAlignment="1">
      <x:alignment vertical="center" wrapText="1"/>
    </x:xf>
    <x:xf numFmtId="176" fontId="8" fillId="8" borderId="2" xfId="49" applyNumberFormat="1" applyFont="1" applyFill="1" applyBorder="1" applyAlignment="1">
      <x:alignment vertical="center" wrapText="1"/>
    </x:xf>
    <x:xf numFmtId="176" fontId="8" fillId="9" borderId="2" xfId="49" applyNumberFormat="1" applyFont="1" applyFill="1" applyBorder="1" applyAlignment="1">
      <x:alignment vertical="center" wrapText="1"/>
    </x:xf>
    <x:xf numFmtId="0" fontId="6" fillId="6" borderId="2" xfId="49" applyNumberFormat="1" applyFont="1" applyFill="1" applyBorder="1" applyAlignment="1">
      <x:alignment vertical="center" wrapText="1"/>
    </x:xf>
    <x:xf numFmtId="0" fontId="8" fillId="8" borderId="2" xfId="49" applyNumberFormat="1" applyFont="1" applyFill="1" applyBorder="1" applyAlignment="1">
      <x:alignment horizontal="left" vertical="center" wrapText="1"/>
    </x:xf>
    <x:xf numFmtId="0" fontId="8" fillId="9" borderId="2" xfId="49" applyNumberFormat="1" applyFont="1" applyFill="1" applyBorder="1" applyAlignment="1">
      <x:alignment horizontal="left" vertical="center" wrapText="1"/>
    </x:xf>
    <x:xf numFmtId="0" fontId="11" fillId="11" borderId="2" xfId="49" applyNumberFormat="1" applyFont="1" applyFill="1" applyBorder="1" applyAlignment="1">
      <x:alignment vertical="center" wrapText="1"/>
    </x:xf>
    <x:xf numFmtId="0" fontId="14" fillId="13" borderId="2" xfId="49" applyNumberFormat="1" applyFont="1" applyFill="1" applyBorder="1" applyAlignment="1">
      <x:alignment vertical="center" wrapText="1"/>
    </x:xf>
    <x:xf numFmtId="0" fontId="5" fillId="5" borderId="2" xfId="49" applyNumberFormat="1" applyFont="1" applyFill="1" applyBorder="1" applyAlignment="1">
      <x:alignment horizontal="center" vertical="center"/>
    </x:xf>
    <x:xf numFmtId="10" fontId="8" fillId="0" borderId="2" xfId="49" applyNumberFormat="1" applyFont="1" applyFill="1" applyBorder="1" applyAlignment="1">
      <x:alignment vertical="center" wrapText="1"/>
    </x:xf>
    <x:xf numFmtId="179" fontId="8" fillId="8" borderId="2" xfId="49" applyNumberFormat="1" applyFont="1" applyFill="1" applyBorder="1" applyAlignment="1">
      <x:alignment vertical="center" wrapText="1"/>
    </x:xf>
    <x:xf numFmtId="179" fontId="8" fillId="9" borderId="2" xfId="49" applyNumberFormat="1" applyFont="1" applyFill="1" applyBorder="1" applyAlignment="1">
      <x:alignment vertical="center" wrapText="1"/>
    </x:xf>
    <x:xf numFmtId="180" fontId="8" fillId="8" borderId="2" xfId="49" applyNumberFormat="1" applyFont="1" applyFill="1" applyBorder="1" applyAlignment="1">
      <x:alignment vertical="center" wrapText="1"/>
    </x:xf>
    <x:xf numFmtId="181" fontId="8" fillId="8" borderId="2" xfId="49" applyNumberFormat="1" applyFont="1" applyFill="1" applyBorder="1" applyAlignment="1">
      <x:alignment vertical="center" wrapText="1"/>
    </x:xf>
    <x:xf numFmtId="180" fontId="8" fillId="9" borderId="2" xfId="49" applyNumberFormat="1" applyFont="1" applyFill="1" applyBorder="1" applyAlignment="1">
      <x:alignment vertical="center" wrapText="1"/>
    </x:xf>
    <x:xf numFmtId="181" fontId="8" fillId="9" borderId="2" xfId="49" applyNumberFormat="1" applyFont="1" applyFill="1" applyBorder="1" applyAlignment="1">
      <x:alignment vertical="center" wrapText="1"/>
    </x:xf>
    <x:xf numFmtId="182" fontId="15" fillId="6" borderId="2" xfId="49" applyNumberFormat="1" applyFont="1" applyFill="1" applyBorder="1" applyAlignment="1">
      <x:alignment horizontal="center" vertical="center"/>
    </x:xf>
    <x:xf numFmtId="183" fontId="15" fillId="6" borderId="2" xfId="49" applyNumberFormat="1" applyFont="1" applyFill="1" applyBorder="1" applyAlignment="1">
      <x:alignment horizontal="center" vertical="center"/>
    </x:xf>
    <x:xf numFmtId="184" fontId="15" fillId="6" borderId="2" xfId="49" applyNumberFormat="1" applyFont="1" applyFill="1" applyBorder="1" applyAlignment="1">
      <x:alignment horizontal="center" vertical="center"/>
    </x:xf>
    <x:xf numFmtId="0" fontId="16" fillId="11" borderId="2" xfId="49" applyNumberFormat="1" applyFont="1" applyFill="1" applyBorder="1" applyAlignment="1">
      <x:alignment vertical="center" wrapText="1"/>
    </x:xf>
    <x:xf numFmtId="185" fontId="15" fillId="6" borderId="2" xfId="49" applyNumberFormat="1" applyFont="1" applyFill="1" applyBorder="1" applyAlignment="1">
      <x:alignment horizontal="center" vertical="center"/>
    </x:xf>
    <x:xf numFmtId="186" fontId="15" fillId="6" borderId="2" xfId="49" applyNumberFormat="1" applyFont="1" applyFill="1" applyBorder="1" applyAlignment="1">
      <x:alignment horizontal="center" vertical="center"/>
    </x:xf>
    <x:xf numFmtId="200" fontId="3" fillId="0" borderId="0" xfId="0" applyNumberFormat="1" applyFont="1" applyFill="1" applyBorder="1"/>
    <x:xf numFmtId="201" fontId="3"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8f3b61bfcb84087" /><Relationship Type="http://schemas.openxmlformats.org/officeDocument/2006/relationships/theme" Target="/xl/theme/theme1.xml" Id="Rd0296dbd784049e0" /><Relationship Type="http://schemas.openxmlformats.org/officeDocument/2006/relationships/sharedStrings" Target="/xl/sharedStrings.xml" Id="R15426a55c51b4229" /><Relationship Type="http://schemas.openxmlformats.org/officeDocument/2006/relationships/worksheet" Target="/xl/worksheets/sheet1.xml" Id="R49e47967c4c44923" /><Relationship Type="http://schemas.openxmlformats.org/officeDocument/2006/relationships/worksheet" Target="/xl/worksheets/sheet2.xml" Id="R1ec327969d7044c6" /><Relationship Type="http://schemas.openxmlformats.org/officeDocument/2006/relationships/worksheet" Target="/xl/worksheets/sheet3.xml" Id="R7e441c9fe3d24ea2" /><Relationship Type="http://schemas.openxmlformats.org/officeDocument/2006/relationships/worksheet" Target="/xl/worksheets/sheet4.xml" Id="R8a96da3d7923454b" /><Relationship Type="http://schemas.openxmlformats.org/officeDocument/2006/relationships/worksheet" Target="/xl/worksheets/sheet5.xml" Id="R7a49c4f0c11b4286" /><Relationship Type="http://schemas.openxmlformats.org/officeDocument/2006/relationships/worksheet" Target="/xl/worksheets/sheet6.xml" Id="Reb4c8eba30a84996" /><Relationship Type="http://schemas.openxmlformats.org/officeDocument/2006/relationships/worksheet" Target="/xl/worksheets/sheet7.xml" Id="R882d9a189f194561" /><Relationship Type="http://schemas.openxmlformats.org/officeDocument/2006/relationships/worksheet" Target="/xl/worksheets/sheet8.xml" Id="R33c4656c4cca4b13" /><Relationship Type="http://schemas.openxmlformats.org/officeDocument/2006/relationships/worksheet" Target="/xl/worksheets/sheet9.xml" Id="Ra940b16bdf9e46ea" /><Relationship Type="http://schemas.openxmlformats.org/officeDocument/2006/relationships/worksheet" Target="/xl/worksheets/sheet10.xml" Id="R6742002546634f54" /><Relationship Type="http://schemas.openxmlformats.org/officeDocument/2006/relationships/worksheet" Target="/xl/worksheets/sheet11.xml" Id="Rfccd76646ac94bac" /><Relationship Type="http://schemas.openxmlformats.org/officeDocument/2006/relationships/worksheet" Target="/xl/worksheets/sheet12.xml" Id="R0b1b6f8450554e47" /><Relationship Type="http://schemas.openxmlformats.org/officeDocument/2006/relationships/worksheet" Target="/xl/worksheets/sheet13.xml" Id="Ra159a8acd5224733" /><Relationship Type="http://schemas.openxmlformats.org/officeDocument/2006/relationships/worksheet" Target="/xl/worksheets/sheet14.xml" Id="R3d2a642b3dc04365" /><Relationship Type="http://schemas.openxmlformats.org/officeDocument/2006/relationships/worksheet" Target="/xl/worksheets/sheet15.xml" Id="R0ef82ffdfc1d49ab" /><Relationship Type="http://schemas.openxmlformats.org/officeDocument/2006/relationships/worksheet" Target="/xl/worksheets/sheet16.xml" Id="Rd96a6faf94f74b82" /><Relationship Type="http://schemas.openxmlformats.org/officeDocument/2006/relationships/worksheet" Target="/xl/worksheets/sheet17.xml" Id="R946cf684f4b547c4" /><Relationship Type="http://schemas.openxmlformats.org/officeDocument/2006/relationships/worksheet" Target="/xl/worksheets/sheet18.xml" Id="R2733c104ae62459f" /><Relationship Type="http://schemas.openxmlformats.org/officeDocument/2006/relationships/worksheet" Target="/xl/worksheets/sheet19.xml" Id="Ra62af256a33a46d6" /><Relationship Type="http://schemas.openxmlformats.org/officeDocument/2006/relationships/worksheet" Target="/xl/worksheets/sheet20.xml" Id="R21c32042bc7f45f2" /><Relationship Type="http://schemas.openxmlformats.org/officeDocument/2006/relationships/worksheet" Target="/xl/worksheets/sheet21.xml" Id="R6dd5e237fe7a4449" /><Relationship Type="http://schemas.openxmlformats.org/officeDocument/2006/relationships/worksheet" Target="/xl/worksheets/sheet22.xml" Id="R9c3b529ea71b47ef" /><Relationship Type="http://schemas.openxmlformats.org/officeDocument/2006/relationships/worksheet" Target="/xl/worksheets/sheet23.xml" Id="R3257b06d6b0f44fd" /></Relationships>
</file>

<file path=xl/tables/table1.xml><?xml version="1.0" encoding="utf-8"?>
<x:table xmlns:x="http://schemas.openxmlformats.org/spreadsheetml/2006/main" id="3" name="FullProcessF23" displayName="FullProcessF23" ref="A5:W226" totalsRowShown="0">
  <x:tableColumns count="23">
    <x:tableColumn id="1" name="T/U编号"/>
    <x:tableColumn id="2" name="事件时间"/>
    <x:tableColumn id="3" name="所属阶段"/>
    <x:tableColumn id="4" name="事件来源"/>
    <x:tableColumn id="5" name="用户意图"/>
    <x:tableColumn id="6" name="委托类型"/>
    <x:tableColumn id="7" name="委托价格或触发价格"/>
    <x:tableColumn id="8" name="委托数量"/>
    <x:tableColumn id="9" name="实际成交数量"/>
    <x:tableColumn id="10" name="最终状态"/>
    <x:tableColumn id="11" name="仓位变化前"/>
    <x:tableColumn id="12" name="仓位变化后"/>
    <x:tableColumn id="13" name="是否影响实际仓位"/>
    <x:tableColumn id="14" name="是否计入实际开仓"/>
    <x:tableColumn id="15" name="是否计入实际加仓"/>
    <x:tableColumn id="16" name="是否计入实际减仓"/>
    <x:tableColumn id="17" name="是否计入最终平仓"/>
    <x:tableColumn id="18" name="与上一委托的关系"/>
    <x:tableColumn id="19" name="判断等级"/>
    <x:tableColumn id="20" name="中文解释"/>
    <x:tableColumn id="21" name="是否需要人工确认"/>
    <x:tableColumn id="22" name="用户人工确认"/>
    <x:tableColumn id="23" name="关联说明"/>
  </x:tableColumns>
  <x:tableStyleInfo name="TableStyleMedium2" showFirstColumn="0" showLastColumn="0" showRowStripes="1" showColumnStripes="0"/>
</x:table>
</file>

<file path=xl/tables/table2.xml><?xml version="1.0" encoding="utf-8"?>
<x:table xmlns:x="http://schemas.openxmlformats.org/spreadsheetml/2006/main" id="4" name="FundTrajectoryF23" displayName="FundTrajectoryF23" ref="A5:Q15" totalsRowShown="0">
  <x:tableColumns count="17">
    <x:tableColumn id="1" name="T/U编号"/>
    <x:tableColumn id="2" name="正式开仓时间"/>
    <x:tableColumn id="3" name="正式平仓时间"/>
    <x:tableColumn id="4" name="前一实际08:00总资产"/>
    <x:tableColumn id="5" name="开仓前已确认事件滚动值"/>
    <x:tableColumn id="6" name="持仓期间外部入金"/>
    <x:tableColumn id="7" name="持仓期间外部出金"/>
    <x:tableColumn id="8" name="当前交易正式净结果"/>
    <x:tableColumn id="9" name="其他主动交易影响"/>
    <x:tableColumn id="10" name="自动跟单影响"/>
    <x:tableColumn id="11" name="其他账户事件"/>
    <x:tableColumn id="12" name="平仓后已确认事件滚动值"/>
    <x:tableColumn id="13" name="后一实际08:00总资产"/>
    <x:tableColumn id="14" name="未分配快照差额"/>
    <x:tableColumn id="15" name="差额比例"/>
    <x:tableColumn id="16" name="资金闭环等级"/>
    <x:tableColumn id="17" name="展示限制说明"/>
  </x:tableColumns>
  <x:tableStyleInfo name="TableStyleMedium2" showFirstColumn="0" showLastColumn="0" showRowStripes="1" showColumnStripes="0"/>
</x:table>
</file>

<file path=xl/tables/table3.xml><?xml version="1.0" encoding="utf-8"?>
<x:table xmlns:x="http://schemas.openxmlformats.org/spreadsheetml/2006/main" id="5" name="ManualReviewF23" displayName="ManualReviewF23" ref="A5:AA15" totalsRowShown="0">
  <x:tableColumns count="27">
    <x:tableColumn id="1" name="T/U编号"/>
    <x:tableColumn id="2" name="是否按计划"/>
    <x:tableColumn id="3" name="为什么多次撤单"/>
    <x:tableColumn id="4" name="是否确认方向切换"/>
    <x:tableColumn id="5" name="为什么加仓"/>
    <x:tableColumn id="6" name="为什么反复挂单或撤单"/>
    <x:tableColumn id="7" name="为什么调整止损"/>
    <x:tableColumn id="8" name="最严重错误"/>
    <x:tableColumn id="9" name="做对的动作"/>
    <x:tableColumn id="10" name="应停止操作的时点"/>
    <x:tableColumn id="11" name="正确做法"/>
    <x:tableColumn id="12" name="下次阻断规则"/>
    <x:tableColumn id="13" name="最大浮盈"/>
    <x:tableColumn id="14" name="最大浮亏"/>
    <x:tableColumn id="15" name="重新复盘结论"/>
    <x:tableColumn id="16" name="是否完成复盘"/>
    <x:tableColumn id="17" name="完成日期"/>
    <x:tableColumn id="18" name="补充证据"/>
    <x:tableColumn id="19" name="是否确认委托归属"/>
    <x:tableColumn id="20" name="是否确认止损调整"/>
    <x:tableColumn id="21" name="用户确认关系"/>
    <x:tableColumn id="22" name="自动跟单人工说明"/>
    <x:tableColumn id="23" name="备注"/>
    <x:tableColumn id="24" name="核心字段数"/>
    <x:tableColumn id="25" name="待填核心字段"/>
    <x:tableColumn id="26" name="已完成核心字段"/>
    <x:tableColumn id="27" name="完成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85b26a36db5b4703" /></Relationships>
</file>

<file path=xl/worksheets/_rels/sheet5.xml.rels>&#65279;<?xml version="1.0" encoding="utf-8"?><Relationships xmlns="http://schemas.openxmlformats.org/package/2006/relationships"><Relationship Type="http://schemas.openxmlformats.org/officeDocument/2006/relationships/table" Target="/xl/tables/table2.xml" Id="Rda366d14e28a4acd" /></Relationships>
</file>

<file path=xl/worksheets/_rels/sheet6.xml.rels>&#65279;<?xml version="1.0" encoding="utf-8"?><Relationships xmlns="http://schemas.openxmlformats.org/package/2006/relationships"><Relationship Type="http://schemas.openxmlformats.org/officeDocument/2006/relationships/table" Target="/xl/tables/table3.xml" Id="R1e169e08ece64601"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11" customWidth="1"/>
    <x:col min="2" max="3" width="12" customWidth="1"/>
    <x:col min="4" max="4" width="9" customWidth="1"/>
    <x:col min="5" max="6" width="20" customWidth="1"/>
    <x:col min="7" max="7" width="18" customWidth="1"/>
    <x:col min="8" max="8" width="24" customWidth="1"/>
    <x:col min="9" max="9" width="16" customWidth="1"/>
    <x:col min="10" max="10" width="13" customWidth="1"/>
    <x:col min="11" max="12" width="14" customWidth="1"/>
    <x:col min="13" max="13" width="28" customWidth="1"/>
    <x:col min="14" max="14" width="22" customWidth="1"/>
    <x:col min="15" max="16" width="4" customWidth="1"/>
  </x:cols>
  <x:sheetData>
    <x:row r="1" ht="28" customHeight="1">
      <x:c r="A1" s="5" t="s">
        <x:v>0</x:v>
      </x:c>
      <x:c r="B1" s="5" t="s">
        <x:v>0</x:v>
      </x:c>
      <x:c r="C1" s="5" t="s">
        <x:v>0</x:v>
      </x:c>
      <x:c r="D1" s="5" t="s">
        <x:v>0</x:v>
      </x:c>
      <x:c r="E1" s="5" t="s">
        <x:v>0</x:v>
      </x:c>
      <x:c r="F1" s="5" t="s">
        <x:v>0</x:v>
      </x:c>
      <x:c r="G1" s="5" t="s">
        <x:v>0</x:v>
      </x:c>
      <x:c r="H1" s="5" t="s">
        <x:v>0</x:v>
      </x:c>
      <x:c r="I1" s="5" t="s">
        <x:v>0</x:v>
      </x:c>
      <x:c r="J1" s="5" t="s">
        <x:v>0</x:v>
      </x:c>
      <x:c r="K1" s="5" t="s">
        <x:v>0</x:v>
      </x:c>
      <x:c r="L1" s="5" t="s">
        <x:v>0</x:v>
      </x:c>
      <x:c r="M1" s="5" t="s">
        <x:v>0</x:v>
      </x:c>
      <x:c r="N1" s="5" t="s">
        <x:v>0</x:v>
      </x:c>
    </x:row>
    <x:row r="2" ht="24" customHeight="1">
      <x:c r="A2" s="6" t="str">
        <x:f>HYPERLINK("#'账户与交易总览'!A1","总览")</x:f>
        <x:v>总览</x:v>
      </x:c>
      <x:c r="B2" s="6"/>
      <x:c r="C2" s="6" t="str">
        <x:f>HYPERLINK("#'逐笔人工复盘总表'!A1","逐笔总表")</x:f>
        <x:v>逐笔总表</x:v>
      </x:c>
      <x:c r="D2" s="6"/>
      <x:c r="E2" s="6" t="str">
        <x:f>HYPERLINK("#'单笔交易复盘卡'!A1","单笔卡")</x:f>
        <x:v>单笔卡</x:v>
      </x:c>
      <x:c r="F2" s="6"/>
      <x:c r="G2" s="6" t="str">
        <x:f>HYPERLINK("#'完整操作过程'!A1","完整过程")</x:f>
        <x:v>完整过程</x:v>
      </x:c>
      <x:c r="H2" s="6"/>
      <x:c r="I2" s="6" t="str">
        <x:f>HYPERLINK("#'账户资金轨迹'!A1","资金轨迹")</x:f>
        <x:v>资金轨迹</x:v>
      </x:c>
      <x:c r="J2" s="6"/>
      <x:c r="K2" s="6" t="str">
        <x:f>HYPERLINK("#'人工复盘完成清单'!A1","人工填写")</x:f>
        <x:v>人工填写</x:v>
      </x:c>
      <x:c r="L2" s="6"/>
      <x:c r="M2" s="6" t="str">
        <x:f>HYPERLINK("#'字段与口径说明'!A1","字段口径")</x:f>
        <x:v>字段口径</x:v>
      </x:c>
      <x:c r="N2" s="6"/>
    </x:row>
    <x:row r="3" ht="34" customHeight="1">
      <x:c r="A3" s="7" t="s">
        <x:v>1</x:v>
      </x:c>
      <x:c r="B3" s="7" t="s">
        <x:v>1</x:v>
      </x:c>
      <x:c r="C3" s="7" t="s">
        <x:v>1</x:v>
      </x:c>
      <x:c r="D3" s="7" t="s">
        <x:v>1</x:v>
      </x:c>
      <x:c r="E3" s="7" t="s">
        <x:v>1</x:v>
      </x:c>
      <x:c r="F3" s="7" t="s">
        <x:v>1</x:v>
      </x:c>
      <x:c r="G3" s="7" t="s">
        <x:v>1</x:v>
      </x:c>
      <x:c r="H3" s="7" t="s">
        <x:v>1</x:v>
      </x:c>
      <x:c r="I3" s="7" t="s">
        <x:v>1</x:v>
      </x:c>
      <x:c r="J3" s="7" t="s">
        <x:v>1</x:v>
      </x:c>
      <x:c r="K3" s="7" t="s">
        <x:v>1</x:v>
      </x:c>
      <x:c r="L3" s="7" t="s">
        <x:v>1</x:v>
      </x:c>
      <x:c r="M3" s="7" t="s">
        <x:v>1</x:v>
      </x:c>
      <x:c r="N3" s="7" t="s">
        <x:v>1</x:v>
      </x:c>
    </x:row>
    <x:row r="5">
      <x:c r="A5" s="24" t="s">
        <x:v>2</x:v>
      </x:c>
      <x:c r="B5" s="24" t="s">
        <x:v>2</x:v>
      </x:c>
      <x:c r="C5" s="24" t="s">
        <x:v>2</x:v>
      </x:c>
      <x:c r="D5" s="24" t="s">
        <x:v>3</x:v>
      </x:c>
      <x:c r="E5" s="24" t="s">
        <x:v>3</x:v>
      </x:c>
      <x:c r="F5" s="24" t="s">
        <x:v>3</x:v>
      </x:c>
      <x:c r="G5" s="24" t="s">
        <x:v>4</x:v>
      </x:c>
      <x:c r="H5" s="24" t="s">
        <x:v>4</x:v>
      </x:c>
      <x:c r="I5" s="24" t="s">
        <x:v>4</x:v>
      </x:c>
      <x:c r="J5" s="24" t="s">
        <x:v>5</x:v>
      </x:c>
      <x:c r="K5" s="24" t="s">
        <x:v>5</x:v>
      </x:c>
      <x:c r="L5" s="24" t="s">
        <x:v>5</x:v>
      </x:c>
      <x:c r="M5" s="24" t="s">
        <x:v>5</x:v>
      </x:c>
      <x:c r="N5" s="24" t="s">
        <x:v>5</x:v>
      </x:c>
    </x:row>
    <x:row r="6" ht="20.399999618530273">
      <x:c r="A6" s="58" t="n">
        <x:f>COUNTA(技术_主动交易用户汇总!$A$2:$A$11)</x:f>
        <x:v>10</x:v>
      </x:c>
      <x:c r="B6" s="58"/>
      <x:c r="C6" s="58"/>
      <x:c r="D6" s="59" t="n">
        <x:f>COUNTIF(技术_首仓加仓阶梯!$C$2:$C$25,"正式首仓")</x:f>
        <x:v>10</x:v>
      </x:c>
      <x:c r="E6" s="59"/>
      <x:c r="F6" s="59"/>
      <x:c r="G6" s="59" t="n">
        <x:f>COUNTA(技术_首仓加仓阶梯!$A$2:$A$25)-COUNTIF(技术_首仓加仓阶梯!$C$2:$C$25,"正式首仓")</x:f>
        <x:v>14</x:v>
      </x:c>
      <x:c r="H6" s="59"/>
      <x:c r="I6" s="59"/>
      <x:c r="J6" s="60" t="n">
        <x:f>COUNTA(技术_限价平仓明细!$A$2:$A$41)</x:f>
        <x:v>40</x:v>
      </x:c>
      <x:c r="K6" s="60"/>
      <x:c r="L6" s="60"/>
      <x:c r="M6" s="60"/>
      <x:c r="N6" s="60"/>
    </x:row>
    <x:row r="8">
      <x:c r="A8" s="24" t="s">
        <x:v>6</x:v>
      </x:c>
      <x:c r="B8" s="24" t="s">
        <x:v>6</x:v>
      </x:c>
      <x:c r="C8" s="24" t="s">
        <x:v>6</x:v>
      </x:c>
      <x:c r="D8" s="24" t="s">
        <x:v>7</x:v>
      </x:c>
      <x:c r="E8" s="24" t="s">
        <x:v>7</x:v>
      </x:c>
      <x:c r="F8" s="24" t="s">
        <x:v>7</x:v>
      </x:c>
      <x:c r="G8" s="24" t="s">
        <x:v>8</x:v>
      </x:c>
      <x:c r="H8" s="24" t="s">
        <x:v>8</x:v>
      </x:c>
      <x:c r="I8" s="24" t="s">
        <x:v>8</x:v>
      </x:c>
      <x:c r="J8" s="24" t="s">
        <x:v>9</x:v>
      </x:c>
      <x:c r="K8" s="24" t="s">
        <x:v>9</x:v>
      </x:c>
      <x:c r="L8" s="24" t="s">
        <x:v>9</x:v>
      </x:c>
      <x:c r="M8" s="24" t="s">
        <x:v>9</x:v>
      </x:c>
      <x:c r="N8" s="24" t="s">
        <x:v>9</x:v>
      </x:c>
    </x:row>
    <x:row r="9" ht="20.399999618530273">
      <x:c r="A9" s="60" t="n">
        <x:f>COUNTIF(技术_限价平仓明细!$L$2:$L$41,"是")</x:f>
        <x:v>25</x:v>
      </x:c>
      <x:c r="B9" s="60"/>
      <x:c r="C9" s="60"/>
      <x:c r="D9" s="60" t="n">
        <x:f>COUNTIF(技术_限价平仓明细!$M$2:$M$41,"是")</x:f>
        <x:v>8</x:v>
      </x:c>
      <x:c r="E9" s="60"/>
      <x:c r="F9" s="60"/>
      <x:c r="G9" s="60" t="n">
        <x:f>COUNTIF(技术_限价平仓明细!$O$2:$O$41,"是")</x:f>
        <x:v>3</x:v>
      </x:c>
      <x:c r="H9" s="60"/>
      <x:c r="I9" s="60"/>
      <x:c r="J9" s="58" t="n">
        <x:f>COUNTIF(技术_限价平仓明细!$P$2:$P$41,"是")</x:f>
        <x:v>4</x:v>
      </x:c>
      <x:c r="K9" s="58"/>
      <x:c r="L9" s="58"/>
      <x:c r="M9" s="58"/>
      <x:c r="N9" s="58"/>
    </x:row>
    <x:row r="11">
      <x:c r="A11" s="24" t="s">
        <x:v>10</x:v>
      </x:c>
      <x:c r="B11" s="24" t="s">
        <x:v>10</x:v>
      </x:c>
      <x:c r="C11" s="24" t="s">
        <x:v>10</x:v>
      </x:c>
      <x:c r="D11" s="24" t="s">
        <x:v>10</x:v>
      </x:c>
      <x:c r="E11" s="24" t="s">
        <x:v>10</x:v>
      </x:c>
      <x:c r="F11" s="24" t="s">
        <x:v>10</x:v>
      </x:c>
      <x:c r="G11" s="24" t="s">
        <x:v>10</x:v>
      </x:c>
      <x:c r="H11" s="24" t="s">
        <x:v>11</x:v>
      </x:c>
      <x:c r="I11" s="24" t="s">
        <x:v>11</x:v>
      </x:c>
      <x:c r="J11" s="24" t="s">
        <x:v>11</x:v>
      </x:c>
      <x:c r="K11" s="24" t="s">
        <x:v>11</x:v>
      </x:c>
      <x:c r="L11" s="24" t="s">
        <x:v>11</x:v>
      </x:c>
      <x:c r="M11" s="24" t="s">
        <x:v>11</x:v>
      </x:c>
      <x:c r="N11" s="24" t="s">
        <x:v>11</x:v>
      </x:c>
    </x:row>
    <x:row r="12" ht="20.399999618530273">
      <x:c r="A12" s="58" t="n">
        <x:f>COUNTIF(技术_资金展示结果!$S$2:$S$11,"是")</x:f>
        <x:v>0</x:v>
      </x:c>
      <x:c r="B12" s="58"/>
      <x:c r="C12" s="58"/>
      <x:c r="D12" s="58"/>
      <x:c r="E12" s="58"/>
      <x:c r="F12" s="58"/>
      <x:c r="G12" s="58"/>
      <x:c r="H12" s="62" t="n">
        <x:f>IFERROR(INDEX(技术_D2C阶段结果!$B$2:$B$400,MATCH("statistics.user_visible_english_enum_residual_count",技术_D2C阶段结果!$A$2:$A$400,0)),0)</x:f>
        <x:v>0</x:v>
      </x:c>
      <x:c r="I12" s="62"/>
      <x:c r="J12" s="62"/>
      <x:c r="K12" s="62"/>
      <x:c r="L12" s="62"/>
      <x:c r="M12" s="62"/>
      <x:c r="N12" s="62"/>
    </x:row>
    <x:row r="14">
      <x:c r="A14" s="24" t="s">
        <x:v>12</x:v>
      </x:c>
      <x:c r="B14" s="24" t="s">
        <x:v>12</x:v>
      </x:c>
      <x:c r="C14" s="24" t="s">
        <x:v>12</x:v>
      </x:c>
      <x:c r="D14" s="24" t="s">
        <x:v>12</x:v>
      </x:c>
      <x:c r="E14" s="24" t="s">
        <x:v>12</x:v>
      </x:c>
      <x:c r="F14" s="24" t="s">
        <x:v>12</x:v>
      </x:c>
      <x:c r="G14" s="24" t="s">
        <x:v>12</x:v>
      </x:c>
      <x:c r="H14" s="24" t="s">
        <x:v>12</x:v>
      </x:c>
      <x:c r="I14" s="24" t="s">
        <x:v>12</x:v>
      </x:c>
      <x:c r="J14" s="24" t="s">
        <x:v>12</x:v>
      </x:c>
      <x:c r="K14" s="24" t="s">
        <x:v>12</x:v>
      </x:c>
      <x:c r="L14" s="24" t="s">
        <x:v>12</x:v>
      </x:c>
      <x:c r="M14" s="24" t="s">
        <x:v>12</x:v>
      </x:c>
      <x:c r="N14" s="24" t="s">
        <x:v>12</x:v>
      </x:c>
    </x:row>
    <x:row r="15">
      <x:c r="A15" s="24" t="s">
        <x:v>13</x:v>
      </x:c>
      <x:c r="B15" s="24" t="s">
        <x:v>13</x:v>
      </x:c>
      <x:c r="C15" s="24" t="s">
        <x:v>13</x:v>
      </x:c>
      <x:c r="D15" s="24" t="s">
        <x:v>14</x:v>
      </x:c>
      <x:c r="E15" s="24" t="s">
        <x:v>14</x:v>
      </x:c>
      <x:c r="F15" s="24" t="s">
        <x:v>14</x:v>
      </x:c>
      <x:c r="G15" s="24" t="s">
        <x:v>15</x:v>
      </x:c>
      <x:c r="H15" s="24" t="s">
        <x:v>15</x:v>
      </x:c>
      <x:c r="I15" s="24" t="s">
        <x:v>15</x:v>
      </x:c>
      <x:c r="J15" s="24" t="s">
        <x:v>16</x:v>
      </x:c>
      <x:c r="K15" s="24" t="s">
        <x:v>16</x:v>
      </x:c>
      <x:c r="L15" s="24" t="s">
        <x:v>16</x:v>
      </x:c>
      <x:c r="M15" s="24" t="s">
        <x:v>16</x:v>
      </x:c>
      <x:c r="N15" s="24" t="s">
        <x:v>16</x:v>
      </x:c>
    </x:row>
    <x:row r="16" ht="30" customHeight="1">
      <x:c r="A16" s="58" t="n">
        <x:f>COUNTIF($N$25:$N$34,"阶段A—E＋D2-C")</x:f>
        <x:v>9</x:v>
      </x:c>
      <x:c r="B16" s="58"/>
      <x:c r="C16" s="58"/>
      <x:c r="D16" s="60" t="n">
        <x:f>SUM(逐笔人工复盘总表!$P$6:$P$15)</x:f>
        <x:v>0</x:v>
      </x:c>
      <x:c r="E16" s="60"/>
      <x:c r="F16" s="60"/>
      <x:c r="G16" s="60" t="n">
        <x:f>SUM(逐笔人工复盘总表!$Q$6:$Q$15)</x:f>
        <x:v>0</x:v>
      </x:c>
      <x:c r="H16" s="60"/>
      <x:c r="I16" s="60"/>
      <x:c r="J16" s="60" t="n">
        <x:f>SUM(逐笔人工复盘总表!$R$6:$R$15)</x:f>
        <x:v>0</x:v>
      </x:c>
      <x:c r="K16" s="60"/>
      <x:c r="L16" s="60"/>
      <x:c r="M16" s="60"/>
      <x:c r="N16" s="60"/>
    </x:row>
    <x:row r="17" ht="30" customHeight="1"/>
    <x:row r="18" ht="30" customHeight="1">
      <x:c r="A18" s="24" t="s">
        <x:v>17</x:v>
      </x:c>
      <x:c r="B18" s="24" t="s">
        <x:v>17</x:v>
      </x:c>
      <x:c r="C18" s="24" t="s">
        <x:v>17</x:v>
      </x:c>
      <x:c r="D18" s="24" t="s">
        <x:v>18</x:v>
      </x:c>
      <x:c r="E18" s="24" t="s">
        <x:v>18</x:v>
      </x:c>
      <x:c r="F18" s="24" t="s">
        <x:v>18</x:v>
      </x:c>
      <x:c r="G18" s="24" t="s">
        <x:v>19</x:v>
      </x:c>
      <x:c r="H18" s="24" t="s">
        <x:v>19</x:v>
      </x:c>
      <x:c r="I18" s="24" t="s">
        <x:v>19</x:v>
      </x:c>
      <x:c r="J18" s="24" t="s">
        <x:v>20</x:v>
      </x:c>
      <x:c r="K18" s="24" t="s">
        <x:v>20</x:v>
      </x:c>
      <x:c r="L18" s="24" t="s">
        <x:v>20</x:v>
      </x:c>
      <x:c r="M18" s="24" t="s">
        <x:v>20</x:v>
      </x:c>
      <x:c r="N18" s="24" t="s">
        <x:v>20</x:v>
      </x:c>
    </x:row>
    <x:row r="19" ht="30" customHeight="1">
      <x:c r="A19" s="60" t="n">
        <x:f>SUM(逐笔人工复盘总表!$S$6:$S$15)</x:f>
        <x:v>43</x:v>
      </x:c>
      <x:c r="B19" s="60"/>
      <x:c r="C19" s="60"/>
      <x:c r="D19" s="60" t="n">
        <x:f>SUM(逐笔人工复盘总表!$AA$6:$AA$15)</x:f>
        <x:v>0</x:v>
      </x:c>
      <x:c r="E19" s="60"/>
      <x:c r="F19" s="60"/>
      <x:c r="G19" s="60" t="n">
        <x:f>SUM(逐笔人工复盘总表!$AD$6:$AD$15)</x:f>
        <x:v>0</x:v>
      </x:c>
      <x:c r="H19" s="60"/>
      <x:c r="I19" s="60"/>
      <x:c r="J19" s="63" t="n">
        <x:f>SUM(逐笔人工复盘总表!$AG$6:$AG$15)</x:f>
        <x:v>0</x:v>
      </x:c>
      <x:c r="K19" s="63"/>
      <x:c r="L19" s="63"/>
      <x:c r="M19" s="63"/>
      <x:c r="N19" s="63"/>
    </x:row>
    <x:row r="20" ht="30" customHeight="1"/>
    <x:row r="21" ht="38" customHeight="1">
      <x:c r="A21" s="61" t="s">
        <x:v>21</x:v>
      </x:c>
      <x:c r="B21" s="61" t="s">
        <x:v>21</x:v>
      </x:c>
      <x:c r="C21" s="61" t="s">
        <x:v>21</x:v>
      </x:c>
      <x:c r="D21" s="61" t="s">
        <x:v>21</x:v>
      </x:c>
      <x:c r="E21" s="61" t="s">
        <x:v>21</x:v>
      </x:c>
      <x:c r="F21" s="61" t="s">
        <x:v>21</x:v>
      </x:c>
      <x:c r="G21" s="61" t="s">
        <x:v>21</x:v>
      </x:c>
      <x:c r="H21" s="61" t="s">
        <x:v>21</x:v>
      </x:c>
      <x:c r="I21" s="61" t="s">
        <x:v>21</x:v>
      </x:c>
      <x:c r="J21" s="61" t="s">
        <x:v>21</x:v>
      </x:c>
      <x:c r="K21" s="61" t="s">
        <x:v>21</x:v>
      </x:c>
      <x:c r="L21" s="61" t="s">
        <x:v>21</x:v>
      </x:c>
      <x:c r="M21" s="61" t="s">
        <x:v>21</x:v>
      </x:c>
      <x:c r="N21" s="61" t="s">
        <x:v>21</x:v>
      </x:c>
    </x:row>
    <x:row r="22" ht="30" customHeight="1"/>
    <x:row r="23" ht="30" customHeight="1">
      <x:c r="A23" s="24" t="s">
        <x:v>22</x:v>
      </x:c>
      <x:c r="B23" s="24" t="s">
        <x:v>22</x:v>
      </x:c>
      <x:c r="C23" s="24" t="s">
        <x:v>22</x:v>
      </x:c>
      <x:c r="D23" s="24" t="s">
        <x:v>22</x:v>
      </x:c>
      <x:c r="E23" s="24" t="s">
        <x:v>22</x:v>
      </x:c>
      <x:c r="F23" s="24" t="s">
        <x:v>22</x:v>
      </x:c>
      <x:c r="G23" s="24" t="s">
        <x:v>22</x:v>
      </x:c>
      <x:c r="H23" s="24" t="s">
        <x:v>22</x:v>
      </x:c>
      <x:c r="I23" s="24" t="s">
        <x:v>22</x:v>
      </x:c>
      <x:c r="J23" s="24" t="s">
        <x:v>22</x:v>
      </x:c>
      <x:c r="K23" s="24" t="s">
        <x:v>22</x:v>
      </x:c>
      <x:c r="L23" s="24" t="s">
        <x:v>22</x:v>
      </x:c>
      <x:c r="M23" s="24" t="s">
        <x:v>22</x:v>
      </x:c>
      <x:c r="N23" s="24" t="s">
        <x:v>22</x:v>
      </x:c>
    </x:row>
    <x:row r="24" ht="30" customHeight="1">
      <x:c r="A24" s="8" t="s">
        <x:v>23</x:v>
      </x:c>
      <x:c r="B24" s="8" t="s">
        <x:v>24</x:v>
      </x:c>
      <x:c r="C24" s="8" t="s">
        <x:v>25</x:v>
      </x:c>
      <x:c r="D24" s="8" t="s">
        <x:v>26</x:v>
      </x:c>
      <x:c r="E24" s="8" t="s">
        <x:v>27</x:v>
      </x:c>
      <x:c r="F24" s="8" t="s">
        <x:v>28</x:v>
      </x:c>
      <x:c r="G24" s="8" t="s">
        <x:v>29</x:v>
      </x:c>
      <x:c r="H24" s="8" t="s">
        <x:v>30</x:v>
      </x:c>
      <x:c r="I24" s="8" t="s">
        <x:v>31</x:v>
      </x:c>
      <x:c r="J24" s="8" t="s">
        <x:v>32</x:v>
      </x:c>
      <x:c r="K24" s="8" t="s">
        <x:v>33</x:v>
      </x:c>
      <x:c r="L24" s="8" t="s">
        <x:v>34</x:v>
      </x:c>
      <x:c r="M24" s="8" t="s">
        <x:v>35</x:v>
      </x:c>
      <x:c r="N24" s="8" t="s">
        <x:v>36</x:v>
      </x:c>
    </x:row>
    <x:row r="25" ht="36" customHeight="1">
      <x:c r="A25" s="31" t="str">
        <x:f>HYPERLINK("#'逐笔人工复盘总表'!A6","T001")</x:f>
        <x:v>T001</x:v>
      </x:c>
      <x:c r="B25" s="52" t="str">
        <x:f>逐笔人工复盘总表!B6</x:f>
        <x:v>2026-05-27</x:v>
      </x:c>
      <x:c r="C25" s="31" t="str">
        <x:f>逐笔人工复盘总表!C6</x:f>
        <x:v>BTCUSDT</x:v>
      </x:c>
      <x:c r="D25" s="31" t="str">
        <x:f>逐笔人工复盘总表!D6</x:f>
        <x:v>多头</x:v>
      </x:c>
      <x:c r="E25" s="32" t="str">
        <x:f>逐笔人工复盘总表!E6</x:f>
        <x:v>2026-05-27 00:12:51</x:v>
      </x:c>
      <x:c r="F25" s="32" t="str">
        <x:f>逐笔人工复盘总表!F6</x:f>
        <x:v>2026-05-27 01:19:41</x:v>
      </x:c>
      <x:c r="G25" s="31" t="str">
        <x:f>逐笔人工复盘总表!G6</x:f>
        <x:v>1小时6分50秒</x:v>
      </x:c>
      <x:c r="H25" s="31" t="str">
        <x:f>逐笔人工复盘总表!H6</x:f>
        <x:v>普通市价平仓</x:v>
      </x:c>
      <x:c r="I25" s="43" t="str">
        <x:f>逐笔人工复盘总表!I6</x:f>
        <x:v>16.762475</x:v>
      </x:c>
      <x:c r="J25" s="54" t="str">
        <x:f>逐笔人工复盘总表!J6</x:f>
        <x:v>0.5</x:v>
      </x:c>
      <x:c r="K25" s="54" t="str">
        <x:f>逐笔人工复盘总表!L6</x:f>
        <x:v>0</x:v>
      </x:c>
      <x:c r="L25" s="54" t="str">
        <x:f>逐笔人工复盘总表!N6</x:f>
        <x:v>0.5</x:v>
      </x:c>
      <x:c r="M25" s="31" t="str">
        <x:f>逐笔人工复盘总表!AH6</x:f>
        <x:v>B｜大部分闭环，剩余差额有明确类别但无法精确分配</x:v>
      </x:c>
      <x:c r="N25" s="31" t="s">
        <x:v>37</x:v>
      </x:c>
    </x:row>
    <x:row r="26" ht="36" customHeight="1">
      <x:c r="A26" s="35" t="str">
        <x:f>HYPERLINK("#'逐笔人工复盘总表'!A7","T029")</x:f>
        <x:v>T029</x:v>
      </x:c>
      <x:c r="B26" s="53" t="str">
        <x:f>逐笔人工复盘总表!B7</x:f>
        <x:v>2026-06-01</x:v>
      </x:c>
      <x:c r="C26" s="35" t="str">
        <x:f>逐笔人工复盘总表!C7</x:f>
        <x:v>BTCUSDT</x:v>
      </x:c>
      <x:c r="D26" s="35" t="str">
        <x:f>逐笔人工复盘总表!D7</x:f>
        <x:v>空头</x:v>
      </x:c>
      <x:c r="E26" s="36" t="str">
        <x:f>逐笔人工复盘总表!E7</x:f>
        <x:v>2026-06-01 07:03:48</x:v>
      </x:c>
      <x:c r="F26" s="36" t="str">
        <x:f>逐笔人工复盘总表!F7</x:f>
        <x:v>2026-06-01 09:31:04</x:v>
      </x:c>
      <x:c r="G26" s="35" t="str">
        <x:f>逐笔人工复盘总表!G7</x:f>
        <x:v>2小时27分16秒</x:v>
      </x:c>
      <x:c r="H26" s="35" t="str">
        <x:f>逐笔人工复盘总表!H7</x:f>
        <x:v>普通限价平仓</x:v>
      </x:c>
      <x:c r="I26" s="44" t="str">
        <x:f>逐笔人工复盘总表!I7</x:f>
        <x:v>529.6670629</x:v>
      </x:c>
      <x:c r="J26" s="56" t="str">
        <x:f>逐笔人工复盘总表!J7</x:f>
        <x:v>1</x:v>
      </x:c>
      <x:c r="K26" s="56" t="str">
        <x:f>逐笔人工复盘总表!L7</x:f>
        <x:v>0</x:v>
      </x:c>
      <x:c r="L26" s="56" t="str">
        <x:f>逐笔人工复盘总表!N7</x:f>
        <x:v>1</x:v>
      </x:c>
      <x:c r="M26" s="35" t="str">
        <x:f>逐笔人工复盘总表!AH7</x:f>
        <x:v>B｜大部分闭环，剩余差额有明确类别但无法精确分配</x:v>
      </x:c>
      <x:c r="N26" s="35" t="s">
        <x:v>38</x:v>
      </x:c>
    </x:row>
    <x:row r="27" ht="36" customHeight="1">
      <x:c r="A27" s="31" t="str">
        <x:f>HYPERLINK("#'逐笔人工复盘总表'!A8","T042")</x:f>
        <x:v>T042</x:v>
      </x:c>
      <x:c r="B27" s="52" t="str">
        <x:f>逐笔人工复盘总表!B8</x:f>
        <x:v>2026-06-02</x:v>
      </x:c>
      <x:c r="C27" s="31" t="str">
        <x:f>逐笔人工复盘总表!C8</x:f>
        <x:v>BTCUSDT</x:v>
      </x:c>
      <x:c r="D27" s="31" t="str">
        <x:f>逐笔人工复盘总表!D8</x:f>
        <x:v>空头</x:v>
      </x:c>
      <x:c r="E27" s="32" t="str">
        <x:f>逐笔人工复盘总表!E8</x:f>
        <x:v>2026-06-02 00:26:32</x:v>
      </x:c>
      <x:c r="F27" s="32" t="str">
        <x:f>逐笔人工复盘总表!F8</x:f>
        <x:v>2026-06-02 02:26:09</x:v>
      </x:c>
      <x:c r="G27" s="31" t="str">
        <x:f>逐笔人工复盘总表!G8</x:f>
        <x:v>1小时59分37秒</x:v>
      </x:c>
      <x:c r="H27" s="31" t="str">
        <x:f>逐笔人工复盘总表!H8</x:f>
        <x:v>T042误触反手中的原空头结束</x:v>
      </x:c>
      <x:c r="I27" s="43" t="str">
        <x:f>逐笔人工复盘总表!I8</x:f>
        <x:v>-1592.50279997</x:v>
      </x:c>
      <x:c r="J27" s="54" t="str">
        <x:f>逐笔人工复盘总表!J8</x:f>
        <x:v>4</x:v>
      </x:c>
      <x:c r="K27" s="54" t="str">
        <x:f>逐笔人工复盘总表!L8</x:f>
        <x:v>1</x:v>
      </x:c>
      <x:c r="L27" s="54" t="str">
        <x:f>逐笔人工复盘总表!N8</x:f>
        <x:v>8</x:v>
      </x:c>
      <x:c r="M27" s="31" t="str">
        <x:f>逐笔人工复盘总表!AH8</x:f>
        <x:v>B｜大部分闭环，剩余差额有明确类别但无法精确分配</x:v>
      </x:c>
      <x:c r="N27" s="31" t="s">
        <x:v>38</x:v>
      </x:c>
    </x:row>
    <x:row r="28" ht="36" customHeight="1">
      <x:c r="A28" s="35" t="str">
        <x:f>HYPERLINK("#'逐笔人工复盘总表'!A9","T043")</x:f>
        <x:v>T043</x:v>
      </x:c>
      <x:c r="B28" s="53" t="str">
        <x:f>逐笔人工复盘总表!B9</x:f>
        <x:v>2026-06-02</x:v>
      </x:c>
      <x:c r="C28" s="35" t="str">
        <x:f>逐笔人工复盘总表!C9</x:f>
        <x:v>BTCUSDT</x:v>
      </x:c>
      <x:c r="D28" s="35" t="str">
        <x:f>逐笔人工复盘总表!D9</x:f>
        <x:v>多头</x:v>
      </x:c>
      <x:c r="E28" s="36" t="str">
        <x:f>逐笔人工复盘总表!E9</x:f>
        <x:v>2026-06-02 02:26:09</x:v>
      </x:c>
      <x:c r="F28" s="36" t="str">
        <x:f>逐笔人工复盘总表!F9</x:f>
        <x:v>2026-06-02 02:26:17</x:v>
      </x:c>
      <x:c r="G28" s="35" t="str">
        <x:f>逐笔人工复盘总表!G9</x:f>
        <x:v>8秒</x:v>
      </x:c>
      <x:c r="H28" s="35" t="str">
        <x:f>逐笔人工复盘总表!H9</x:f>
        <x:v>普通市价平仓</x:v>
      </x:c>
      <x:c r="I28" s="44" t="str">
        <x:f>逐笔人工复盘总表!I9</x:f>
        <x:v>-596.616657</x:v>
      </x:c>
      <x:c r="J28" s="56" t="str">
        <x:f>逐笔人工复盘总表!J9</x:f>
        <x:v>8</x:v>
      </x:c>
      <x:c r="K28" s="56" t="str">
        <x:f>逐笔人工复盘总表!L9</x:f>
        <x:v>0</x:v>
      </x:c>
      <x:c r="L28" s="56" t="str">
        <x:f>逐笔人工复盘总表!N9</x:f>
        <x:v>8</x:v>
      </x:c>
      <x:c r="M28" s="35" t="str">
        <x:f>逐笔人工复盘总表!AH9</x:f>
        <x:v>B｜大部分闭环，剩余差额有明确类别但无法精确分配</x:v>
      </x:c>
      <x:c r="N28" s="35" t="s">
        <x:v>38</x:v>
      </x:c>
    </x:row>
    <x:row r="29" ht="36" customHeight="1">
      <x:c r="A29" s="31" t="str">
        <x:f>HYPERLINK("#'逐笔人工复盘总表'!A10","T049")</x:f>
        <x:v>T049</x:v>
      </x:c>
      <x:c r="B29" s="52" t="str">
        <x:f>逐笔人工复盘总表!B10</x:f>
        <x:v>2026-06-02</x:v>
      </x:c>
      <x:c r="C29" s="31" t="str">
        <x:f>逐笔人工复盘总表!C10</x:f>
        <x:v>BTCUSDT</x:v>
      </x:c>
      <x:c r="D29" s="31" t="str">
        <x:f>逐笔人工复盘总表!D10</x:f>
        <x:v>多头</x:v>
      </x:c>
      <x:c r="E29" s="32" t="str">
        <x:f>逐笔人工复盘总表!E10</x:f>
        <x:v>2026-06-02 19:07:21</x:v>
      </x:c>
      <x:c r="F29" s="32" t="str">
        <x:f>逐笔人工复盘总表!F10</x:f>
        <x:v>2026-06-03 03:33:28</x:v>
      </x:c>
      <x:c r="G29" s="31" t="str">
        <x:f>逐笔人工复盘总表!G10</x:f>
        <x:v>8小时26分7秒</x:v>
      </x:c>
      <x:c r="H29" s="31" t="str">
        <x:f>逐笔人工复盘总表!H10</x:f>
        <x:v>条件止损触发平仓</x:v>
      </x:c>
      <x:c r="I29" s="43" t="str">
        <x:f>逐笔人工复盘总表!I10</x:f>
        <x:v>-38141.92735122</x:v>
      </x:c>
      <x:c r="J29" s="54" t="str">
        <x:f>逐笔人工复盘总表!J10</x:f>
        <x:v>4</x:v>
      </x:c>
      <x:c r="K29" s="54" t="str">
        <x:f>逐笔人工复盘总表!L10</x:f>
        <x:v>5</x:v>
      </x:c>
      <x:c r="L29" s="54" t="str">
        <x:f>逐笔人工复盘总表!N10</x:f>
        <x:v>27.852</x:v>
      </x:c>
      <x:c r="M29" s="31" t="str">
        <x:f>逐笔人工复盘总表!AH10</x:f>
        <x:v>B｜大部分闭环，剩余差额有明确类别但无法精确分配</x:v>
      </x:c>
      <x:c r="N29" s="31" t="s">
        <x:v>38</x:v>
      </x:c>
    </x:row>
    <x:row r="30" ht="36" customHeight="1">
      <x:c r="A30" s="35" t="str">
        <x:f>HYPERLINK("#'逐笔人工复盘总表'!A11","T069")</x:f>
        <x:v>T069</x:v>
      </x:c>
      <x:c r="B30" s="53" t="str">
        <x:f>逐笔人工复盘总表!B11</x:f>
        <x:v>2026-06-04</x:v>
      </x:c>
      <x:c r="C30" s="35" t="str">
        <x:f>逐笔人工复盘总表!C11</x:f>
        <x:v>BTCUSDT</x:v>
      </x:c>
      <x:c r="D30" s="35" t="str">
        <x:f>逐笔人工复盘总表!D11</x:f>
        <x:v>空头</x:v>
      </x:c>
      <x:c r="E30" s="36" t="str">
        <x:f>逐笔人工复盘总表!E11</x:f>
        <x:v>2026-06-04 03:07:24</x:v>
      </x:c>
      <x:c r="F30" s="36" t="str">
        <x:f>逐笔人工复盘总表!F11</x:f>
        <x:v>2026-06-04 06:00:03</x:v>
      </x:c>
      <x:c r="G30" s="35" t="str">
        <x:f>逐笔人工复盘总表!G11</x:f>
        <x:v>2小时52分39秒</x:v>
      </x:c>
      <x:c r="H30" s="35" t="str">
        <x:f>逐笔人工复盘总表!H11</x:f>
        <x:v>普通限价平仓</x:v>
      </x:c>
      <x:c r="I30" s="44" t="str">
        <x:f>逐笔人工复盘总表!I11</x:f>
        <x:v>1129.90438067</x:v>
      </x:c>
      <x:c r="J30" s="56" t="str">
        <x:f>逐笔人工复盘总表!J11</x:f>
        <x:v>5</x:v>
      </x:c>
      <x:c r="K30" s="56" t="str">
        <x:f>逐笔人工复盘总表!L11</x:f>
        <x:v>1</x:v>
      </x:c>
      <x:c r="L30" s="56" t="str">
        <x:f>逐笔人工复盘总表!N11</x:f>
        <x:v>8</x:v>
      </x:c>
      <x:c r="M30" s="35" t="str">
        <x:f>逐笔人工复盘总表!AH11</x:f>
        <x:v>B｜大部分闭环，剩余差额有明确类别但无法精确分配</x:v>
      </x:c>
      <x:c r="N30" s="35" t="s">
        <x:v>38</x:v>
      </x:c>
    </x:row>
    <x:row r="31" ht="36" customHeight="1">
      <x:c r="A31" s="31" t="str">
        <x:f>HYPERLINK("#'逐笔人工复盘总表'!A12","T087")</x:f>
        <x:v>T087</x:v>
      </x:c>
      <x:c r="B31" s="52" t="str">
        <x:f>逐笔人工复盘总表!B12</x:f>
        <x:v>2026-06-05</x:v>
      </x:c>
      <x:c r="C31" s="31" t="str">
        <x:f>逐笔人工复盘总表!C12</x:f>
        <x:v>BTCUSDT</x:v>
      </x:c>
      <x:c r="D31" s="31" t="str">
        <x:f>逐笔人工复盘总表!D12</x:f>
        <x:v>多头</x:v>
      </x:c>
      <x:c r="E31" s="32" t="str">
        <x:f>逐笔人工复盘总表!E12</x:f>
        <x:v>2026-06-05 21:56:28</x:v>
      </x:c>
      <x:c r="F31" s="32" t="str">
        <x:f>逐笔人工复盘总表!F12</x:f>
        <x:v>2026-06-05 22:55:24</x:v>
      </x:c>
      <x:c r="G31" s="31" t="str">
        <x:f>逐笔人工复盘总表!G12</x:f>
        <x:v>58分56秒</x:v>
      </x:c>
      <x:c r="H31" s="31" t="str">
        <x:f>逐笔人工复盘总表!H12</x:f>
        <x:v>条件止损触发平仓</x:v>
      </x:c>
      <x:c r="I31" s="43" t="str">
        <x:f>逐笔人工复盘总表!I12</x:f>
        <x:v>60.48563999</x:v>
      </x:c>
      <x:c r="J31" s="54" t="str">
        <x:f>逐笔人工复盘总表!J12</x:f>
        <x:v>0.2</x:v>
      </x:c>
      <x:c r="K31" s="54" t="str">
        <x:f>逐笔人工复盘总表!L12</x:f>
        <x:v>3</x:v>
      </x:c>
      <x:c r="L31" s="54" t="str">
        <x:f>逐笔人工复盘总表!N12</x:f>
        <x:v>0.3</x:v>
      </x:c>
      <x:c r="M31" s="31" t="str">
        <x:f>逐笔人工复盘总表!AH12</x:f>
        <x:v>B｜大部分闭环，剩余差额有明确类别但无法精确分配</x:v>
      </x:c>
      <x:c r="N31" s="31" t="s">
        <x:v>38</x:v>
      </x:c>
    </x:row>
    <x:row r="32" ht="36" customHeight="1">
      <x:c r="A32" s="35" t="str">
        <x:f>HYPERLINK("#'逐笔人工复盘总表'!A13","T120")</x:f>
        <x:v>T120</x:v>
      </x:c>
      <x:c r="B32" s="53" t="str">
        <x:f>逐笔人工复盘总表!B13</x:f>
        <x:v>2026-06-17</x:v>
      </x:c>
      <x:c r="C32" s="35" t="str">
        <x:f>逐笔人工复盘总表!C13</x:f>
        <x:v>BTCUSDT</x:v>
      </x:c>
      <x:c r="D32" s="35" t="str">
        <x:f>逐笔人工复盘总表!D13</x:f>
        <x:v>空头</x:v>
      </x:c>
      <x:c r="E32" s="36" t="str">
        <x:f>逐笔人工复盘总表!E13</x:f>
        <x:v>2026-06-17 21:37:46</x:v>
      </x:c>
      <x:c r="F32" s="36" t="str">
        <x:f>逐笔人工复盘总表!F13</x:f>
        <x:v>2026-06-18 02:00:24</x:v>
      </x:c>
      <x:c r="G32" s="35" t="str">
        <x:f>逐笔人工复盘总表!G13</x:f>
        <x:v>4小时22分38秒</x:v>
      </x:c>
      <x:c r="H32" s="35" t="str">
        <x:f>逐笔人工复盘总表!H13</x:f>
        <x:v>普通限价平仓</x:v>
      </x:c>
      <x:c r="I32" s="44" t="str">
        <x:f>逐笔人工复盘总表!I13</x:f>
        <x:v>-579.81045542</x:v>
      </x:c>
      <x:c r="J32" s="56" t="str">
        <x:f>逐笔人工复盘总表!J13</x:f>
        <x:v>5</x:v>
      </x:c>
      <x:c r="K32" s="56" t="str">
        <x:f>逐笔人工复盘总表!L13</x:f>
        <x:v>2</x:v>
      </x:c>
      <x:c r="L32" s="56" t="str">
        <x:f>逐笔人工复盘总表!N13</x:f>
        <x:v>10.026</x:v>
      </x:c>
      <x:c r="M32" s="35" t="str">
        <x:f>逐笔人工复盘总表!AH13</x:f>
        <x:v>B｜大部分闭环，剩余差额有明确类别但无法精确分配</x:v>
      </x:c>
      <x:c r="N32" s="35" t="s">
        <x:v>38</x:v>
      </x:c>
    </x:row>
    <x:row r="33" ht="36" customHeight="1">
      <x:c r="A33" s="31" t="str">
        <x:f>HYPERLINK("#'逐笔人工复盘总表'!A14","T123")</x:f>
        <x:v>T123</x:v>
      </x:c>
      <x:c r="B33" s="52" t="str">
        <x:f>逐笔人工复盘总表!B14</x:f>
        <x:v>2026-06-18</x:v>
      </x:c>
      <x:c r="C33" s="31" t="str">
        <x:f>逐笔人工复盘总表!C14</x:f>
        <x:v>SNDKUSDT</x:v>
      </x:c>
      <x:c r="D33" s="31" t="str">
        <x:f>逐笔人工复盘总表!D14</x:f>
        <x:v>空头</x:v>
      </x:c>
      <x:c r="E33" s="32" t="str">
        <x:f>逐笔人工复盘总表!E14</x:f>
        <x:v>2026-06-18 21:38:59</x:v>
      </x:c>
      <x:c r="F33" s="32" t="str">
        <x:f>逐笔人工复盘总表!F14</x:f>
        <x:v>2026-06-19 02:13:06</x:v>
      </x:c>
      <x:c r="G33" s="31" t="str">
        <x:f>逐笔人工复盘总表!G14</x:f>
        <x:v>4小时34分7秒</x:v>
      </x:c>
      <x:c r="H33" s="31" t="str">
        <x:f>逐笔人工复盘总表!H14</x:f>
        <x:v>条件止损触发平仓</x:v>
      </x:c>
      <x:c r="I33" s="43" t="str">
        <x:f>逐笔人工复盘总表!I14</x:f>
        <x:v>-22216.22618112</x:v>
      </x:c>
      <x:c r="J33" s="54" t="str">
        <x:f>逐笔人工复盘总表!J14</x:f>
        <x:v>100</x:v>
      </x:c>
      <x:c r="K33" s="54" t="str">
        <x:f>逐笔人工复盘总表!L14</x:f>
        <x:v>1</x:v>
      </x:c>
      <x:c r="L33" s="54" t="str">
        <x:f>逐笔人工复盘总表!N14</x:f>
        <x:v>200</x:v>
      </x:c>
      <x:c r="M33" s="31" t="str">
        <x:f>逐笔人工复盘总表!AH14</x:f>
        <x:v>B｜大部分闭环，剩余差额有明确类别但无法精确分配</x:v>
      </x:c>
      <x:c r="N33" s="31" t="s">
        <x:v>38</x:v>
      </x:c>
    </x:row>
    <x:row r="34" ht="36" customHeight="1">
      <x:c r="A34" s="35" t="str">
        <x:f>HYPERLINK("#'逐笔人工复盘总表'!A15","T125")</x:f>
        <x:v>T125</x:v>
      </x:c>
      <x:c r="B34" s="53" t="str">
        <x:f>逐笔人工复盘总表!B15</x:f>
        <x:v>2026-06-19</x:v>
      </x:c>
      <x:c r="C34" s="35" t="str">
        <x:f>逐笔人工复盘总表!C15</x:f>
        <x:v>BTCUSDT</x:v>
      </x:c>
      <x:c r="D34" s="35" t="str">
        <x:f>逐笔人工复盘总表!D15</x:f>
        <x:v>空头</x:v>
      </x:c>
      <x:c r="E34" s="36" t="str">
        <x:f>逐笔人工复盘总表!E15</x:f>
        <x:v>2026-06-19 20:28:02</x:v>
      </x:c>
      <x:c r="F34" s="36" t="str">
        <x:f>逐笔人工复盘总表!F15</x:f>
        <x:v>2026-06-21 06:30:32</x:v>
      </x:c>
      <x:c r="G34" s="35" t="str">
        <x:f>逐笔人工复盘总表!G15</x:f>
        <x:v>1天10小时2分30秒</x:v>
      </x:c>
      <x:c r="H34" s="35" t="str">
        <x:f>逐笔人工复盘总表!H15</x:f>
        <x:v>普通限价平仓</x:v>
      </x:c>
      <x:c r="I34" s="44" t="str">
        <x:f>逐笔人工复盘总表!I15</x:f>
        <x:v>-21839.09171882</x:v>
      </x:c>
      <x:c r="J34" s="56" t="str">
        <x:f>逐笔人工复盘总表!J15</x:f>
        <x:v>10</x:v>
      </x:c>
      <x:c r="K34" s="56" t="str">
        <x:f>逐笔人工复盘总表!L15</x:f>
        <x:v>1</x:v>
      </x:c>
      <x:c r="L34" s="56" t="str">
        <x:f>逐笔人工复盘总表!N15</x:f>
        <x:v>15</x:v>
      </x:c>
      <x:c r="M34" s="35" t="str">
        <x:f>逐笔人工复盘总表!AH15</x:f>
        <x:v>B｜大部分闭环，剩余差额有明确类别但无法精确分配</x:v>
      </x:c>
      <x:c r="N34" s="35" t="s">
        <x:v>38</x:v>
      </x:c>
    </x:row>
  </x:sheetData>
  <x:mergeCells>
    <x:mergeCell ref="A1:M1"/>
    <x:mergeCell ref="A1:N1"/>
    <x:mergeCell ref="A2:B2"/>
    <x:mergeCell ref="C2:D2"/>
    <x:mergeCell ref="E2:F2"/>
    <x:mergeCell ref="G2:H2"/>
    <x:mergeCell ref="I2:J2"/>
    <x:mergeCell ref="K2:L2"/>
    <x:mergeCell ref="M2:N2"/>
    <x:mergeCell ref="A3:M3"/>
    <x:mergeCell ref="A3:N3"/>
    <x:mergeCell ref="A5:C5"/>
    <x:mergeCell ref="D5:F5"/>
    <x:mergeCell ref="G5:I5"/>
    <x:mergeCell ref="J5:M5"/>
    <x:mergeCell ref="J5:N5"/>
    <x:mergeCell ref="A6:C6"/>
    <x:mergeCell ref="D6:F6"/>
    <x:mergeCell ref="G6:I6"/>
    <x:mergeCell ref="J6:M6"/>
    <x:mergeCell ref="J6:N6"/>
    <x:mergeCell ref="A8:C8"/>
    <x:mergeCell ref="D8:F8"/>
    <x:mergeCell ref="G8:I8"/>
    <x:mergeCell ref="J8:M8"/>
    <x:mergeCell ref="J8:N8"/>
    <x:mergeCell ref="A9:C9"/>
    <x:mergeCell ref="D9:F9"/>
    <x:mergeCell ref="G9:I9"/>
    <x:mergeCell ref="J9:M9"/>
    <x:mergeCell ref="J9:N9"/>
    <x:mergeCell ref="A11:F11"/>
    <x:mergeCell ref="A11:G11"/>
    <x:mergeCell ref="G11:M11"/>
    <x:mergeCell ref="H11:N11"/>
    <x:mergeCell ref="A12:F12"/>
    <x:mergeCell ref="A12:G12"/>
    <x:mergeCell ref="G12:M12"/>
    <x:mergeCell ref="H12:N12"/>
    <x:mergeCell ref="A14:N14"/>
    <x:mergeCell ref="A15:M15"/>
    <x:mergeCell ref="A15:C15"/>
    <x:mergeCell ref="D15:F15"/>
    <x:mergeCell ref="G15:I15"/>
    <x:mergeCell ref="J15:N15"/>
    <x:mergeCell ref="A16:C16"/>
    <x:mergeCell ref="D16:F16"/>
    <x:mergeCell ref="G16:I16"/>
    <x:mergeCell ref="J16:N16"/>
    <x:mergeCell ref="A18:C18"/>
    <x:mergeCell ref="D18:F18"/>
    <x:mergeCell ref="G18:I18"/>
    <x:mergeCell ref="J18:N18"/>
    <x:mergeCell ref="A19:C19"/>
    <x:mergeCell ref="D19:F19"/>
    <x:mergeCell ref="G19:I19"/>
    <x:mergeCell ref="J19:N19"/>
    <x:mergeCell ref="A21:N21"/>
    <x:mergeCell ref="A23:N23"/>
  </x:mergeCell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3" width="12" customWidth="1"/>
    <x:col min="4" max="4" width="9" customWidth="1"/>
    <x:col min="5" max="6" width="20" customWidth="1"/>
    <x:col min="7" max="7" width="18" customWidth="1"/>
    <x:col min="8" max="8" width="24" customWidth="1"/>
    <x:col min="9" max="9" width="16" customWidth="1"/>
    <x:col min="10" max="10" width="13" customWidth="1"/>
    <x:col min="11" max="11" width="15" customWidth="1"/>
    <x:col min="12" max="12" width="12" customWidth="1"/>
    <x:col min="13" max="14" width="15" customWidth="1"/>
    <x:col min="15" max="15" width="16" customWidth="1"/>
    <x:col min="16" max="16" width="13" customWidth="1"/>
    <x:col min="17" max="17" width="15" customWidth="1"/>
    <x:col min="18" max="18" width="14" customWidth="1"/>
    <x:col min="19" max="19" width="15" customWidth="1"/>
    <x:col min="20" max="20" width="13" customWidth="1"/>
    <x:col min="21" max="21" width="15" customWidth="1"/>
    <x:col min="22" max="23" width="17" customWidth="1"/>
    <x:col min="24" max="25" width="19" customWidth="1"/>
    <x:col min="26" max="26" width="15" customWidth="1"/>
    <x:col min="27" max="28" width="11" customWidth="1"/>
    <x:col min="29" max="29" width="14" customWidth="1"/>
    <x:col min="30" max="31" width="11" customWidth="1"/>
    <x:col min="32" max="32" width="14" customWidth="1"/>
    <x:col min="33" max="33" width="13" customWidth="1"/>
    <x:col min="34" max="34" width="28" customWidth="1"/>
    <x:col min="35" max="37" width="20" customWidth="1"/>
    <x:col min="38" max="38" width="48" customWidth="1"/>
    <x:col min="39" max="39" width="58" customWidth="1"/>
    <x:col min="40" max="40" width="16" customWidth="1"/>
    <x:col min="41" max="42" width="24" customWidth="1"/>
    <x:col min="43" max="43" width="16" customWidth="1"/>
    <x:col min="44" max="44" width="32" customWidth="1"/>
  </x:cols>
  <x:sheetData>
    <x:row r="1" ht="28" customHeight="1">
      <x:c r="A1" s="5" t="s">
        <x:v>39</x:v>
      </x:c>
      <x:c r="B1" s="5" t="s">
        <x:v>39</x:v>
      </x:c>
      <x:c r="C1" s="5" t="s">
        <x:v>39</x:v>
      </x:c>
      <x:c r="D1" s="5" t="s">
        <x:v>39</x:v>
      </x:c>
      <x:c r="E1" s="5" t="s">
        <x:v>39</x:v>
      </x:c>
      <x:c r="F1" s="5" t="s">
        <x:v>39</x:v>
      </x:c>
      <x:c r="G1" s="5" t="s">
        <x:v>39</x:v>
      </x:c>
      <x:c r="H1" s="5" t="s">
        <x:v>39</x:v>
      </x:c>
      <x:c r="I1" s="5" t="s">
        <x:v>39</x:v>
      </x:c>
      <x:c r="J1" s="5" t="s">
        <x:v>39</x:v>
      </x:c>
      <x:c r="K1" s="5" t="s">
        <x:v>39</x:v>
      </x:c>
      <x:c r="L1" s="5" t="s">
        <x:v>39</x:v>
      </x:c>
      <x:c r="M1" s="5" t="s">
        <x:v>39</x:v>
      </x:c>
      <x:c r="N1" s="5" t="s">
        <x:v>39</x:v>
      </x:c>
      <x:c r="O1" s="5" t="s">
        <x:v>39</x:v>
      </x:c>
      <x:c r="P1" s="5" t="s">
        <x:v>39</x:v>
      </x:c>
      <x:c r="Q1" s="5" t="s">
        <x:v>39</x:v>
      </x:c>
      <x:c r="R1" s="5" t="s">
        <x:v>39</x:v>
      </x:c>
      <x:c r="S1" s="5" t="s">
        <x:v>39</x:v>
      </x:c>
      <x:c r="T1" s="5" t="s">
        <x:v>39</x:v>
      </x:c>
      <x:c r="U1" s="5" t="s">
        <x:v>39</x:v>
      </x:c>
      <x:c r="V1" s="5" t="s">
        <x:v>39</x:v>
      </x:c>
      <x:c r="W1" s="5" t="s">
        <x:v>39</x:v>
      </x:c>
      <x:c r="X1" s="5" t="s">
        <x:v>39</x:v>
      </x:c>
      <x:c r="Y1" s="5" t="s">
        <x:v>39</x:v>
      </x:c>
      <x:c r="Z1" s="5" t="s">
        <x:v>39</x:v>
      </x:c>
      <x:c r="AA1" s="5" t="s">
        <x:v>39</x:v>
      </x:c>
      <x:c r="AB1" s="5" t="s">
        <x:v>39</x:v>
      </x:c>
      <x:c r="AC1" s="5" t="s">
        <x:v>39</x:v>
      </x:c>
      <x:c r="AD1" s="5" t="s">
        <x:v>39</x:v>
      </x:c>
      <x:c r="AE1" s="5" t="s">
        <x:v>39</x:v>
      </x:c>
      <x:c r="AF1" s="5" t="s">
        <x:v>39</x:v>
      </x:c>
      <x:c r="AG1" s="5" t="s">
        <x:v>39</x:v>
      </x:c>
      <x:c r="AH1" s="5" t="s">
        <x:v>39</x:v>
      </x:c>
      <x:c r="AI1" s="5" t="s">
        <x:v>39</x:v>
      </x:c>
      <x:c r="AJ1" s="5" t="s">
        <x:v>39</x:v>
      </x:c>
      <x:c r="AK1" s="5" t="s">
        <x:v>39</x:v>
      </x:c>
      <x:c r="AL1" s="5" t="s">
        <x:v>39</x:v>
      </x:c>
      <x:c r="AM1" s="5" t="s">
        <x:v>39</x:v>
      </x:c>
      <x:c r="AN1" s="5" t="s">
        <x:v>39</x:v>
      </x:c>
      <x:c r="AO1" s="5" t="s">
        <x:v>39</x:v>
      </x:c>
      <x:c r="AP1" s="5" t="s">
        <x:v>39</x:v>
      </x:c>
      <x:c r="AQ1" s="5" t="s">
        <x:v>39</x:v>
      </x:c>
      <x:c r="AR1" s="5" t="s">
        <x:v>39</x:v>
      </x:c>
    </x:row>
    <x:row r="2" ht="24" customHeight="1">
      <x:c r="A2" s="6" t="str">
        <x:f>HYPERLINK("#'账户与交易总览'!A1","总览")</x:f>
        <x:v>总览</x:v>
      </x:c>
      <x:c r="B2" s="6"/>
      <x:c r="C2" s="6"/>
      <x:c r="D2" s="6"/>
      <x:c r="E2" s="6"/>
      <x:c r="F2" s="6"/>
      <x:c r="G2" s="6" t="str">
        <x:f>HYPERLINK("#'逐笔人工复盘总表'!A1","逐笔总表")</x:f>
        <x:v>逐笔总表</x:v>
      </x:c>
      <x:c r="H2" s="6"/>
      <x:c r="I2" s="6"/>
      <x:c r="J2" s="6"/>
      <x:c r="K2" s="6"/>
      <x:c r="L2" s="6"/>
      <x:c r="M2" s="6" t="str">
        <x:f>HYPERLINK("#'单笔交易复盘卡'!A1","单笔卡")</x:f>
        <x:v>单笔卡</x:v>
      </x:c>
      <x:c r="N2" s="6"/>
      <x:c r="O2" s="6"/>
      <x:c r="P2" s="6"/>
      <x:c r="Q2" s="6"/>
      <x:c r="R2" s="6"/>
      <x:c r="S2" s="6" t="str">
        <x:f>HYPERLINK("#'完整操作过程'!A1","完整过程")</x:f>
        <x:v>完整过程</x:v>
      </x:c>
      <x:c r="T2" s="6"/>
      <x:c r="U2" s="6"/>
      <x:c r="V2" s="6"/>
      <x:c r="W2" s="6"/>
      <x:c r="X2" s="6"/>
      <x:c r="Y2" s="6" t="str">
        <x:f>HYPERLINK("#'账户资金轨迹'!A1","资金轨迹")</x:f>
        <x:v>资金轨迹</x:v>
      </x:c>
      <x:c r="Z2" s="6"/>
      <x:c r="AA2" s="6"/>
      <x:c r="AB2" s="6"/>
      <x:c r="AC2" s="6"/>
      <x:c r="AD2" s="6"/>
      <x:c r="AE2" s="6" t="str">
        <x:f>HYPERLINK("#'人工复盘完成清单'!A1","人工填写")</x:f>
        <x:v>人工填写</x:v>
      </x:c>
      <x:c r="AF2" s="6"/>
      <x:c r="AG2" s="6"/>
      <x:c r="AH2" s="6"/>
      <x:c r="AI2" s="6"/>
      <x:c r="AJ2" s="6"/>
      <x:c r="AK2" s="6" t="str">
        <x:f>HYPERLINK("#'字段与口径说明'!A1","字段口径")</x:f>
        <x:v>字段口径</x:v>
      </x:c>
      <x:c r="AL2" s="6"/>
      <x:c r="AM2" s="6"/>
      <x:c r="AN2" s="6"/>
      <x:c r="AO2" s="6"/>
      <x:c r="AP2" s="6"/>
      <x:c r="AQ2" s="6"/>
      <x:c r="AR2" s="6"/>
    </x:row>
    <x:row r="3" ht="34" customHeight="1">
      <x:c r="A3" s="7" t="s">
        <x:v>40</x:v>
      </x:c>
      <x:c r="B3" s="7" t="s">
        <x:v>40</x:v>
      </x:c>
      <x:c r="C3" s="7" t="s">
        <x:v>40</x:v>
      </x:c>
      <x:c r="D3" s="7" t="s">
        <x:v>40</x:v>
      </x:c>
      <x:c r="E3" s="7" t="s">
        <x:v>40</x:v>
      </x:c>
      <x:c r="F3" s="7" t="s">
        <x:v>40</x:v>
      </x:c>
      <x:c r="G3" s="7" t="s">
        <x:v>40</x:v>
      </x:c>
      <x:c r="H3" s="7" t="s">
        <x:v>40</x:v>
      </x:c>
      <x:c r="I3" s="7" t="s">
        <x:v>40</x:v>
      </x:c>
      <x:c r="J3" s="7" t="s">
        <x:v>40</x:v>
      </x:c>
      <x:c r="K3" s="7" t="s">
        <x:v>40</x:v>
      </x:c>
      <x:c r="L3" s="7" t="s">
        <x:v>40</x:v>
      </x:c>
      <x:c r="M3" s="7" t="s">
        <x:v>40</x:v>
      </x:c>
      <x:c r="N3" s="7" t="s">
        <x:v>40</x:v>
      </x:c>
      <x:c r="O3" s="7" t="s">
        <x:v>40</x:v>
      </x:c>
      <x:c r="P3" s="7" t="s">
        <x:v>40</x:v>
      </x:c>
      <x:c r="Q3" s="7" t="s">
        <x:v>40</x:v>
      </x:c>
      <x:c r="R3" s="7" t="s">
        <x:v>40</x:v>
      </x:c>
      <x:c r="S3" s="7" t="s">
        <x:v>40</x:v>
      </x:c>
      <x:c r="T3" s="7" t="s">
        <x:v>40</x:v>
      </x:c>
      <x:c r="U3" s="7" t="s">
        <x:v>40</x:v>
      </x:c>
      <x:c r="V3" s="7" t="s">
        <x:v>40</x:v>
      </x:c>
      <x:c r="W3" s="7" t="s">
        <x:v>40</x:v>
      </x:c>
      <x:c r="X3" s="7" t="s">
        <x:v>40</x:v>
      </x:c>
      <x:c r="Y3" s="7" t="s">
        <x:v>40</x:v>
      </x:c>
      <x:c r="Z3" s="7" t="s">
        <x:v>40</x:v>
      </x:c>
      <x:c r="AA3" s="7" t="s">
        <x:v>40</x:v>
      </x:c>
      <x:c r="AB3" s="7" t="s">
        <x:v>40</x:v>
      </x:c>
      <x:c r="AC3" s="7" t="s">
        <x:v>40</x:v>
      </x:c>
      <x:c r="AD3" s="7" t="s">
        <x:v>40</x:v>
      </x:c>
      <x:c r="AE3" s="7" t="s">
        <x:v>40</x:v>
      </x:c>
      <x:c r="AF3" s="7" t="s">
        <x:v>40</x:v>
      </x:c>
      <x:c r="AG3" s="7" t="s">
        <x:v>40</x:v>
      </x:c>
      <x:c r="AH3" s="7" t="s">
        <x:v>40</x:v>
      </x:c>
      <x:c r="AI3" s="7" t="s">
        <x:v>40</x:v>
      </x:c>
      <x:c r="AJ3" s="7" t="s">
        <x:v>40</x:v>
      </x:c>
      <x:c r="AK3" s="7" t="s">
        <x:v>40</x:v>
      </x:c>
      <x:c r="AL3" s="7" t="s">
        <x:v>40</x:v>
      </x:c>
      <x:c r="AM3" s="7" t="s">
        <x:v>40</x:v>
      </x:c>
      <x:c r="AN3" s="7" t="s">
        <x:v>40</x:v>
      </x:c>
      <x:c r="AO3" s="7" t="s">
        <x:v>40</x:v>
      </x:c>
      <x:c r="AP3" s="7" t="s">
        <x:v>40</x:v>
      </x:c>
      <x:c r="AQ3" s="7" t="s">
        <x:v>40</x:v>
      </x:c>
      <x:c r="AR3" s="7" t="s">
        <x:v>40</x:v>
      </x:c>
    </x:row>
    <x:row r="5" ht="60" customHeight="1">
      <x:c r="A5" s="8" t="s">
        <x:v>23</x:v>
      </x:c>
      <x:c r="B5" s="8" t="s">
        <x:v>24</x:v>
      </x:c>
      <x:c r="C5" s="8" t="s">
        <x:v>25</x:v>
      </x:c>
      <x:c r="D5" s="8" t="s">
        <x:v>26</x:v>
      </x:c>
      <x:c r="E5" s="8" t="s">
        <x:v>27</x:v>
      </x:c>
      <x:c r="F5" s="8" t="s">
        <x:v>28</x:v>
      </x:c>
      <x:c r="G5" s="8" t="s">
        <x:v>29</x:v>
      </x:c>
      <x:c r="H5" s="8" t="s">
        <x:v>30</x:v>
      </x:c>
      <x:c r="I5" s="8" t="s">
        <x:v>31</x:v>
      </x:c>
      <x:c r="J5" s="8" t="s">
        <x:v>41</x:v>
      </x:c>
      <x:c r="K5" s="8" t="s">
        <x:v>42</x:v>
      </x:c>
      <x:c r="L5" s="8" t="s">
        <x:v>33</x:v>
      </x:c>
      <x:c r="M5" s="8" t="s">
        <x:v>43</x:v>
      </x:c>
      <x:c r="N5" s="8" t="s">
        <x:v>44</x:v>
      </x:c>
      <x:c r="O5" s="8" t="s">
        <x:v>45</x:v>
      </x:c>
      <x:c r="P5" s="8" t="s">
        <x:v>14</x:v>
      </x:c>
      <x:c r="Q5" s="8" t="s">
        <x:v>15</x:v>
      </x:c>
      <x:c r="R5" s="8" t="s">
        <x:v>16</x:v>
      </x:c>
      <x:c r="S5" s="8" t="s">
        <x:v>46</x:v>
      </x:c>
      <x:c r="T5" s="8" t="s">
        <x:v>47</x:v>
      </x:c>
      <x:c r="U5" s="8" t="s">
        <x:v>48</x:v>
      </x:c>
      <x:c r="V5" s="8" t="s">
        <x:v>49</x:v>
      </x:c>
      <x:c r="W5" s="8" t="s">
        <x:v>5</x:v>
      </x:c>
      <x:c r="X5" s="8" t="s">
        <x:v>50</x:v>
      </x:c>
      <x:c r="Y5" s="8" t="s">
        <x:v>51</x:v>
      </x:c>
      <x:c r="Z5" s="8" t="s">
        <x:v>52</x:v>
      </x:c>
      <x:c r="AA5" s="8" t="s">
        <x:v>18</x:v>
      </x:c>
      <x:c r="AB5" s="8" t="s">
        <x:v>53</x:v>
      </x:c>
      <x:c r="AC5" s="8" t="s">
        <x:v>54</x:v>
      </x:c>
      <x:c r="AD5" s="8" t="s">
        <x:v>19</x:v>
      </x:c>
      <x:c r="AE5" s="8" t="s">
        <x:v>55</x:v>
      </x:c>
      <x:c r="AF5" s="8" t="s">
        <x:v>56</x:v>
      </x:c>
      <x:c r="AG5" s="8" t="s">
        <x:v>20</x:v>
      </x:c>
      <x:c r="AH5" s="8" t="s">
        <x:v>35</x:v>
      </x:c>
      <x:c r="AI5" s="8" t="s">
        <x:v>57</x:v>
      </x:c>
      <x:c r="AJ5" s="8" t="s">
        <x:v>58</x:v>
      </x:c>
      <x:c r="AK5" s="8" t="s">
        <x:v>59</x:v>
      </x:c>
      <x:c r="AL5" s="8" t="s">
        <x:v>60</x:v>
      </x:c>
      <x:c r="AM5" s="8" t="s">
        <x:v>61</x:v>
      </x:c>
      <x:c r="AN5" s="8" t="s">
        <x:v>62</x:v>
      </x:c>
      <x:c r="AO5" s="8" t="s">
        <x:v>63</x:v>
      </x:c>
      <x:c r="AP5" s="8" t="s">
        <x:v>64</x:v>
      </x:c>
      <x:c r="AQ5" s="8" t="s">
        <x:v>65</x:v>
      </x:c>
      <x:c r="AR5" s="8" t="s">
        <x:v>66</x:v>
      </x:c>
    </x:row>
    <x:row r="6" ht="92" customHeight="1">
      <x:c r="A6" s="31" t="s">
        <x:v>67</x:v>
      </x:c>
      <x:c r="B6" s="52" t="str">
        <x:f>IF(COUNTIF(技术_主动交易用户汇总!$A$2:$A$11,$A6)=0,"",INDEX(技术_主动交易用户汇总!$A$2:$X$11,MATCH($A6,技术_主动交易用户汇总!$A$2:$A$11,0),MATCH("日期",技术_主动交易用户汇总!$A$1:$X$1,0)))</x:f>
        <x:v>2026-05-27</x:v>
      </x:c>
      <x:c r="C6" s="31" t="str">
        <x:f>IF(COUNTIF(技术_主动交易用户汇总!$A$2:$A$11,$A6)=0,"",INDEX(技术_主动交易用户汇总!$A$2:$X$11,MATCH($A6,技术_主动交易用户汇总!$A$2:$A$11,0),MATCH("合约",技术_主动交易用户汇总!$A$1:$X$1,0)))</x:f>
        <x:v>BTCUSDT</x:v>
      </x:c>
      <x:c r="D6" s="31" t="str">
        <x:f>IF(COUNTIF(技术_主动交易用户汇总!$A$2:$A$11,$A6)=0,"",INDEX(技术_主动交易用户汇总!$A$2:$X$11,MATCH($A6,技术_主动交易用户汇总!$A$2:$A$11,0),MATCH("多空",技术_主动交易用户汇总!$A$1:$X$1,0)))</x:f>
        <x:v>多头</x:v>
      </x:c>
      <x:c r="E6" s="32" t="str">
        <x:f>IF(COUNTIF(技术_主动交易用户汇总!$A$2:$A$11,$A6)=0,"",INDEX(技术_主动交易用户汇总!$A$2:$X$11,MATCH($A6,技术_主动交易用户汇总!$A$2:$A$11,0),MATCH("完整正式开仓时间",技术_主动交易用户汇总!$A$1:$X$1,0)))</x:f>
        <x:v>2026-05-27 00:12:51</x:v>
      </x:c>
      <x:c r="F6" s="32" t="str">
        <x:f>IF(COUNTIF(技术_主动交易用户汇总!$A$2:$A$11,$A6)=0,"",INDEX(技术_主动交易用户汇总!$A$2:$X$11,MATCH($A6,技术_主动交易用户汇总!$A$2:$A$11,0),MATCH("完整正式平仓时间",技术_主动交易用户汇总!$A$1:$X$1,0)))</x:f>
        <x:v>2026-05-27 01:19:41</x:v>
      </x:c>
      <x:c r="G6" s="31" t="str">
        <x:f t="shared" ref="G6:G15" si="0">IF(OR(E6="",F6=""),"",IF(INT(((DATE(VALUE(LEFT(F6,4)),VALUE(MID(F6,6,2)),VALUE(MID(F6,9,2)))+TIME(VALUE(MID(F6,12,2)),VALUE(MID(F6,15,2)),VALUE(RIGHT(F6,2))))-(DATE(VALUE(LEFT(E6,4)),VALUE(MID(E6,6,2)),VALUE(MID(E6,9,2)))+TIME(VALUE(MID(E6,12,2)),VALUE(MID(E6,15,2)),VALUE(RIGHT(E6,2))))))&gt;0,INT(((DATE(VALUE(LEFT(F6,4)),VALUE(MID(F6,6,2)),VALUE(MID(F6,9,2)))+TIME(VALUE(MID(F6,12,2)),VALUE(MID(F6,15,2)),VALUE(RIGHT(F6,2))))-(DATE(VALUE(LEFT(E6,4)),VALUE(MID(E6,6,2)),VALUE(MID(E6,9,2)))+TIME(VALUE(MID(E6,12,2)),VALUE(MID(E6,15,2)),VALUE(RIGHT(E6,2))))))&amp;"天","")&amp;IF(HOUR(((DATE(VALUE(LEFT(F6,4)),VALUE(MID(F6,6,2)),VALUE(MID(F6,9,2)))+TIME(VALUE(MID(F6,12,2)),VALUE(MID(F6,15,2)),VALUE(RIGHT(F6,2))))-(DATE(VALUE(LEFT(E6,4)),VALUE(MID(E6,6,2)),VALUE(MID(E6,9,2)))+TIME(VALUE(MID(E6,12,2)),VALUE(MID(E6,15,2)),VALUE(RIGHT(E6,2))))))&gt;0,HOUR(((DATE(VALUE(LEFT(F6,4)),VALUE(MID(F6,6,2)),VALUE(MID(F6,9,2)))+TIME(VALUE(MID(F6,12,2)),VALUE(MID(F6,15,2)),VALUE(RIGHT(F6,2))))-(DATE(VALUE(LEFT(E6,4)),VALUE(MID(E6,6,2)),VALUE(MID(E6,9,2)))+TIME(VALUE(MID(E6,12,2)),VALUE(MID(E6,15,2)),VALUE(RIGHT(E6,2))))))&amp;"小时","")&amp;IF(MINUTE(((DATE(VALUE(LEFT(F6,4)),VALUE(MID(F6,6,2)),VALUE(MID(F6,9,2)))+TIME(VALUE(MID(F6,12,2)),VALUE(MID(F6,15,2)),VALUE(RIGHT(F6,2))))-(DATE(VALUE(LEFT(E6,4)),VALUE(MID(E6,6,2)),VALUE(MID(E6,9,2)))+TIME(VALUE(MID(E6,12,2)),VALUE(MID(E6,15,2)),VALUE(RIGHT(E6,2))))))&gt;0,MINUTE(((DATE(VALUE(LEFT(F6,4)),VALUE(MID(F6,6,2)),VALUE(MID(F6,9,2)))+TIME(VALUE(MID(F6,12,2)),VALUE(MID(F6,15,2)),VALUE(RIGHT(F6,2))))-(DATE(VALUE(LEFT(E6,4)),VALUE(MID(E6,6,2)),VALUE(MID(E6,9,2)))+TIME(VALUE(MID(E6,12,2)),VALUE(MID(E6,15,2)),VALUE(RIGHT(E6,2))))))&amp;"分","")&amp;SECOND(((DATE(VALUE(LEFT(F6,4)),VALUE(MID(F6,6,2)),VALUE(MID(F6,9,2)))+TIME(VALUE(MID(F6,12,2)),VALUE(MID(F6,15,2)),VALUE(RIGHT(F6,2))))-(DATE(VALUE(LEFT(E6,4)),VALUE(MID(E6,6,2)),VALUE(MID(E6,9,2)))+TIME(VALUE(MID(E6,12,2)),VALUE(MID(E6,15,2)),VALUE(RIGHT(E6,2))))))&amp;"秒")</x:f>
        <x:v>1小时6分50秒</x:v>
      </x:c>
      <x:c r="H6" s="31" t="str">
        <x:f>IF(COUNTIF(技术_主动交易用户汇总!$A$2:$A$11,$A6)=0,"",INDEX(技术_主动交易用户汇总!$A$2:$X$11,MATCH($A6,技术_主动交易用户汇总!$A$2:$A$11,0),MATCH("最终平仓方式",技术_主动交易用户汇总!$A$1:$X$1,0)))</x:f>
        <x:v>普通市价平仓</x:v>
      </x:c>
      <x:c r="I6" s="43" t="str">
        <x:f>IF(COUNTIF(技术_主动交易用户汇总!$A$2:$A$11,$A6)=0,"",INDEX(技术_主动交易用户汇总!$A$2:$X$11,MATCH($A6,技术_主动交易用户汇总!$A$2:$A$11,0),MATCH("当前交易净结果",技术_主动交易用户汇总!$A$1:$X$1,0)))</x:f>
        <x:v>16.762475</x:v>
      </x:c>
      <x:c r="J6" s="54" t="str">
        <x:f>IF(COUNTIF(技术_主动交易用户汇总!$A$2:$A$11,$A6)=0,"",INDEX(技术_主动交易用户汇总!$A$2:$X$11,MATCH($A6,技术_主动交易用户汇总!$A$2:$A$11,0),MATCH("首仓数量",技术_主动交易用户汇总!$A$1:$X$1,0)))</x:f>
        <x:v>0.5</x:v>
      </x:c>
      <x:c r="K6" s="55" t="str">
        <x:f>IF(COUNTIF(技术_主动交易用户汇总!$A$2:$A$11,$A6)=0,"",INDEX(技术_主动交易用户汇总!$A$2:$X$11,MATCH($A6,技术_主动交易用户汇总!$A$2:$A$11,0),MATCH("首仓均价",技术_主动交易用户汇总!$A$1:$X$1,0)))</x:f>
        <x:v>76188</x:v>
      </x:c>
      <x:c r="L6" s="54" t="str">
        <x:f>IF(COUNTIF(技术_主动交易用户汇总!$A$2:$A$11,$A6)=0,"",INDEX(技术_主动交易用户汇总!$A$2:$X$11,MATCH($A6,技术_主动交易用户汇总!$A$2:$A$11,0),MATCH("成功加仓次数",技术_主动交易用户汇总!$A$1:$X$1,0)))</x:f>
        <x:v>0</x:v>
      </x:c>
      <x:c r="M6" s="54" t="str">
        <x:f>IF(COUNTIF(技术_主动交易用户汇总!$A$2:$A$11,$A6)=0,"",INDEX(技术_主动交易用户汇总!$A$2:$X$11,MATCH($A6,技术_主动交易用户汇总!$A$2:$A$11,0),MATCH("成功加仓数量合计",技术_主动交易用户汇总!$A$1:$X$1,0)))</x:f>
        <x:v>0</x:v>
      </x:c>
      <x:c r="N6" s="54" t="str">
        <x:f>IF(COUNTIF(技术_主动交易用户汇总!$A$2:$A$11,$A6)=0,"",INDEX(技术_主动交易用户汇总!$A$2:$X$11,MATCH($A6,技术_主动交易用户汇总!$A$2:$A$11,0),MATCH("最大总持仓",技术_主动交易用户汇总!$A$1:$X$1,0)))</x:f>
        <x:v>0.5</x:v>
      </x:c>
      <x:c r="O6" s="55" t="n">
        <x:f>IF(COUNTIF(技术_主动交易用户汇总!$A$2:$A$11,$A6)=0,"",INDEX(技术_主动交易用户汇总!$A$2:$X$11,MATCH($A6,技术_主动交易用户汇总!$A$2:$A$11,0),MATCH("F23显示最大持仓均价",技术_主动交易用户汇总!$A$1:$X$1,0)))</x:f>
        <x:v>76188</x:v>
      </x:c>
      <x:c r="P6" s="30" t="str">
        <x:f>IF(COUNTIF(技术_逐笔复盘汇总!$A$2:$A$11,$A6)=0,"",INDEX(技术_逐笔复盘汇总!$A$2:$ES$11,MATCH($A6,技术_逐笔复盘汇总!$A$2:$A$11,0),MATCH("首仓前开仓尝试次数",技术_逐笔复盘汇总!$A$1:$ES$1,0)))</x:f>
        <x:v/>
      </x:c>
      <x:c r="Q6" s="30" t="str">
        <x:f>IF(COUNTIF(技术_逐笔复盘汇总!$A$2:$A$11,$A6)=0,"",INDEX(技术_逐笔复盘汇总!$A$2:$ES$11,MATCH($A6,技术_逐笔复盘汇总!$A$2:$A$11,0),MATCH("首仓前未成交撤销次数",技术_逐笔复盘汇总!$A$1:$ES$1,0)))</x:f>
        <x:v/>
      </x:c>
      <x:c r="R6" s="30" t="str">
        <x:f>IF(COUNTIF(技术_逐笔复盘汇总!$A$2:$A$11,$A6)=0,"",INDEX(技术_逐笔复盘汇总!$A$2:$ES$11,MATCH($A6,技术_逐笔复盘汇总!$A$2:$A$11,0),MATCH("首仓前方向切换次数",技术_逐笔复盘汇总!$A$1:$ES$1,0)))</x:f>
        <x:v/>
      </x:c>
      <x:c r="S6" s="30" t="str">
        <x:f>IF(COUNTIF(技术_逐笔复盘汇总!$A$2:$A$11,$A6)=0,"",INDEX(技术_逐笔复盘汇总!$A$2:$ES$11,MATCH($A6,技术_逐笔复盘汇总!$A$2:$A$11,0),MATCH("加仓尝试次数",技术_逐笔复盘汇总!$A$1:$ES$1,0))+INDEX(技术_逐笔复盘汇总!$A$2:$ES$11,MATCH($A6,技术_逐笔复盘汇总!$A$2:$A$11,0),MATCH("实际成功加仓次数",技术_逐笔复盘汇总!$A$1:$ES$1,0)))</x:f>
        <x:v/>
      </x:c>
      <x:c r="T6" s="30" t="str">
        <x:f>IF(COUNTIF(技术_主动交易用户汇总!$A$2:$A$11,$A6)=0,"",INDEX(技术_主动交易用户汇总!$A$2:$X$11,MATCH($A6,技术_主动交易用户汇总!$A$2:$A$11,0),MATCH("成功加仓次数",技术_主动交易用户汇总!$A$1:$X$1,0)))</x:f>
        <x:v>0</x:v>
      </x:c>
      <x:c r="U6" s="30" t="str">
        <x:f>IF(COUNTIF(技术_逐笔复盘汇总!$A$2:$A$11,$A6)=0,"",INDEX(技术_逐笔复盘汇总!$A$2:$ES$11,MATCH($A6,技术_逐笔复盘汇总!$A$2:$A$11,0),MATCH("未成交加仓撤销次数",技术_逐笔复盘汇总!$A$1:$ES$1,0)))</x:f>
        <x:v/>
      </x:c>
      <x:c r="V6" s="30" t="str">
        <x:f>IF(COUNTIF(技术_逐笔复盘汇总!$A$2:$A$11,$A6)=0,"",INDEX(技术_逐笔复盘汇总!$A$2:$ES$11,MATCH($A6,技术_逐笔复盘汇总!$A$2:$A$11,0),MATCH("部分成交后撤余次数",技术_逐笔复盘汇总!$A$1:$ES$1,0)))</x:f>
        <x:v/>
      </x:c>
      <x:c r="W6" s="30" t="str">
        <x:f>IF(COUNTIF(技术_主动交易用户汇总!$A$2:$A$11,$A6)=0,"",INDEX(技术_主动交易用户汇总!$A$2:$X$11,MATCH($A6,技术_主动交易用户汇总!$A$2:$A$11,0),MATCH("限价减仓或平仓尝试",技术_主动交易用户汇总!$A$1:$X$1,0)))</x:f>
        <x:v>0</x:v>
      </x:c>
      <x:c r="X6" s="30" t="str">
        <x:f>IF(COUNTIF(技术_主动交易用户汇总!$A$2:$A$11,$A6)=0,"",INDEX(技术_主动交易用户汇总!$A$2:$X$11,MATCH($A6,技术_主动交易用户汇总!$A$2:$A$11,0),MATCH("未成交限价平仓取消",技术_主动交易用户汇总!$A$1:$X$1,0)))</x:f>
        <x:v>0</x:v>
      </x:c>
      <x:c r="Y6" s="30" t="str">
        <x:f>IF(COUNTIF(技术_主动交易用户汇总!$A$2:$A$11,$A6)=0,"",INDEX(技术_主动交易用户汇总!$A$2:$X$11,MATCH($A6,技术_主动交易用户汇总!$A$2:$A$11,0),MATCH("未成交限价平仓过期",技术_主动交易用户汇总!$A$1:$X$1,0)))</x:f>
        <x:v>0</x:v>
      </x:c>
      <x:c r="Z6" s="30" t="str">
        <x:f>IF(COUNTIF(技术_主动交易用户汇总!$A$2:$A$11,$A6)=0,"",INDEX(技术_主动交易用户汇总!$A$2:$X$11,MATCH($A6,技术_主动交易用户汇总!$A$2:$A$11,0),MATCH("实际部分减仓",技术_主动交易用户汇总!$A$1:$X$1,0)))</x:f>
        <x:v>0</x:v>
      </x:c>
      <x:c r="AA6" s="30" t="str">
        <x:f>IF(COUNTIF(技术_逐笔复盘汇总!$A$2:$A$11,$A6)=0,"",INDEX(技术_逐笔复盘汇总!$A$2:$ES$11,MATCH($A6,技术_逐笔复盘汇总!$A$2:$A$11,0),MATCH("止损设置次数",技术_逐笔复盘汇总!$A$1:$ES$1,0)))</x:f>
        <x:v/>
      </x:c>
      <x:c r="AB6" s="30" t="str">
        <x:f>IF(COUNTIF(技术_逐笔复盘汇总!$A$2:$A$11,$A6)=0,"",INDEX(技术_逐笔复盘汇总!$A$2:$ES$11,MATCH($A6,技术_逐笔复盘汇总!$A$2:$A$11,0),MATCH("止损取消次数",技术_逐笔复盘汇总!$A$1:$ES$1,0)))</x:f>
        <x:v/>
      </x:c>
      <x:c r="AC6" s="30" t="str">
        <x:f>IF(COUNTIF(技术_逐笔复盘汇总!$A$2:$A$11,$A6)=0,"",INDEX(技术_逐笔复盘汇总!$A$2:$ES$11,MATCH($A6,技术_逐笔复盘汇总!$A$2:$A$11,0),MATCH("疑似止损调整次数",技术_逐笔复盘汇总!$A$1:$ES$1,0)))</x:f>
        <x:v/>
      </x:c>
      <x:c r="AD6" s="30" t="str">
        <x:f>IF(COUNTIF(技术_逐笔复盘汇总!$A$2:$A$11,$A6)=0,"",INDEX(技术_逐笔复盘汇总!$A$2:$ES$11,MATCH($A6,技术_逐笔复盘汇总!$A$2:$A$11,0),MATCH("止盈设置次数",技术_逐笔复盘汇总!$A$1:$ES$1,0)))</x:f>
        <x:v/>
      </x:c>
      <x:c r="AE6" s="30" t="str">
        <x:f>IF(COUNTIF(技术_逐笔复盘汇总!$A$2:$A$11,$A6)=0,"",INDEX(技术_逐笔复盘汇总!$A$2:$ES$11,MATCH($A6,技术_逐笔复盘汇总!$A$2:$A$11,0),MATCH("止盈取消次数",技术_逐笔复盘汇总!$A$1:$ES$1,0)))</x:f>
        <x:v/>
      </x:c>
      <x:c r="AF6" s="30" t="str">
        <x:f>IF(COUNTIF(技术_逐笔复盘汇总!$A$2:$A$11,$A6)=0,"",INDEX(技术_逐笔复盘汇总!$A$2:$ES$11,MATCH($A6,技术_逐笔复盘汇总!$A$2:$A$11,0),MATCH("疑似止盈调整次数",技术_逐笔复盘汇总!$A$1:$ES$1,0)))</x:f>
        <x:v/>
      </x:c>
      <x:c r="AG6" s="30" t="str">
        <x:f>IF(COUNTIF(技术_逐笔复盘汇总!$A$2:$A$11,$A6)=0,"",INDEX(技术_逐笔复盘汇总!$A$2:$ES$11,MATCH($A6,技术_逐笔复盘汇总!$A$2:$A$11,0),MATCH("需要人工确认数量",技术_逐笔复盘汇总!$A$1:$ES$1,0)))</x:f>
        <x:v/>
      </x:c>
      <x:c r="AH6" s="31" t="str">
        <x:f>IF(COUNTIF(技术_资金展示结果!$A$2:$A$11,$A6)=0,"",INDEX(技术_资金展示结果!$A$2:$AB$11,MATCH($A6,技术_资金展示结果!$A$2:$A$11,0),MATCH("资金闭环等级",技术_资金展示结果!$A$1:$AB$1,0)))</x:f>
        <x:v>B｜大部分闭环，剩余差额有明确类别但无法精确分配</x:v>
      </x:c>
      <x:c r="AI6" s="43" t="str">
        <x:f>IF(COUNTIF(技术_资金展示结果!$A$2:$A$11,$A6)=0,"",INDEX(技术_资金展示结果!$A$2:$AB$11,MATCH($A6,技术_资金展示结果!$A$2:$A$11,0),MATCH("开仓前已确认资金事件滚动值",技术_资金展示结果!$A$1:$AB$1,0)))</x:f>
        <x:v>29057.38</x:v>
      </x:c>
      <x:c r="AJ6" s="43" t="str">
        <x:f>IF(COUNTIF(技术_资金展示结果!$A$2:$A$11,$A6)=0,"",INDEX(技术_资金展示结果!$A$2:$AB$11,MATCH($A6,技术_资金展示结果!$A$2:$A$11,0),MATCH("平仓后已确认资金事件滚动值",技术_资金展示结果!$A$1:$AB$1,0)))</x:f>
        <x:v>29075.666235</x:v>
      </x:c>
      <x:c r="AK6" s="43" t="str">
        <x:f>IF(COUNTIF(技术_资金展示结果!$A$2:$A$11,$A6)=0,"",INDEX(技术_资金展示结果!$A$2:$AB$11,MATCH($A6,技术_资金展示结果!$A$2:$A$11,0),MATCH("未分配快照差额",技术_资金展示结果!$A$1:$AB$1,0)))</x:f>
        <x:v>-13533.04998</x:v>
      </x:c>
      <x:c r="AL6" s="31" t="str">
        <x:f>IF($A6="T049","平仓后已确认资金事件滚动值为负，不能解释为真实账户总资产。实际快照与已确认事件之间仍存在43,918.85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6)=0,"",INDEX(技术_资金展示结果!$A$2:$AB$11,MATCH($A6,技术_资金展示结果!$A$2:$A$11,0),MATCH("资金展示限制说明",技术_资金展示结果!$A$1:$AB$1,0))&amp;IF($A6="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x:v>
      </x:c>
      <x:c r="AM6" s="31" t="str">
        <x:f>IF($A6="T001","阶段A—E行为链证据不可得；当前仅有D2-C正式首仓、平仓、仓位与资金事实。相关行为字段留空，不代表未发生。",IF(COUNTIF(技术_逐笔复盘汇总!$A$2:$A$11,$A6)=0,"","首仓前："&amp;SUBSTITUTE(INDEX(技术_逐笔复盘汇总!$A$2:$ES$11,MATCH($A6,技术_逐笔复盘汇总!$A$2:$A$11,0),MATCH("首仓前中文摘要",技术_逐笔复盘汇总!$A$1:$ES$1,0)),"真实委托"&amp;INDEX(技术_逐笔复盘汇总!$A$2:$ES$11,MATCH($A6,技术_逐笔复盘汇总!$A$2:$A$11,0),MATCH("形成首仓真实委托编号",技术_逐笔复盘汇总!$A$1:$ES$1,0)),"真实委托")&amp;CHAR(10)&amp;"持仓操作："&amp;SUBSTITUTE(INDEX(技术_逐笔复盘汇总!$A$2:$ES$11,MATCH($A6,技术_逐笔复盘汇总!$A$2:$A$11,0),MATCH("持仓操作中文摘要",技术_逐笔复盘汇总!$A$1:$ES$1,0)),"Fill","成交分笔")&amp;CHAR(10)&amp;"条件计划："&amp;SUBSTITUTE(SUBSTITUTE(INDEX(技术_逐笔复盘汇总!$A$2:$ES$11,MATCH($A6,技术_逐笔复盘汇总!$A$2:$A$11,0),MATCH("条件演变中文摘要",技术_逐笔复盘汇总!$A$1:$ES$1,0)),"基础Order和真实Fill","基础委托和实际成交"),"Fill","成交")))</x:f>
        <x:v>阶段A—E行为链证据不可得；当前仅有D2-C正式首仓、平仓、仓位与资金事实。相关行为字段留空，不代表未发生。</x:v>
      </x:c>
      <x:c r="AN6" s="31" t="str">
        <x:f>IFERROR(IF(INDEX(人工复盘完成清单!$B$6:$B$15,MATCH($A6,人工复盘完成清单!$A$6:$A$15,0))="","待填写",INDEX(人工复盘完成清单!$B$6:$B$15,MATCH($A6,人工复盘完成清单!$A$6:$A$15,0))),"待填写")</x:f>
        <x:v>待填写</x:v>
      </x:c>
      <x:c r="AO6" s="31" t="str">
        <x:f>IFERROR(IF(INDEX(人工复盘完成清单!$H$6:$H$15,MATCH($A6,人工复盘完成清单!$A$6:$A$15,0))="","待填写",INDEX(人工复盘完成清单!$H$6:$H$15,MATCH($A6,人工复盘完成清单!$A$6:$A$15,0))),"待填写")</x:f>
        <x:v>待填写</x:v>
      </x:c>
      <x:c r="AP6" s="31" t="str">
        <x:f>IFERROR(IF(INDEX(人工复盘完成清单!$L$6:$L$15,MATCH($A6,人工复盘完成清单!$A$6:$A$15,0))="","待填写",INDEX(人工复盘完成清单!$L$6:$L$15,MATCH($A6,人工复盘完成清单!$A$6:$A$15,0))),"待填写")</x:f>
        <x:v>待填写</x:v>
      </x:c>
      <x:c r="AQ6" s="31" t="str">
        <x:f>IFERROR(IF(INDEX(人工复盘完成清单!$P$6:$P$15,MATCH($A6,人工复盘完成清单!$A$6:$A$15,0))="","待填写",INDEX(人工复盘完成清单!$P$6:$P$15,MATCH($A6,人工复盘完成清单!$A$6:$A$15,0))),"待填写")</x:f>
        <x:v>待填写</x:v>
      </x:c>
      <x:c r="AR6" s="31" t="str">
        <x:f>IFERROR(IF(INDEX(人工复盘完成清单!$W$6:$W$15,MATCH($A6,人工复盘完成清单!$A$6:$A$15,0))="","",INDEX(人工复盘完成清单!$W$6:$W$15,MATCH($A6,人工复盘完成清单!$A$6:$A$15,0))),"")</x:f>
        <x:v>再次入金后，在没有熟悉行情复盘行情的情况下，于下跌中左侧猜底做多</x:v>
      </x:c>
    </x:row>
    <x:row r="7" ht="92" customHeight="1">
      <x:c r="A7" s="35" t="s">
        <x:v>68</x:v>
      </x:c>
      <x:c r="B7" s="53" t="str">
        <x:f>IF(COUNTIF(技术_主动交易用户汇总!$A$2:$A$11,$A7)=0,"",INDEX(技术_主动交易用户汇总!$A$2:$X$11,MATCH($A7,技术_主动交易用户汇总!$A$2:$A$11,0),MATCH("日期",技术_主动交易用户汇总!$A$1:$X$1,0)))</x:f>
        <x:v>2026-06-01</x:v>
      </x:c>
      <x:c r="C7" s="35" t="str">
        <x:f>IF(COUNTIF(技术_主动交易用户汇总!$A$2:$A$11,$A7)=0,"",INDEX(技术_主动交易用户汇总!$A$2:$X$11,MATCH($A7,技术_主动交易用户汇总!$A$2:$A$11,0),MATCH("合约",技术_主动交易用户汇总!$A$1:$X$1,0)))</x:f>
        <x:v>BTCUSDT</x:v>
      </x:c>
      <x:c r="D7" s="35" t="str">
        <x:f>IF(COUNTIF(技术_主动交易用户汇总!$A$2:$A$11,$A7)=0,"",INDEX(技术_主动交易用户汇总!$A$2:$X$11,MATCH($A7,技术_主动交易用户汇总!$A$2:$A$11,0),MATCH("多空",技术_主动交易用户汇总!$A$1:$X$1,0)))</x:f>
        <x:v>空头</x:v>
      </x:c>
      <x:c r="E7" s="36" t="str">
        <x:f>IF(COUNTIF(技术_主动交易用户汇总!$A$2:$A$11,$A7)=0,"",INDEX(技术_主动交易用户汇总!$A$2:$X$11,MATCH($A7,技术_主动交易用户汇总!$A$2:$A$11,0),MATCH("完整正式开仓时间",技术_主动交易用户汇总!$A$1:$X$1,0)))</x:f>
        <x:v>2026-06-01 07:03:48</x:v>
      </x:c>
      <x:c r="F7" s="36" t="str">
        <x:f>IF(COUNTIF(技术_主动交易用户汇总!$A$2:$A$11,$A7)=0,"",INDEX(技术_主动交易用户汇总!$A$2:$X$11,MATCH($A7,技术_主动交易用户汇总!$A$2:$A$11,0),MATCH("完整正式平仓时间",技术_主动交易用户汇总!$A$1:$X$1,0)))</x:f>
        <x:v>2026-06-01 09:31:04</x:v>
      </x:c>
      <x:c r="G7" s="35" t="str">
        <x:f t="shared" si="0"/>
        <x:v>2小时27分16秒</x:v>
      </x:c>
      <x:c r="H7" s="35" t="str">
        <x:f>IF(COUNTIF(技术_主动交易用户汇总!$A$2:$A$11,$A7)=0,"",INDEX(技术_主动交易用户汇总!$A$2:$X$11,MATCH($A7,技术_主动交易用户汇总!$A$2:$A$11,0),MATCH("最终平仓方式",技术_主动交易用户汇总!$A$1:$X$1,0)))</x:f>
        <x:v>普通限价平仓</x:v>
      </x:c>
      <x:c r="I7" s="44" t="str">
        <x:f>IF(COUNTIF(技术_主动交易用户汇总!$A$2:$A$11,$A7)=0,"",INDEX(技术_主动交易用户汇总!$A$2:$X$11,MATCH($A7,技术_主动交易用户汇总!$A$2:$A$11,0),MATCH("当前交易净结果",技术_主动交易用户汇总!$A$1:$X$1,0)))</x:f>
        <x:v>529.6670629</x:v>
      </x:c>
      <x:c r="J7" s="56" t="str">
        <x:f>IF(COUNTIF(技术_主动交易用户汇总!$A$2:$A$11,$A7)=0,"",INDEX(技术_主动交易用户汇总!$A$2:$X$11,MATCH($A7,技术_主动交易用户汇总!$A$2:$A$11,0),MATCH("首仓数量",技术_主动交易用户汇总!$A$1:$X$1,0)))</x:f>
        <x:v>1</x:v>
      </x:c>
      <x:c r="K7" s="57" t="str">
        <x:f>IF(COUNTIF(技术_主动交易用户汇总!$A$2:$A$11,$A7)=0,"",INDEX(技术_主动交易用户汇总!$A$2:$X$11,MATCH($A7,技术_主动交易用户汇总!$A$2:$A$11,0),MATCH("首仓均价",技术_主动交易用户汇总!$A$1:$X$1,0)))</x:f>
        <x:v>74111</x:v>
      </x:c>
      <x:c r="L7" s="56" t="str">
        <x:f>IF(COUNTIF(技术_主动交易用户汇总!$A$2:$A$11,$A7)=0,"",INDEX(技术_主动交易用户汇总!$A$2:$X$11,MATCH($A7,技术_主动交易用户汇总!$A$2:$A$11,0),MATCH("成功加仓次数",技术_主动交易用户汇总!$A$1:$X$1,0)))</x:f>
        <x:v>0</x:v>
      </x:c>
      <x:c r="M7" s="56" t="str">
        <x:f>IF(COUNTIF(技术_主动交易用户汇总!$A$2:$A$11,$A7)=0,"",INDEX(技术_主动交易用户汇总!$A$2:$X$11,MATCH($A7,技术_主动交易用户汇总!$A$2:$A$11,0),MATCH("成功加仓数量合计",技术_主动交易用户汇总!$A$1:$X$1,0)))</x:f>
        <x:v>0</x:v>
      </x:c>
      <x:c r="N7" s="56" t="str">
        <x:f>IF(COUNTIF(技术_主动交易用户汇总!$A$2:$A$11,$A7)=0,"",INDEX(技术_主动交易用户汇总!$A$2:$X$11,MATCH($A7,技术_主动交易用户汇总!$A$2:$A$11,0),MATCH("最大总持仓",技术_主动交易用户汇总!$A$1:$X$1,0)))</x:f>
        <x:v>1</x:v>
      </x:c>
      <x:c r="O7" s="57" t="n">
        <x:f>IF(COUNTIF(技术_主动交易用户汇总!$A$2:$A$11,$A7)=0,"",INDEX(技术_主动交易用户汇总!$A$2:$X$11,MATCH($A7,技术_主动交易用户汇总!$A$2:$A$11,0),MATCH("F23显示最大持仓均价",技术_主动交易用户汇总!$A$1:$X$1,0)))</x:f>
        <x:v>74111</x:v>
      </x:c>
      <x:c r="P7" s="34" t="str">
        <x:f>IF(COUNTIF(技术_逐笔复盘汇总!$A$2:$A$11,$A7)=0,"",INDEX(技术_逐笔复盘汇总!$A$2:$ES$11,MATCH($A7,技术_逐笔复盘汇总!$A$2:$A$11,0),MATCH("首仓前开仓尝试次数",技术_逐笔复盘汇总!$A$1:$ES$1,0)))</x:f>
        <x:v>4</x:v>
      </x:c>
      <x:c r="Q7" s="34" t="str">
        <x:f>IF(COUNTIF(技术_逐笔复盘汇总!$A$2:$A$11,$A7)=0,"",INDEX(技术_逐笔复盘汇总!$A$2:$ES$11,MATCH($A7,技术_逐笔复盘汇总!$A$2:$A$11,0),MATCH("首仓前未成交撤销次数",技术_逐笔复盘汇总!$A$1:$ES$1,0)))</x:f>
        <x:v>3</x:v>
      </x:c>
      <x:c r="R7" s="34" t="str">
        <x:f>IF(COUNTIF(技术_逐笔复盘汇总!$A$2:$A$11,$A7)=0,"",INDEX(技术_逐笔复盘汇总!$A$2:$ES$11,MATCH($A7,技术_逐笔复盘汇总!$A$2:$A$11,0),MATCH("首仓前方向切换次数",技术_逐笔复盘汇总!$A$1:$ES$1,0)))</x:f>
        <x:v>0</x:v>
      </x:c>
      <x:c r="S7" s="34" t="n">
        <x:f>IF(COUNTIF(技术_逐笔复盘汇总!$A$2:$A$11,$A7)=0,"",INDEX(技术_逐笔复盘汇总!$A$2:$ES$11,MATCH($A7,技术_逐笔复盘汇总!$A$2:$A$11,0),MATCH("加仓尝试次数",技术_逐笔复盘汇总!$A$1:$ES$1,0))+INDEX(技术_逐笔复盘汇总!$A$2:$ES$11,MATCH($A7,技术_逐笔复盘汇总!$A$2:$A$11,0),MATCH("实际成功加仓次数",技术_逐笔复盘汇总!$A$1:$ES$1,0)))</x:f>
        <x:v>0</x:v>
      </x:c>
      <x:c r="T7" s="34" t="str">
        <x:f>IF(COUNTIF(技术_主动交易用户汇总!$A$2:$A$11,$A7)=0,"",INDEX(技术_主动交易用户汇总!$A$2:$X$11,MATCH($A7,技术_主动交易用户汇总!$A$2:$A$11,0),MATCH("成功加仓次数",技术_主动交易用户汇总!$A$1:$X$1,0)))</x:f>
        <x:v>0</x:v>
      </x:c>
      <x:c r="U7" s="34" t="str">
        <x:f>IF(COUNTIF(技术_逐笔复盘汇总!$A$2:$A$11,$A7)=0,"",INDEX(技术_逐笔复盘汇总!$A$2:$ES$11,MATCH($A7,技术_逐笔复盘汇总!$A$2:$A$11,0),MATCH("未成交加仓撤销次数",技术_逐笔复盘汇总!$A$1:$ES$1,0)))</x:f>
        <x:v>0</x:v>
      </x:c>
      <x:c r="V7" s="34" t="str">
        <x:f>IF(COUNTIF(技术_逐笔复盘汇总!$A$2:$A$11,$A7)=0,"",INDEX(技术_逐笔复盘汇总!$A$2:$ES$11,MATCH($A7,技术_逐笔复盘汇总!$A$2:$A$11,0),MATCH("部分成交后撤余次数",技术_逐笔复盘汇总!$A$1:$ES$1,0)))</x:f>
        <x:v>0</x:v>
      </x:c>
      <x:c r="W7" s="34" t="str">
        <x:f>IF(COUNTIF(技术_主动交易用户汇总!$A$2:$A$11,$A7)=0,"",INDEX(技术_主动交易用户汇总!$A$2:$X$11,MATCH($A7,技术_主动交易用户汇总!$A$2:$A$11,0),MATCH("限价减仓或平仓尝试",技术_主动交易用户汇总!$A$1:$X$1,0)))</x:f>
        <x:v>1</x:v>
      </x:c>
      <x:c r="X7" s="34" t="str">
        <x:f>IF(COUNTIF(技术_主动交易用户汇总!$A$2:$A$11,$A7)=0,"",INDEX(技术_主动交易用户汇总!$A$2:$X$11,MATCH($A7,技术_主动交易用户汇总!$A$2:$A$11,0),MATCH("未成交限价平仓取消",技术_主动交易用户汇总!$A$1:$X$1,0)))</x:f>
        <x:v>0</x:v>
      </x:c>
      <x:c r="Y7" s="34" t="str">
        <x:f>IF(COUNTIF(技术_主动交易用户汇总!$A$2:$A$11,$A7)=0,"",INDEX(技术_主动交易用户汇总!$A$2:$X$11,MATCH($A7,技术_主动交易用户汇总!$A$2:$A$11,0),MATCH("未成交限价平仓过期",技术_主动交易用户汇总!$A$1:$X$1,0)))</x:f>
        <x:v>0</x:v>
      </x:c>
      <x:c r="Z7" s="34" t="str">
        <x:f>IF(COUNTIF(技术_主动交易用户汇总!$A$2:$A$11,$A7)=0,"",INDEX(技术_主动交易用户汇总!$A$2:$X$11,MATCH($A7,技术_主动交易用户汇总!$A$2:$A$11,0),MATCH("实际部分减仓",技术_主动交易用户汇总!$A$1:$X$1,0)))</x:f>
        <x:v>0</x:v>
      </x:c>
      <x:c r="AA7" s="34" t="str">
        <x:f>IF(COUNTIF(技术_逐笔复盘汇总!$A$2:$A$11,$A7)=0,"",INDEX(技术_逐笔复盘汇总!$A$2:$ES$11,MATCH($A7,技术_逐笔复盘汇总!$A$2:$A$11,0),MATCH("止损设置次数",技术_逐笔复盘汇总!$A$1:$ES$1,0)))</x:f>
        <x:v>1</x:v>
      </x:c>
      <x:c r="AB7" s="34" t="str">
        <x:f>IF(COUNTIF(技术_逐笔复盘汇总!$A$2:$A$11,$A7)=0,"",INDEX(技术_逐笔复盘汇总!$A$2:$ES$11,MATCH($A7,技术_逐笔复盘汇总!$A$2:$A$11,0),MATCH("止损取消次数",技术_逐笔复盘汇总!$A$1:$ES$1,0)))</x:f>
        <x:v>0</x:v>
      </x:c>
      <x:c r="AC7" s="34" t="str">
        <x:f>IF(COUNTIF(技术_逐笔复盘汇总!$A$2:$A$11,$A7)=0,"",INDEX(技术_逐笔复盘汇总!$A$2:$ES$11,MATCH($A7,技术_逐笔复盘汇总!$A$2:$A$11,0),MATCH("疑似止损调整次数",技术_逐笔复盘汇总!$A$1:$ES$1,0)))</x:f>
        <x:v>0</x:v>
      </x:c>
      <x:c r="AD7" s="34" t="str">
        <x:f>IF(COUNTIF(技术_逐笔复盘汇总!$A$2:$A$11,$A7)=0,"",INDEX(技术_逐笔复盘汇总!$A$2:$ES$11,MATCH($A7,技术_逐笔复盘汇总!$A$2:$A$11,0),MATCH("止盈设置次数",技术_逐笔复盘汇总!$A$1:$ES$1,0)))</x:f>
        <x:v>1</x:v>
      </x:c>
      <x:c r="AE7" s="34" t="str">
        <x:f>IF(COUNTIF(技术_逐笔复盘汇总!$A$2:$A$11,$A7)=0,"",INDEX(技术_逐笔复盘汇总!$A$2:$ES$11,MATCH($A7,技术_逐笔复盘汇总!$A$2:$A$11,0),MATCH("止盈取消次数",技术_逐笔复盘汇总!$A$1:$ES$1,0)))</x:f>
        <x:v>0</x:v>
      </x:c>
      <x:c r="AF7" s="34" t="str">
        <x:f>IF(COUNTIF(技术_逐笔复盘汇总!$A$2:$A$11,$A7)=0,"",INDEX(技术_逐笔复盘汇总!$A$2:$ES$11,MATCH($A7,技术_逐笔复盘汇总!$A$2:$A$11,0),MATCH("疑似止盈调整次数",技术_逐笔复盘汇总!$A$1:$ES$1,0)))</x:f>
        <x:v>0</x:v>
      </x:c>
      <x:c r="AG7" s="34" t="str">
        <x:f>IF(COUNTIF(技术_逐笔复盘汇总!$A$2:$A$11,$A7)=0,"",INDEX(技术_逐笔复盘汇总!$A$2:$ES$11,MATCH($A7,技术_逐笔复盘汇总!$A$2:$A$11,0),MATCH("需要人工确认数量",技术_逐笔复盘汇总!$A$1:$ES$1,0)))</x:f>
        <x:v>3</x:v>
      </x:c>
      <x:c r="AH7" s="35" t="str">
        <x:f>IF(COUNTIF(技术_资金展示结果!$A$2:$A$11,$A7)=0,"",INDEX(技术_资金展示结果!$A$2:$AB$11,MATCH($A7,技术_资金展示结果!$A$2:$A$11,0),MATCH("资金闭环等级",技术_资金展示结果!$A$1:$AB$1,0)))</x:f>
        <x:v>B｜大部分闭环，剩余差额有明确类别但无法精确分配</x:v>
      </x:c>
      <x:c r="AI7" s="44" t="str">
        <x:f>IF(COUNTIF(技术_资金展示结果!$A$2:$A$11,$A7)=0,"",INDEX(技术_资金展示结果!$A$2:$AB$11,MATCH($A7,技术_资金展示结果!$A$2:$A$11,0),MATCH("开仓前已确认资金事件滚动值",技术_资金展示结果!$A$1:$AB$1,0)))</x:f>
        <x:v>15759.87276468</x:v>
      </x:c>
      <x:c r="AJ7" s="44" t="str">
        <x:f>IF(COUNTIF(技术_资金展示结果!$A$2:$A$11,$A7)=0,"",INDEX(技术_资金展示结果!$A$2:$AB$11,MATCH($A7,技术_资金展示结果!$A$2:$A$11,0),MATCH("平仓后已确认资金事件滚动值",技术_资金展示结果!$A$1:$AB$1,0)))</x:f>
        <x:v>16292.50426758</x:v>
      </x:c>
      <x:c r="AK7" s="44" t="str">
        <x:f>IF(COUNTIF(技术_资金展示结果!$A$2:$A$11,$A7)=0,"",INDEX(技术_资金展示结果!$A$2:$AB$11,MATCH($A7,技术_资金展示结果!$A$2:$A$11,0),MATCH("未分配快照差额",技术_资金展示结果!$A$1:$AB$1,0)))</x:f>
        <x:v>-14269.32939733</x:v>
      </x:c>
      <x:c r="AL7" s="35" t="str">
        <x:f>IF($A7="T049","平仓后已确认资金事件滚动值为负，不能解释为真实账户总资产。实际快照与已确认事件之间仍存在43,918.85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7)=0,"",INDEX(技术_资金展示结果!$A$2:$AB$11,MATCH($A7,技术_资金展示结果!$A$2:$A$11,0),MATCH("资金展示限制说明",技术_资金展示结果!$A$1:$AB$1,0))&amp;IF($A7="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x:v>
      </x:c>
      <x:c r="AM7" s="35" t="str">
        <x:f>IF($A7="T001","阶段A—E行为链证据不可得；当前仅有D2-C正式首仓、平仓、仓位与资金事实。相关行为字段留空，不代表未发生。",IF(COUNTIF(技术_逐笔复盘汇总!$A$2:$A$11,$A7)=0,"","首仓前："&amp;SUBSTITUTE(INDEX(技术_逐笔复盘汇总!$A$2:$ES$11,MATCH($A7,技术_逐笔复盘汇总!$A$2:$A$11,0),MATCH("首仓前中文摘要",技术_逐笔复盘汇总!$A$1:$ES$1,0)),"真实委托"&amp;INDEX(技术_逐笔复盘汇总!$A$2:$ES$11,MATCH($A7,技术_逐笔复盘汇总!$A$2:$A$11,0),MATCH("形成首仓真实委托编号",技术_逐笔复盘汇总!$A$1:$ES$1,0)),"真实委托")&amp;CHAR(10)&amp;"持仓操作："&amp;SUBSTITUTE(INDEX(技术_逐笔复盘汇总!$A$2:$ES$11,MATCH($A7,技术_逐笔复盘汇总!$A$2:$A$11,0),MATCH("持仓操作中文摘要",技术_逐笔复盘汇总!$A$1:$ES$1,0)),"Fill","成交分笔")&amp;CHAR(10)&amp;"条件计划："&amp;SUBSTITUTE(SUBSTITUTE(INDEX(技术_逐笔复盘汇总!$A$2:$ES$11,MATCH($A7,技术_逐笔复盘汇总!$A$2:$A$11,0),MATCH("条件演变中文摘要",技术_逐笔复盘汇总!$A$1:$ES$1,0)),"基础Order和真实Fill","基础委托和实际成交"),"Fill","成交")))</x:f>
        <x:v>首仓前：本周期首仓前开仓意图链共4张不同开仓委托：3张未成交撤销、0张过期未成交、0张其他未成仓尝试、1张最终成功形成正式首仓；首仓前部分成交后撤余0张。真实委托以限价成交1，是本意图链中形成首仓的成功委托。识别出2次高置信度疑似改价或改量重挂。从首次尝试到正式开仓历时57分9秒；次数按委托单统计。
持仓操作：持仓期间未发现未成交加仓尝试或实际加仓，未发生部分减仓；最终由一张真实限价委托使仓位归零。
条件计划：持仓相关止损设置1次，其中取消0次、过期1次，识别出0次高置信度疑似调整；止盈设置1次，其中取消0次、过期1次，识别出0次高置信度疑似调整；最终通过普通限价平仓归零；2张过期记录缺少终止时间或完整因果证据，具体原因不可得。</x:v>
      </x:c>
      <x:c r="AN7" s="35" t="str">
        <x:f>IFERROR(IF(INDEX(人工复盘完成清单!$B$6:$B$15,MATCH($A7,人工复盘完成清单!$A$6:$A$15,0))="","待填写",INDEX(人工复盘完成清单!$B$6:$B$15,MATCH($A7,人工复盘完成清单!$A$6:$A$15,0))),"待填写")</x:f>
        <x:v>待填写</x:v>
      </x:c>
      <x:c r="AO7" s="35" t="str">
        <x:f>IFERROR(IF(INDEX(人工复盘完成清单!$H$6:$H$15,MATCH($A7,人工复盘完成清单!$A$6:$A$15,0))="","待填写",INDEX(人工复盘完成清单!$H$6:$H$15,MATCH($A7,人工复盘完成清单!$A$6:$A$15,0))),"待填写")</x:f>
        <x:v>待填写</x:v>
      </x:c>
      <x:c r="AP7" s="35" t="str">
        <x:f>IFERROR(IF(INDEX(人工复盘完成清单!$L$6:$L$15,MATCH($A7,人工复盘完成清单!$A$6:$A$15,0))="","待填写",INDEX(人工复盘完成清单!$L$6:$L$15,MATCH($A7,人工复盘完成清单!$A$6:$A$15,0))),"待填写")</x:f>
        <x:v>待填写</x:v>
      </x:c>
      <x:c r="AQ7" s="35" t="str">
        <x:f>IFERROR(IF(INDEX(人工复盘完成清单!$P$6:$P$15,MATCH($A7,人工复盘完成清单!$A$6:$A$15,0))="","待填写",INDEX(人工复盘完成清单!$P$6:$P$15,MATCH($A7,人工复盘完成清单!$A$6:$A$15,0))),"待填写")</x:f>
        <x:v>待填写</x:v>
      </x:c>
      <x:c r="AR7" s="35" t="str">
        <x:f>IFERROR(IF(INDEX(人工复盘完成清单!$W$6:$W$15,MATCH($A7,人工复盘完成清单!$A$6:$A$15,0))="","",INDEX(人工复盘完成清单!$W$6:$W$15,MATCH($A7,人工复盘完成清单!$A$6:$A$15,0))),"")</x:f>
        <x:v>这次的问题很多，也是导致后续爆仓的导火索之一，也是暴露了我很多问题的单子之一，假如这次没错，但是也为后续埋下了伏笔，问题：1.有交易计划，但是没有写纸上，2.下单前没仔细查看开仓的情况，下单后也没检查，3.睡醒发现开的仓位不是预计的仓位数量，贪婪的情绪又出来了，4.发现开仓数量不对后，又幻想行情会不会像之前一样来回震荡，完全忘掉了之前设定的止盈止损，害怕浮盈损失，又不甘心只开了这么少的仓位，5.发现平仓后行情果然又拉回去，就又暗自窃喜，当行情再次来到上一单的开仓位后，却又不敢重仓了，轻仓又嫌小，最终直接不开仓了。</x:v>
      </x:c>
    </x:row>
    <x:row r="8" ht="92" customHeight="1">
      <x:c r="A8" s="31" t="s">
        <x:v>69</x:v>
      </x:c>
      <x:c r="B8" s="52" t="str">
        <x:f>IF(COUNTIF(技术_主动交易用户汇总!$A$2:$A$11,$A8)=0,"",INDEX(技术_主动交易用户汇总!$A$2:$X$11,MATCH($A8,技术_主动交易用户汇总!$A$2:$A$11,0),MATCH("日期",技术_主动交易用户汇总!$A$1:$X$1,0)))</x:f>
        <x:v>2026-06-02</x:v>
      </x:c>
      <x:c r="C8" s="31" t="str">
        <x:f>IF(COUNTIF(技术_主动交易用户汇总!$A$2:$A$11,$A8)=0,"",INDEX(技术_主动交易用户汇总!$A$2:$X$11,MATCH($A8,技术_主动交易用户汇总!$A$2:$A$11,0),MATCH("合约",技术_主动交易用户汇总!$A$1:$X$1,0)))</x:f>
        <x:v>BTCUSDT</x:v>
      </x:c>
      <x:c r="D8" s="31" t="str">
        <x:f>IF(COUNTIF(技术_主动交易用户汇总!$A$2:$A$11,$A8)=0,"",INDEX(技术_主动交易用户汇总!$A$2:$X$11,MATCH($A8,技术_主动交易用户汇总!$A$2:$A$11,0),MATCH("多空",技术_主动交易用户汇总!$A$1:$X$1,0)))</x:f>
        <x:v>空头</x:v>
      </x:c>
      <x:c r="E8" s="32" t="str">
        <x:f>IF(COUNTIF(技术_主动交易用户汇总!$A$2:$A$11,$A8)=0,"",INDEX(技术_主动交易用户汇总!$A$2:$X$11,MATCH($A8,技术_主动交易用户汇总!$A$2:$A$11,0),MATCH("完整正式开仓时间",技术_主动交易用户汇总!$A$1:$X$1,0)))</x:f>
        <x:v>2026-06-02 00:26:32</x:v>
      </x:c>
      <x:c r="F8" s="32" t="str">
        <x:f>IF(COUNTIF(技术_主动交易用户汇总!$A$2:$A$11,$A8)=0,"",INDEX(技术_主动交易用户汇总!$A$2:$X$11,MATCH($A8,技术_主动交易用户汇总!$A$2:$A$11,0),MATCH("完整正式平仓时间",技术_主动交易用户汇总!$A$1:$X$1,0)))</x:f>
        <x:v>2026-06-02 02:26:09</x:v>
      </x:c>
      <x:c r="G8" s="31" t="str">
        <x:f t="shared" si="0"/>
        <x:v>1小时59分37秒</x:v>
      </x:c>
      <x:c r="H8" s="31" t="str">
        <x:f>IF(COUNTIF(技术_主动交易用户汇总!$A$2:$A$11,$A8)=0,"",INDEX(技术_主动交易用户汇总!$A$2:$X$11,MATCH($A8,技术_主动交易用户汇总!$A$2:$A$11,0),MATCH("最终平仓方式",技术_主动交易用户汇总!$A$1:$X$1,0)))</x:f>
        <x:v>T042误触反手中的原空头结束</x:v>
      </x:c>
      <x:c r="I8" s="43" t="str">
        <x:f>IF(COUNTIF(技术_主动交易用户汇总!$A$2:$A$11,$A8)=0,"",INDEX(技术_主动交易用户汇总!$A$2:$X$11,MATCH($A8,技术_主动交易用户汇总!$A$2:$A$11,0),MATCH("当前交易净结果",技术_主动交易用户汇总!$A$1:$X$1,0)))</x:f>
        <x:v>-1592.50279997</x:v>
      </x:c>
      <x:c r="J8" s="54" t="str">
        <x:f>IF(COUNTIF(技术_主动交易用户汇总!$A$2:$A$11,$A8)=0,"",INDEX(技术_主动交易用户汇总!$A$2:$X$11,MATCH($A8,技术_主动交易用户汇总!$A$2:$A$11,0),MATCH("首仓数量",技术_主动交易用户汇总!$A$1:$X$1,0)))</x:f>
        <x:v>4</x:v>
      </x:c>
      <x:c r="K8" s="55" t="str">
        <x:f>IF(COUNTIF(技术_主动交易用户汇总!$A$2:$A$11,$A8)=0,"",INDEX(技术_主动交易用户汇总!$A$2:$X$11,MATCH($A8,技术_主动交易用户汇总!$A$2:$A$11,0),MATCH("首仓均价",技术_主动交易用户汇总!$A$1:$X$1,0)))</x:f>
        <x:v>71000</x:v>
      </x:c>
      <x:c r="L8" s="54" t="str">
        <x:f>IF(COUNTIF(技术_主动交易用户汇总!$A$2:$A$11,$A8)=0,"",INDEX(技术_主动交易用户汇总!$A$2:$X$11,MATCH($A8,技术_主动交易用户汇总!$A$2:$A$11,0),MATCH("成功加仓次数",技术_主动交易用户汇总!$A$1:$X$1,0)))</x:f>
        <x:v>1</x:v>
      </x:c>
      <x:c r="M8" s="54" t="str">
        <x:f>IF(COUNTIF(技术_主动交易用户汇总!$A$2:$A$11,$A8)=0,"",INDEX(技术_主动交易用户汇总!$A$2:$X$11,MATCH($A8,技术_主动交易用户汇总!$A$2:$A$11,0),MATCH("成功加仓数量合计",技术_主动交易用户汇总!$A$1:$X$1,0)))</x:f>
        <x:v>4</x:v>
      </x:c>
      <x:c r="N8" s="54" t="str">
        <x:f>IF(COUNTIF(技术_主动交易用户汇总!$A$2:$A$11,$A8)=0,"",INDEX(技术_主动交易用户汇总!$A$2:$X$11,MATCH($A8,技术_主动交易用户汇总!$A$2:$A$11,0),MATCH("最大总持仓",技术_主动交易用户汇总!$A$1:$X$1,0)))</x:f>
        <x:v>8</x:v>
      </x:c>
      <x:c r="O8" s="55" t="n">
        <x:f>IF(COUNTIF(技术_主动交易用户汇总!$A$2:$A$11,$A8)=0,"",INDEX(技术_主动交易用户汇总!$A$2:$X$11,MATCH($A8,技术_主动交易用户汇总!$A$2:$A$11,0),MATCH("F23显示最大持仓均价",技术_主动交易用户汇总!$A$1:$X$1,0)))</x:f>
        <x:v>71269</x:v>
      </x:c>
      <x:c r="P8" s="30" t="str">
        <x:f>IF(COUNTIF(技术_逐笔复盘汇总!$A$2:$A$11,$A8)=0,"",INDEX(技术_逐笔复盘汇总!$A$2:$ES$11,MATCH($A8,技术_逐笔复盘汇总!$A$2:$A$11,0),MATCH("首仓前开仓尝试次数",技术_逐笔复盘汇总!$A$1:$ES$1,0)))</x:f>
        <x:v>1</x:v>
      </x:c>
      <x:c r="Q8" s="30" t="str">
        <x:f>IF(COUNTIF(技术_逐笔复盘汇总!$A$2:$A$11,$A8)=0,"",INDEX(技术_逐笔复盘汇总!$A$2:$ES$11,MATCH($A8,技术_逐笔复盘汇总!$A$2:$A$11,0),MATCH("首仓前未成交撤销次数",技术_逐笔复盘汇总!$A$1:$ES$1,0)))</x:f>
        <x:v>0</x:v>
      </x:c>
      <x:c r="R8" s="30" t="str">
        <x:f>IF(COUNTIF(技术_逐笔复盘汇总!$A$2:$A$11,$A8)=0,"",INDEX(技术_逐笔复盘汇总!$A$2:$ES$11,MATCH($A8,技术_逐笔复盘汇总!$A$2:$A$11,0),MATCH("首仓前方向切换次数",技术_逐笔复盘汇总!$A$1:$ES$1,0)))</x:f>
        <x:v>0</x:v>
      </x:c>
      <x:c r="S8" s="30" t="n">
        <x:f>IF(COUNTIF(技术_逐笔复盘汇总!$A$2:$A$11,$A8)=0,"",INDEX(技术_逐笔复盘汇总!$A$2:$ES$11,MATCH($A8,技术_逐笔复盘汇总!$A$2:$A$11,0),MATCH("加仓尝试次数",技术_逐笔复盘汇总!$A$1:$ES$1,0))+INDEX(技术_逐笔复盘汇总!$A$2:$ES$11,MATCH($A8,技术_逐笔复盘汇总!$A$2:$A$11,0),MATCH("实际成功加仓次数",技术_逐笔复盘汇总!$A$1:$ES$1,0)))</x:f>
        <x:v>2</x:v>
      </x:c>
      <x:c r="T8" s="30" t="str">
        <x:f>IF(COUNTIF(技术_主动交易用户汇总!$A$2:$A$11,$A8)=0,"",INDEX(技术_主动交易用户汇总!$A$2:$X$11,MATCH($A8,技术_主动交易用户汇总!$A$2:$A$11,0),MATCH("成功加仓次数",技术_主动交易用户汇总!$A$1:$X$1,0)))</x:f>
        <x:v>1</x:v>
      </x:c>
      <x:c r="U8" s="30" t="str">
        <x:f>IF(COUNTIF(技术_逐笔复盘汇总!$A$2:$A$11,$A8)=0,"",INDEX(技术_逐笔复盘汇总!$A$2:$ES$11,MATCH($A8,技术_逐笔复盘汇总!$A$2:$A$11,0),MATCH("未成交加仓撤销次数",技术_逐笔复盘汇总!$A$1:$ES$1,0)))</x:f>
        <x:v>1</x:v>
      </x:c>
      <x:c r="V8" s="30" t="str">
        <x:f>IF(COUNTIF(技术_逐笔复盘汇总!$A$2:$A$11,$A8)=0,"",INDEX(技术_逐笔复盘汇总!$A$2:$ES$11,MATCH($A8,技术_逐笔复盘汇总!$A$2:$A$11,0),MATCH("部分成交后撤余次数",技术_逐笔复盘汇总!$A$1:$ES$1,0)))</x:f>
        <x:v>0</x:v>
      </x:c>
      <x:c r="W8" s="30" t="str">
        <x:f>IF(COUNTIF(技术_主动交易用户汇总!$A$2:$A$11,$A8)=0,"",INDEX(技术_主动交易用户汇总!$A$2:$X$11,MATCH($A8,技术_主动交易用户汇总!$A$2:$A$11,0),MATCH("限价减仓或平仓尝试",技术_主动交易用户汇总!$A$1:$X$1,0)))</x:f>
        <x:v>1</x:v>
      </x:c>
      <x:c r="X8" s="30" t="str">
        <x:f>IF(COUNTIF(技术_主动交易用户汇总!$A$2:$A$11,$A8)=0,"",INDEX(技术_主动交易用户汇总!$A$2:$X$11,MATCH($A8,技术_主动交易用户汇总!$A$2:$A$11,0),MATCH("未成交限价平仓取消",技术_主动交易用户汇总!$A$1:$X$1,0)))</x:f>
        <x:v>0</x:v>
      </x:c>
      <x:c r="Y8" s="30" t="str">
        <x:f>IF(COUNTIF(技术_主动交易用户汇总!$A$2:$A$11,$A8)=0,"",INDEX(技术_主动交易用户汇总!$A$2:$X$11,MATCH($A8,技术_主动交易用户汇总!$A$2:$A$11,0),MATCH("未成交限价平仓过期",技术_主动交易用户汇总!$A$1:$X$1,0)))</x:f>
        <x:v>1</x:v>
      </x:c>
      <x:c r="Z8" s="30" t="str">
        <x:f>IF(COUNTIF(技术_主动交易用户汇总!$A$2:$A$11,$A8)=0,"",INDEX(技术_主动交易用户汇总!$A$2:$X$11,MATCH($A8,技术_主动交易用户汇总!$A$2:$A$11,0),MATCH("实际部分减仓",技术_主动交易用户汇总!$A$1:$X$1,0)))</x:f>
        <x:v>0</x:v>
      </x:c>
      <x:c r="AA8" s="30" t="str">
        <x:f>IF(COUNTIF(技术_逐笔复盘汇总!$A$2:$A$11,$A8)=0,"",INDEX(技术_逐笔复盘汇总!$A$2:$ES$11,MATCH($A8,技术_逐笔复盘汇总!$A$2:$A$11,0),MATCH("止损设置次数",技术_逐笔复盘汇总!$A$1:$ES$1,0)))</x:f>
        <x:v>2</x:v>
      </x:c>
      <x:c r="AB8" s="30" t="str">
        <x:f>IF(COUNTIF(技术_逐笔复盘汇总!$A$2:$A$11,$A8)=0,"",INDEX(技术_逐笔复盘汇总!$A$2:$ES$11,MATCH($A8,技术_逐笔复盘汇总!$A$2:$A$11,0),MATCH("止损取消次数",技术_逐笔复盘汇总!$A$1:$ES$1,0)))</x:f>
        <x:v>1</x:v>
      </x:c>
      <x:c r="AC8" s="30" t="str">
        <x:f>IF(COUNTIF(技术_逐笔复盘汇总!$A$2:$A$11,$A8)=0,"",INDEX(技术_逐笔复盘汇总!$A$2:$ES$11,MATCH($A8,技术_逐笔复盘汇总!$A$2:$A$11,0),MATCH("疑似止损调整次数",技术_逐笔复盘汇总!$A$1:$ES$1,0)))</x:f>
        <x:v>1</x:v>
      </x:c>
      <x:c r="AD8" s="30" t="str">
        <x:f>IF(COUNTIF(技术_逐笔复盘汇总!$A$2:$A$11,$A8)=0,"",INDEX(技术_逐笔复盘汇总!$A$2:$ES$11,MATCH($A8,技术_逐笔复盘汇总!$A$2:$A$11,0),MATCH("止盈设置次数",技术_逐笔复盘汇总!$A$1:$ES$1,0)))</x:f>
        <x:v>0</x:v>
      </x:c>
      <x:c r="AE8" s="30" t="str">
        <x:f>IF(COUNTIF(技术_逐笔复盘汇总!$A$2:$A$11,$A8)=0,"",INDEX(技术_逐笔复盘汇总!$A$2:$ES$11,MATCH($A8,技术_逐笔复盘汇总!$A$2:$A$11,0),MATCH("止盈取消次数",技术_逐笔复盘汇总!$A$1:$ES$1,0)))</x:f>
        <x:v>0</x:v>
      </x:c>
      <x:c r="AF8" s="30" t="str">
        <x:f>IF(COUNTIF(技术_逐笔复盘汇总!$A$2:$A$11,$A8)=0,"",INDEX(技术_逐笔复盘汇总!$A$2:$ES$11,MATCH($A8,技术_逐笔复盘汇总!$A$2:$A$11,0),MATCH("疑似止盈调整次数",技术_逐笔复盘汇总!$A$1:$ES$1,0)))</x:f>
        <x:v>0</x:v>
      </x:c>
      <x:c r="AG8" s="30" t="str">
        <x:f>IF(COUNTIF(技术_逐笔复盘汇总!$A$2:$A$11,$A8)=0,"",INDEX(技术_逐笔复盘汇总!$A$2:$ES$11,MATCH($A8,技术_逐笔复盘汇总!$A$2:$A$11,0),MATCH("需要人工确认数量",技术_逐笔复盘汇总!$A$1:$ES$1,0)))</x:f>
        <x:v>1</x:v>
      </x:c>
      <x:c r="AH8" s="31" t="str">
        <x:f>IF(COUNTIF(技术_资金展示结果!$A$2:$A$11,$A8)=0,"",INDEX(技术_资金展示结果!$A$2:$AB$11,MATCH($A8,技术_资金展示结果!$A$2:$A$11,0),MATCH("资金闭环等级",技术_资金展示结果!$A$1:$AB$1,0)))</x:f>
        <x:v>B｜大部分闭环，剩余差额有明确类别但无法精确分配</x:v>
      </x:c>
      <x:c r="AI8" s="43" t="str">
        <x:f>IF(COUNTIF(技术_资金展示结果!$A$2:$A$11,$A8)=0,"",INDEX(技术_资金展示结果!$A$2:$AB$11,MATCH($A8,技术_资金展示结果!$A$2:$A$11,0),MATCH("开仓前已确认资金事件滚动值",技术_资金展示结果!$A$1:$AB$1,0)))</x:f>
        <x:v>18312.88901795</x:v>
      </x:c>
      <x:c r="AJ8" s="43" t="str">
        <x:f>IF(COUNTIF(技术_资金展示结果!$A$2:$A$11,$A8)=0,"",INDEX(技术_资金展示结果!$A$2:$AB$11,MATCH($A8,技术_资金展示结果!$A$2:$A$11,0),MATCH("平仓后已确认资金事件滚动值",技术_资金展示结果!$A$1:$AB$1,0)))</x:f>
        <x:v>16743.19229798</x:v>
      </x:c>
      <x:c r="AK8" s="43" t="str">
        <x:f>IF(COUNTIF(技术_资金展示结果!$A$2:$A$11,$A8)=0,"",INDEX(技术_资金展示结果!$A$2:$AB$11,MATCH($A8,技术_资金展示结果!$A$2:$A$11,0),MATCH("未分配快照差额",技术_资金展示结果!$A$1:$AB$1,0)))</x:f>
        <x:v>-15117.05439265</x:v>
      </x:c>
      <x:c r="AL8" s="31" t="str">
        <x:f>IF($A8="T049","平仓后已确认资金事件滚动值为负，不能解释为真实账户总资产。实际快照与已确认事件之间仍存在43,918.85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8)=0,"",INDEX(技术_资金展示结果!$A$2:$AB$11,MATCH($A8,技术_资金展示结果!$A$2:$A$11,0),MATCH("资金展示限制说明",技术_资金展示结果!$A$1:$AB$1,0))&amp;IF($A8="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x:v>
      </x:c>
      <x:c r="AM8" s="31" t="str">
        <x:f>IF($A8="T001","阶段A—E行为链证据不可得；当前仅有D2-C正式首仓、平仓、仓位与资金事实。相关行为字段留空，不代表未发生。",IF(COUNTIF(技术_逐笔复盘汇总!$A$2:$A$11,$A8)=0,"","首仓前："&amp;SUBSTITUTE(INDEX(技术_逐笔复盘汇总!$A$2:$ES$11,MATCH($A8,技术_逐笔复盘汇总!$A$2:$A$11,0),MATCH("首仓前中文摘要",技术_逐笔复盘汇总!$A$1:$ES$1,0)),"真实委托"&amp;INDEX(技术_逐笔复盘汇总!$A$2:$ES$11,MATCH($A8,技术_逐笔复盘汇总!$A$2:$A$11,0),MATCH("形成首仓真实委托编号",技术_逐笔复盘汇总!$A$1:$ES$1,0)),"真实委托")&amp;CHAR(10)&amp;"持仓操作："&amp;SUBSTITUTE(INDEX(技术_逐笔复盘汇总!$A$2:$ES$11,MATCH($A8,技术_逐笔复盘汇总!$A$2:$A$11,0),MATCH("持仓操作中文摘要",技术_逐笔复盘汇总!$A$1:$ES$1,0)),"Fill","成交分笔")&amp;CHAR(10)&amp;"条件计划："&amp;SUBSTITUTE(SUBSTITUTE(INDEX(技术_逐笔复盘汇总!$A$2:$ES$11,MATCH($A8,技术_逐笔复盘汇总!$A$2:$A$11,0),MATCH("条件演变中文摘要",技术_逐笔复盘汇总!$A$1:$ES$1,0)),"基础Order和真实Fill","基础委托和实际成交"),"Fill","成交")))</x:f>
        <x:v>首仓前：本周期首仓前开仓意图链共1张不同开仓委托：0张未成交撤销、0张过期未成交、0张其他未成仓尝试、1张最终成功形成正式首仓；首仓前部分成交后撤余0张。真实委托以限价成交4，是本意图链中形成首仓的成功委托。从首次尝试到正式开仓历时0秒；次数按委托单统计。
持仓操作：持仓期间记录1张未形成实际加仓的加仓尝试，其中1张未成交撤销；另有1张真实成交委托成功增加仓位。部分成交后撤余0次，实际部分减仓0次，减仓或平仓委托尝试共2次，最终真实归零成交1次。加仓尝试和实际加仓分别统计，均不按成交分笔数量重复计算。
条件计划：持仓相关止损设置2次，其中取消1次、过期1次，识别出1次高置信度疑似调整；最终通过T042误触反手中的原空头结束归零；1张过期记录缺少终止时间或完整因果证据，具体原因不可得。</x:v>
      </x:c>
      <x:c r="AN8" s="31" t="str">
        <x:f>IFERROR(IF(INDEX(人工复盘完成清单!$B$6:$B$15,MATCH($A8,人工复盘完成清单!$A$6:$A$15,0))="","待填写",INDEX(人工复盘完成清单!$B$6:$B$15,MATCH($A8,人工复盘完成清单!$A$6:$A$15,0))),"待填写")</x:f>
        <x:v>待填写</x:v>
      </x:c>
      <x:c r="AO8" s="31" t="str">
        <x:f>IFERROR(IF(INDEX(人工复盘完成清单!$H$6:$H$15,MATCH($A8,人工复盘完成清单!$A$6:$A$15,0))="","待填写",INDEX(人工复盘完成清单!$H$6:$H$15,MATCH($A8,人工复盘完成清单!$A$6:$A$15,0))),"待填写")</x:f>
        <x:v>待填写</x:v>
      </x:c>
      <x:c r="AP8" s="31" t="str">
        <x:f>IFERROR(IF(INDEX(人工复盘完成清单!$L$6:$L$15,MATCH($A8,人工复盘完成清单!$A$6:$A$15,0))="","待填写",INDEX(人工复盘完成清单!$L$6:$L$15,MATCH($A8,人工复盘完成清单!$A$6:$A$15,0))),"待填写")</x:f>
        <x:v>待填写</x:v>
      </x:c>
      <x:c r="AQ8" s="31" t="str">
        <x:f>IFERROR(IF(INDEX(人工复盘完成清单!$P$6:$P$15,MATCH($A8,人工复盘完成清单!$A$6:$A$15,0))="","待填写",INDEX(人工复盘完成清单!$P$6:$P$15,MATCH($A8,人工复盘完成清单!$A$6:$A$15,0))),"待填写")</x:f>
        <x:v>待填写</x:v>
      </x:c>
      <x:c r="AR8" s="31" t="str">
        <x:f>IFERROR(IF(INDEX(人工复盘完成清单!$W$6:$W$15,MATCH($A8,人工复盘完成清单!$A$6:$A$15,0))="","",INDEX(人工复盘完成清单!$W$6:$W$15,MATCH($A8,人工复盘完成清单!$A$6:$A$15,0))),"")</x:f>
        <x:v>做多失败后，又情绪化的盲目追空，最终因为操作失误，在价格71418误触了反手做多，亏损1592.5u，不然我还是会继续扛单，反手做多后，因为我对做多更慌，马上又平仓多单</x:v>
      </x:c>
    </x:row>
    <x:row r="9" ht="92" customHeight="1">
      <x:c r="A9" s="35" t="s">
        <x:v>70</x:v>
      </x:c>
      <x:c r="B9" s="53" t="str">
        <x:f>IF(COUNTIF(技术_主动交易用户汇总!$A$2:$A$11,$A9)=0,"",INDEX(技术_主动交易用户汇总!$A$2:$X$11,MATCH($A9,技术_主动交易用户汇总!$A$2:$A$11,0),MATCH("日期",技术_主动交易用户汇总!$A$1:$X$1,0)))</x:f>
        <x:v>2026-06-02</x:v>
      </x:c>
      <x:c r="C9" s="35" t="str">
        <x:f>IF(COUNTIF(技术_主动交易用户汇总!$A$2:$A$11,$A9)=0,"",INDEX(技术_主动交易用户汇总!$A$2:$X$11,MATCH($A9,技术_主动交易用户汇总!$A$2:$A$11,0),MATCH("合约",技术_主动交易用户汇总!$A$1:$X$1,0)))</x:f>
        <x:v>BTCUSDT</x:v>
      </x:c>
      <x:c r="D9" s="35" t="str">
        <x:f>IF(COUNTIF(技术_主动交易用户汇总!$A$2:$A$11,$A9)=0,"",INDEX(技术_主动交易用户汇总!$A$2:$X$11,MATCH($A9,技术_主动交易用户汇总!$A$2:$A$11,0),MATCH("多空",技术_主动交易用户汇总!$A$1:$X$1,0)))</x:f>
        <x:v>多头</x:v>
      </x:c>
      <x:c r="E9" s="36" t="str">
        <x:f>IF(COUNTIF(技术_主动交易用户汇总!$A$2:$A$11,$A9)=0,"",INDEX(技术_主动交易用户汇总!$A$2:$X$11,MATCH($A9,技术_主动交易用户汇总!$A$2:$A$11,0),MATCH("完整正式开仓时间",技术_主动交易用户汇总!$A$1:$X$1,0)))</x:f>
        <x:v>2026-06-02 02:26:09</x:v>
      </x:c>
      <x:c r="F9" s="36" t="str">
        <x:f>IF(COUNTIF(技术_主动交易用户汇总!$A$2:$A$11,$A9)=0,"",INDEX(技术_主动交易用户汇总!$A$2:$X$11,MATCH($A9,技术_主动交易用户汇总!$A$2:$A$11,0),MATCH("完整正式平仓时间",技术_主动交易用户汇总!$A$1:$X$1,0)))</x:f>
        <x:v>2026-06-02 02:26:17</x:v>
      </x:c>
      <x:c r="G9" s="35" t="str">
        <x:f t="shared" si="0"/>
        <x:v>8秒</x:v>
      </x:c>
      <x:c r="H9" s="35" t="str">
        <x:f>IF(COUNTIF(技术_主动交易用户汇总!$A$2:$A$11,$A9)=0,"",INDEX(技术_主动交易用户汇总!$A$2:$X$11,MATCH($A9,技术_主动交易用户汇总!$A$2:$A$11,0),MATCH("最终平仓方式",技术_主动交易用户汇总!$A$1:$X$1,0)))</x:f>
        <x:v>普通市价平仓</x:v>
      </x:c>
      <x:c r="I9" s="44" t="str">
        <x:f>IF(COUNTIF(技术_主动交易用户汇总!$A$2:$A$11,$A9)=0,"",INDEX(技术_主动交易用户汇总!$A$2:$X$11,MATCH($A9,技术_主动交易用户汇总!$A$2:$A$11,0),MATCH("当前交易净结果",技术_主动交易用户汇总!$A$1:$X$1,0)))</x:f>
        <x:v>-596.616657</x:v>
      </x:c>
      <x:c r="J9" s="56" t="str">
        <x:f>IF(COUNTIF(技术_主动交易用户汇总!$A$2:$A$11,$A9)=0,"",INDEX(技术_主动交易用户汇总!$A$2:$X$11,MATCH($A9,技术_主动交易用户汇总!$A$2:$A$11,0),MATCH("首仓数量",技术_主动交易用户汇总!$A$1:$X$1,0)))</x:f>
        <x:v>8</x:v>
      </x:c>
      <x:c r="K9" s="57" t="str">
        <x:f>IF(COUNTIF(技术_主动交易用户汇总!$A$2:$A$11,$A9)=0,"",INDEX(技术_主动交易用户汇总!$A$2:$X$11,MATCH($A9,技术_主动交易用户汇总!$A$2:$A$11,0),MATCH("首仓均价",技术_主动交易用户汇总!$A$1:$X$1,0)))</x:f>
        <x:v>71418.1</x:v>
      </x:c>
      <x:c r="L9" s="56" t="str">
        <x:f>IF(COUNTIF(技术_主动交易用户汇总!$A$2:$A$11,$A9)=0,"",INDEX(技术_主动交易用户汇总!$A$2:$X$11,MATCH($A9,技术_主动交易用户汇总!$A$2:$A$11,0),MATCH("成功加仓次数",技术_主动交易用户汇总!$A$1:$X$1,0)))</x:f>
        <x:v>0</x:v>
      </x:c>
      <x:c r="M9" s="56" t="str">
        <x:f>IF(COUNTIF(技术_主动交易用户汇总!$A$2:$A$11,$A9)=0,"",INDEX(技术_主动交易用户汇总!$A$2:$X$11,MATCH($A9,技术_主动交易用户汇总!$A$2:$A$11,0),MATCH("成功加仓数量合计",技术_主动交易用户汇总!$A$1:$X$1,0)))</x:f>
        <x:v>0</x:v>
      </x:c>
      <x:c r="N9" s="56" t="str">
        <x:f>IF(COUNTIF(技术_主动交易用户汇总!$A$2:$A$11,$A9)=0,"",INDEX(技术_主动交易用户汇总!$A$2:$X$11,MATCH($A9,技术_主动交易用户汇总!$A$2:$A$11,0),MATCH("最大总持仓",技术_主动交易用户汇总!$A$1:$X$1,0)))</x:f>
        <x:v>8</x:v>
      </x:c>
      <x:c r="O9" s="57" t="n">
        <x:f>IF(COUNTIF(技术_主动交易用户汇总!$A$2:$A$11,$A9)=0,"",INDEX(技术_主动交易用户汇总!$A$2:$X$11,MATCH($A9,技术_主动交易用户汇总!$A$2:$A$11,0),MATCH("F23显示最大持仓均价",技术_主动交易用户汇总!$A$1:$X$1,0)))</x:f>
        <x:v>71418.1</x:v>
      </x:c>
      <x:c r="P9" s="34" t="str">
        <x:f>IF(COUNTIF(技术_逐笔复盘汇总!$A$2:$A$11,$A9)=0,"",INDEX(技术_逐笔复盘汇总!$A$2:$ES$11,MATCH($A9,技术_逐笔复盘汇总!$A$2:$A$11,0),MATCH("首仓前开仓尝试次数",技术_逐笔复盘汇总!$A$1:$ES$1,0)))</x:f>
        <x:v>1</x:v>
      </x:c>
      <x:c r="Q9" s="34" t="str">
        <x:f>IF(COUNTIF(技术_逐笔复盘汇总!$A$2:$A$11,$A9)=0,"",INDEX(技术_逐笔复盘汇总!$A$2:$ES$11,MATCH($A9,技术_逐笔复盘汇总!$A$2:$A$11,0),MATCH("首仓前未成交撤销次数",技术_逐笔复盘汇总!$A$1:$ES$1,0)))</x:f>
        <x:v>0</x:v>
      </x:c>
      <x:c r="R9" s="34" t="str">
        <x:f>IF(COUNTIF(技术_逐笔复盘汇总!$A$2:$A$11,$A9)=0,"",INDEX(技术_逐笔复盘汇总!$A$2:$ES$11,MATCH($A9,技术_逐笔复盘汇总!$A$2:$A$11,0),MATCH("首仓前方向切换次数",技术_逐笔复盘汇总!$A$1:$ES$1,0)))</x:f>
        <x:v>0</x:v>
      </x:c>
      <x:c r="S9" s="34" t="n">
        <x:f>IF(COUNTIF(技术_逐笔复盘汇总!$A$2:$A$11,$A9)=0,"",INDEX(技术_逐笔复盘汇总!$A$2:$ES$11,MATCH($A9,技术_逐笔复盘汇总!$A$2:$A$11,0),MATCH("加仓尝试次数",技术_逐笔复盘汇总!$A$1:$ES$1,0))+INDEX(技术_逐笔复盘汇总!$A$2:$ES$11,MATCH($A9,技术_逐笔复盘汇总!$A$2:$A$11,0),MATCH("实际成功加仓次数",技术_逐笔复盘汇总!$A$1:$ES$1,0)))</x:f>
        <x:v>0</x:v>
      </x:c>
      <x:c r="T9" s="34" t="str">
        <x:f>IF(COUNTIF(技术_主动交易用户汇总!$A$2:$A$11,$A9)=0,"",INDEX(技术_主动交易用户汇总!$A$2:$X$11,MATCH($A9,技术_主动交易用户汇总!$A$2:$A$11,0),MATCH("成功加仓次数",技术_主动交易用户汇总!$A$1:$X$1,0)))</x:f>
        <x:v>0</x:v>
      </x:c>
      <x:c r="U9" s="34" t="str">
        <x:f>IF(COUNTIF(技术_逐笔复盘汇总!$A$2:$A$11,$A9)=0,"",INDEX(技术_逐笔复盘汇总!$A$2:$ES$11,MATCH($A9,技术_逐笔复盘汇总!$A$2:$A$11,0),MATCH("未成交加仓撤销次数",技术_逐笔复盘汇总!$A$1:$ES$1,0)))</x:f>
        <x:v>0</x:v>
      </x:c>
      <x:c r="V9" s="34" t="str">
        <x:f>IF(COUNTIF(技术_逐笔复盘汇总!$A$2:$A$11,$A9)=0,"",INDEX(技术_逐笔复盘汇总!$A$2:$ES$11,MATCH($A9,技术_逐笔复盘汇总!$A$2:$A$11,0),MATCH("部分成交后撤余次数",技术_逐笔复盘汇总!$A$1:$ES$1,0)))</x:f>
        <x:v>0</x:v>
      </x:c>
      <x:c r="W9" s="34" t="str">
        <x:f>IF(COUNTIF(技术_主动交易用户汇总!$A$2:$A$11,$A9)=0,"",INDEX(技术_主动交易用户汇总!$A$2:$X$11,MATCH($A9,技术_主动交易用户汇总!$A$2:$A$11,0),MATCH("限价减仓或平仓尝试",技术_主动交易用户汇总!$A$1:$X$1,0)))</x:f>
        <x:v>0</x:v>
      </x:c>
      <x:c r="X9" s="34" t="str">
        <x:f>IF(COUNTIF(技术_主动交易用户汇总!$A$2:$A$11,$A9)=0,"",INDEX(技术_主动交易用户汇总!$A$2:$X$11,MATCH($A9,技术_主动交易用户汇总!$A$2:$A$11,0),MATCH("未成交限价平仓取消",技术_主动交易用户汇总!$A$1:$X$1,0)))</x:f>
        <x:v>0</x:v>
      </x:c>
      <x:c r="Y9" s="34" t="str">
        <x:f>IF(COUNTIF(技术_主动交易用户汇总!$A$2:$A$11,$A9)=0,"",INDEX(技术_主动交易用户汇总!$A$2:$X$11,MATCH($A9,技术_主动交易用户汇总!$A$2:$A$11,0),MATCH("未成交限价平仓过期",技术_主动交易用户汇总!$A$1:$X$1,0)))</x:f>
        <x:v>0</x:v>
      </x:c>
      <x:c r="Z9" s="34" t="str">
        <x:f>IF(COUNTIF(技术_主动交易用户汇总!$A$2:$A$11,$A9)=0,"",INDEX(技术_主动交易用户汇总!$A$2:$X$11,MATCH($A9,技术_主动交易用户汇总!$A$2:$A$11,0),MATCH("实际部分减仓",技术_主动交易用户汇总!$A$1:$X$1,0)))</x:f>
        <x:v>0</x:v>
      </x:c>
      <x:c r="AA9" s="34" t="str">
        <x:f>IF(COUNTIF(技术_逐笔复盘汇总!$A$2:$A$11,$A9)=0,"",INDEX(技术_逐笔复盘汇总!$A$2:$ES$11,MATCH($A9,技术_逐笔复盘汇总!$A$2:$A$11,0),MATCH("止损设置次数",技术_逐笔复盘汇总!$A$1:$ES$1,0)))</x:f>
        <x:v>0</x:v>
      </x:c>
      <x:c r="AB9" s="34" t="str">
        <x:f>IF(COUNTIF(技术_逐笔复盘汇总!$A$2:$A$11,$A9)=0,"",INDEX(技术_逐笔复盘汇总!$A$2:$ES$11,MATCH($A9,技术_逐笔复盘汇总!$A$2:$A$11,0),MATCH("止损取消次数",技术_逐笔复盘汇总!$A$1:$ES$1,0)))</x:f>
        <x:v>0</x:v>
      </x:c>
      <x:c r="AC9" s="34" t="str">
        <x:f>IF(COUNTIF(技术_逐笔复盘汇总!$A$2:$A$11,$A9)=0,"",INDEX(技术_逐笔复盘汇总!$A$2:$ES$11,MATCH($A9,技术_逐笔复盘汇总!$A$2:$A$11,0),MATCH("疑似止损调整次数",技术_逐笔复盘汇总!$A$1:$ES$1,0)))</x:f>
        <x:v>0</x:v>
      </x:c>
      <x:c r="AD9" s="34" t="str">
        <x:f>IF(COUNTIF(技术_逐笔复盘汇总!$A$2:$A$11,$A9)=0,"",INDEX(技术_逐笔复盘汇总!$A$2:$ES$11,MATCH($A9,技术_逐笔复盘汇总!$A$2:$A$11,0),MATCH("止盈设置次数",技术_逐笔复盘汇总!$A$1:$ES$1,0)))</x:f>
        <x:v>0</x:v>
      </x:c>
      <x:c r="AE9" s="34" t="str">
        <x:f>IF(COUNTIF(技术_逐笔复盘汇总!$A$2:$A$11,$A9)=0,"",INDEX(技术_逐笔复盘汇总!$A$2:$ES$11,MATCH($A9,技术_逐笔复盘汇总!$A$2:$A$11,0),MATCH("止盈取消次数",技术_逐笔复盘汇总!$A$1:$ES$1,0)))</x:f>
        <x:v>0</x:v>
      </x:c>
      <x:c r="AF9" s="34" t="str">
        <x:f>IF(COUNTIF(技术_逐笔复盘汇总!$A$2:$A$11,$A9)=0,"",INDEX(技术_逐笔复盘汇总!$A$2:$ES$11,MATCH($A9,技术_逐笔复盘汇总!$A$2:$A$11,0),MATCH("疑似止盈调整次数",技术_逐笔复盘汇总!$A$1:$ES$1,0)))</x:f>
        <x:v>0</x:v>
      </x:c>
      <x:c r="AG9" s="34" t="str">
        <x:f>IF(COUNTIF(技术_逐笔复盘汇总!$A$2:$A$11,$A9)=0,"",INDEX(技术_逐笔复盘汇总!$A$2:$ES$11,MATCH($A9,技术_逐笔复盘汇总!$A$2:$A$11,0),MATCH("需要人工确认数量",技术_逐笔复盘汇总!$A$1:$ES$1,0)))</x:f>
        <x:v>0</x:v>
      </x:c>
      <x:c r="AH9" s="35" t="str">
        <x:f>IF(COUNTIF(技术_资金展示结果!$A$2:$A$11,$A9)=0,"",INDEX(技术_资金展示结果!$A$2:$AB$11,MATCH($A9,技术_资金展示结果!$A$2:$A$11,0),MATCH("资金闭环等级",技术_资金展示结果!$A$1:$AB$1,0)))</x:f>
        <x:v>B｜大部分闭环，剩余差额有明确类别但无法精确分配</x:v>
      </x:c>
      <x:c r="AI9" s="44" t="str">
        <x:f>IF(COUNTIF(技术_资金展示结果!$A$2:$A$11,$A9)=0,"",INDEX(技术_资金展示结果!$A$2:$AB$11,MATCH($A9,技术_资金展示结果!$A$2:$A$11,0),MATCH("开仓前已确认资金事件滚动值",技术_资金展示结果!$A$1:$AB$1,0)))</x:f>
        <x:v>见T043反手三节点</x:v>
      </x:c>
      <x:c r="AJ9" s="44" t="str">
        <x:f>IF(COUNTIF(技术_资金展示结果!$A$2:$A$11,$A9)=0,"",INDEX(技术_资金展示结果!$A$2:$AB$11,MATCH($A9,技术_资金展示结果!$A$2:$A$11,0),MATCH("平仓后已确认资金事件滚动值",技术_资金展示结果!$A$1:$AB$1,0)))</x:f>
        <x:v>16146.57564098</x:v>
      </x:c>
      <x:c r="AK9" s="44" t="str">
        <x:f>IF(COUNTIF(技术_资金展示结果!$A$2:$A$11,$A9)=0,"",INDEX(技术_资金展示结果!$A$2:$AB$11,MATCH($A9,技术_资金展示结果!$A$2:$A$11,0),MATCH("未分配快照差额",技术_资金展示结果!$A$1:$AB$1,0)))</x:f>
        <x:v>-15117.05439265</x:v>
      </x:c>
      <x:c r="AL9" s="35" t="str">
        <x:f>IF($A9="T049","平仓后已确认资金事件滚动值为负，不能解释为真实账户总资产。实际快照与已确认事件之间仍存在43,918.85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9)=0,"",INDEX(技术_资金展示结果!$A$2:$AB$11,MATCH($A9,技术_资金展示结果!$A$2:$A$11,0),MATCH("资金展示限制说明",技术_资金展示结果!$A$1:$AB$1,0))&amp;IF($A9="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T042平仓和T043首仓同秒，仅展示可证实的三节点逻辑顺序，不伪造毫秒时间。</x:v>
      </x:c>
      <x:c r="AM9" s="35" t="str">
        <x:f>IF($A9="T001","阶段A—E行为链证据不可得；当前仅有D2-C正式首仓、平仓、仓位与资金事实。相关行为字段留空，不代表未发生。",IF(COUNTIF(技术_逐笔复盘汇总!$A$2:$A$11,$A9)=0,"","首仓前："&amp;SUBSTITUTE(INDEX(技术_逐笔复盘汇总!$A$2:$ES$11,MATCH($A9,技术_逐笔复盘汇总!$A$2:$A$11,0),MATCH("首仓前中文摘要",技术_逐笔复盘汇总!$A$1:$ES$1,0)),"真实委托"&amp;INDEX(技术_逐笔复盘汇总!$A$2:$ES$11,MATCH($A9,技术_逐笔复盘汇总!$A$2:$A$11,0),MATCH("形成首仓真实委托编号",技术_逐笔复盘汇总!$A$1:$ES$1,0)),"真实委托")&amp;CHAR(10)&amp;"持仓操作："&amp;SUBSTITUTE(INDEX(技术_逐笔复盘汇总!$A$2:$ES$11,MATCH($A9,技术_逐笔复盘汇总!$A$2:$A$11,0),MATCH("持仓操作中文摘要",技术_逐笔复盘汇总!$A$1:$ES$1,0)),"Fill","成交分笔")&amp;CHAR(10)&amp;"条件计划："&amp;SUBSTITUTE(SUBSTITUTE(INDEX(技术_逐笔复盘汇总!$A$2:$ES$11,MATCH($A9,技术_逐笔复盘汇总!$A$2:$A$11,0),MATCH("条件演变中文摘要",技术_逐笔复盘汇总!$A$1:$ES$1,0)),"基础Order和真实Fill","基础委托和实际成交"),"Fill","成交")))</x:f>
        <x:v>首仓前：本周期首仓前开仓意图链共1张不同开仓委托：0张未成交撤销、0张过期未成交、0张其他未成仓尝试、1张最终成功形成正式首仓；首仓前部分成交后撤余0张。真实委托以市价成交8，是本意图链中形成首仓的成功委托。从首次尝试到正式开仓历时0秒；次数按委托单统计。
持仓操作：持仓期间记录0张未形成实际加仓的加仓尝试，其中0张未成交撤销；另有0张真实成交委托成功增加仓位。部分成交后撤余0次，实际部分减仓0次，减仓或平仓委托尝试共1次，最终真实归零成交1次。加仓尝试和实际加仓分别统计，均不按成交分笔数量重复计算。
条件计划：未找到可纳入本周期的条件委托记录；最终通过普通市价平仓归零。</x:v>
      </x:c>
      <x:c r="AN9" s="35" t="str">
        <x:f>IFERROR(IF(INDEX(人工复盘完成清单!$B$6:$B$15,MATCH($A9,人工复盘完成清单!$A$6:$A$15,0))="","待填写",INDEX(人工复盘完成清单!$B$6:$B$15,MATCH($A9,人工复盘完成清单!$A$6:$A$15,0))),"待填写")</x:f>
        <x:v>待填写</x:v>
      </x:c>
      <x:c r="AO9" s="35" t="str">
        <x:f>IFERROR(IF(INDEX(人工复盘完成清单!$H$6:$H$15,MATCH($A9,人工复盘完成清单!$A$6:$A$15,0))="","待填写",INDEX(人工复盘完成清单!$H$6:$H$15,MATCH($A9,人工复盘完成清单!$A$6:$A$15,0))),"待填写")</x:f>
        <x:v>待填写</x:v>
      </x:c>
      <x:c r="AP9" s="35" t="str">
        <x:f>IFERROR(IF(INDEX(人工复盘完成清单!$L$6:$L$15,MATCH($A9,人工复盘完成清单!$A$6:$A$15,0))="","待填写",INDEX(人工复盘完成清单!$L$6:$L$15,MATCH($A9,人工复盘完成清单!$A$6:$A$15,0))),"待填写")</x:f>
        <x:v>待填写</x:v>
      </x:c>
      <x:c r="AQ9" s="35" t="str">
        <x:f>IFERROR(IF(INDEX(人工复盘完成清单!$P$6:$P$15,MATCH($A9,人工复盘完成清单!$A$6:$A$15,0))="","待填写",INDEX(人工复盘完成清单!$P$6:$P$15,MATCH($A9,人工复盘完成清单!$A$6:$A$15,0))),"待填写")</x:f>
        <x:v>待填写</x:v>
      </x:c>
      <x:c r="AR9" s="35" t="str">
        <x:f>IFERROR(IF(INDEX(人工复盘完成清单!$W$6:$W$15,MATCH($A9,人工复盘完成清单!$A$6:$A$15,0))="","",INDEX(人工复盘完成清单!$W$6:$W$15,MATCH($A9,人工复盘完成清单!$A$6:$A$15,0))),"")</x:f>
        <x:v>扛单时精神紧绷，不断地来回切手机交易所的各个界面，导致误触反手开单</x:v>
      </x:c>
    </x:row>
    <x:row r="10" ht="92" customHeight="1">
      <x:c r="A10" s="31" t="s">
        <x:v>71</x:v>
      </x:c>
      <x:c r="B10" s="52" t="str">
        <x:f>IF(COUNTIF(技术_主动交易用户汇总!$A$2:$A$11,$A10)=0,"",INDEX(技术_主动交易用户汇总!$A$2:$X$11,MATCH($A10,技术_主动交易用户汇总!$A$2:$A$11,0),MATCH("日期",技术_主动交易用户汇总!$A$1:$X$1,0)))</x:f>
        <x:v>2026-06-02</x:v>
      </x:c>
      <x:c r="C10" s="31" t="str">
        <x:f>IF(COUNTIF(技术_主动交易用户汇总!$A$2:$A$11,$A10)=0,"",INDEX(技术_主动交易用户汇总!$A$2:$X$11,MATCH($A10,技术_主动交易用户汇总!$A$2:$A$11,0),MATCH("合约",技术_主动交易用户汇总!$A$1:$X$1,0)))</x:f>
        <x:v>BTCUSDT</x:v>
      </x:c>
      <x:c r="D10" s="31" t="str">
        <x:f>IF(COUNTIF(技术_主动交易用户汇总!$A$2:$A$11,$A10)=0,"",INDEX(技术_主动交易用户汇总!$A$2:$X$11,MATCH($A10,技术_主动交易用户汇总!$A$2:$A$11,0),MATCH("多空",技术_主动交易用户汇总!$A$1:$X$1,0)))</x:f>
        <x:v>多头</x:v>
      </x:c>
      <x:c r="E10" s="32" t="str">
        <x:f>IF(COUNTIF(技术_主动交易用户汇总!$A$2:$A$11,$A10)=0,"",INDEX(技术_主动交易用户汇总!$A$2:$X$11,MATCH($A10,技术_主动交易用户汇总!$A$2:$A$11,0),MATCH("完整正式开仓时间",技术_主动交易用户汇总!$A$1:$X$1,0)))</x:f>
        <x:v>2026-06-02 19:07:21</x:v>
      </x:c>
      <x:c r="F10" s="32" t="str">
        <x:f>IF(COUNTIF(技术_主动交易用户汇总!$A$2:$A$11,$A10)=0,"",INDEX(技术_主动交易用户汇总!$A$2:$X$11,MATCH($A10,技术_主动交易用户汇总!$A$2:$A$11,0),MATCH("完整正式平仓时间",技术_主动交易用户汇总!$A$1:$X$1,0)))</x:f>
        <x:v>2026-06-03 03:33:28</x:v>
      </x:c>
      <x:c r="G10" s="31" t="str">
        <x:f t="shared" si="0"/>
        <x:v>8小时26分7秒</x:v>
      </x:c>
      <x:c r="H10" s="31" t="str">
        <x:f>IF(COUNTIF(技术_主动交易用户汇总!$A$2:$A$11,$A10)=0,"",INDEX(技术_主动交易用户汇总!$A$2:$X$11,MATCH($A10,技术_主动交易用户汇总!$A$2:$A$11,0),MATCH("最终平仓方式",技术_主动交易用户汇总!$A$1:$X$1,0)))</x:f>
        <x:v>条件止损触发平仓</x:v>
      </x:c>
      <x:c r="I10" s="43" t="str">
        <x:f>IF(COUNTIF(技术_主动交易用户汇总!$A$2:$A$11,$A10)=0,"",INDEX(技术_主动交易用户汇总!$A$2:$X$11,MATCH($A10,技术_主动交易用户汇总!$A$2:$A$11,0),MATCH("当前交易净结果",技术_主动交易用户汇总!$A$1:$X$1,0)))</x:f>
        <x:v>-38141.92735122</x:v>
      </x:c>
      <x:c r="J10" s="54" t="str">
        <x:f>IF(COUNTIF(技术_主动交易用户汇总!$A$2:$A$11,$A10)=0,"",INDEX(技术_主动交易用户汇总!$A$2:$X$11,MATCH($A10,技术_主动交易用户汇总!$A$2:$A$11,0),MATCH("首仓数量",技术_主动交易用户汇总!$A$1:$X$1,0)))</x:f>
        <x:v>4</x:v>
      </x:c>
      <x:c r="K10" s="55" t="str">
        <x:f>IF(COUNTIF(技术_主动交易用户汇总!$A$2:$A$11,$A10)=0,"",INDEX(技术_主动交易用户汇总!$A$2:$X$11,MATCH($A10,技术_主动交易用户汇总!$A$2:$A$11,0),MATCH("首仓均价",技术_主动交易用户汇总!$A$1:$X$1,0)))</x:f>
        <x:v>69540</x:v>
      </x:c>
      <x:c r="L10" s="54" t="str">
        <x:f>IF(COUNTIF(技术_主动交易用户汇总!$A$2:$A$11,$A10)=0,"",INDEX(技术_主动交易用户汇总!$A$2:$X$11,MATCH($A10,技术_主动交易用户汇总!$A$2:$A$11,0),MATCH("成功加仓次数",技术_主动交易用户汇总!$A$1:$X$1,0)))</x:f>
        <x:v>5</x:v>
      </x:c>
      <x:c r="M10" s="54" t="str">
        <x:f>IF(COUNTIF(技术_主动交易用户汇总!$A$2:$A$11,$A10)=0,"",INDEX(技术_主动交易用户汇总!$A$2:$X$11,MATCH($A10,技术_主动交易用户汇总!$A$2:$A$11,0),MATCH("成功加仓数量合计",技术_主动交易用户汇总!$A$1:$X$1,0)))</x:f>
        <x:v>27.852</x:v>
      </x:c>
      <x:c r="N10" s="54" t="str">
        <x:f>IF(COUNTIF(技术_主动交易用户汇总!$A$2:$A$11,$A10)=0,"",INDEX(技术_主动交易用户汇总!$A$2:$X$11,MATCH($A10,技术_主动交易用户汇总!$A$2:$A$11,0),MATCH("最大总持仓",技术_主动交易用户汇总!$A$1:$X$1,0)))</x:f>
        <x:v>27.852</x:v>
      </x:c>
      <x:c r="O10" s="55" t="n">
        <x:f>IF(COUNTIF(技术_主动交易用户汇总!$A$2:$A$11,$A10)=0,"",INDEX(技术_主动交易用户汇总!$A$2:$X$11,MATCH($A10,技术_主动交易用户汇总!$A$2:$A$11,0),MATCH("F23显示最大持仓均价",技术_主动交易用户汇总!$A$1:$X$1,0)))</x:f>
        <x:v>67631.45</x:v>
      </x:c>
      <x:c r="P10" s="30" t="str">
        <x:f>IF(COUNTIF(技术_逐笔复盘汇总!$A$2:$A$11,$A10)=0,"",INDEX(技术_逐笔复盘汇总!$A$2:$ES$11,MATCH($A10,技术_逐笔复盘汇总!$A$2:$A$11,0),MATCH("首仓前开仓尝试次数",技术_逐笔复盘汇总!$A$1:$ES$1,0)))</x:f>
        <x:v>5</x:v>
      </x:c>
      <x:c r="Q10" s="30" t="str">
        <x:f>IF(COUNTIF(技术_逐笔复盘汇总!$A$2:$A$11,$A10)=0,"",INDEX(技术_逐笔复盘汇总!$A$2:$ES$11,MATCH($A10,技术_逐笔复盘汇总!$A$2:$A$11,0),MATCH("首仓前未成交撤销次数",技术_逐笔复盘汇总!$A$1:$ES$1,0)))</x:f>
        <x:v>4</x:v>
      </x:c>
      <x:c r="R10" s="30" t="str">
        <x:f>IF(COUNTIF(技术_逐笔复盘汇总!$A$2:$A$11,$A10)=0,"",INDEX(技术_逐笔复盘汇总!$A$2:$ES$11,MATCH($A10,技术_逐笔复盘汇总!$A$2:$A$11,0),MATCH("首仓前方向切换次数",技术_逐笔复盘汇总!$A$1:$ES$1,0)))</x:f>
        <x:v>4</x:v>
      </x:c>
      <x:c r="S10" s="30" t="n">
        <x:f>IF(COUNTIF(技术_逐笔复盘汇总!$A$2:$A$11,$A10)=0,"",INDEX(技术_逐笔复盘汇总!$A$2:$ES$11,MATCH($A10,技术_逐笔复盘汇总!$A$2:$A$11,0),MATCH("加仓尝试次数",技术_逐笔复盘汇总!$A$1:$ES$1,0))+INDEX(技术_逐笔复盘汇总!$A$2:$ES$11,MATCH($A10,技术_逐笔复盘汇总!$A$2:$A$11,0),MATCH("实际成功加仓次数",技术_逐笔复盘汇总!$A$1:$ES$1,0)))</x:f>
        <x:v>17</x:v>
      </x:c>
      <x:c r="T10" s="30" t="str">
        <x:f>IF(COUNTIF(技术_主动交易用户汇总!$A$2:$A$11,$A10)=0,"",INDEX(技术_主动交易用户汇总!$A$2:$X$11,MATCH($A10,技术_主动交易用户汇总!$A$2:$A$11,0),MATCH("成功加仓次数",技术_主动交易用户汇总!$A$1:$X$1,0)))</x:f>
        <x:v>5</x:v>
      </x:c>
      <x:c r="U10" s="30" t="str">
        <x:f>IF(COUNTIF(技术_逐笔复盘汇总!$A$2:$A$11,$A10)=0,"",INDEX(技术_逐笔复盘汇总!$A$2:$ES$11,MATCH($A10,技术_逐笔复盘汇总!$A$2:$A$11,0),MATCH("未成交加仓撤销次数",技术_逐笔复盘汇总!$A$1:$ES$1,0)))</x:f>
        <x:v>12</x:v>
      </x:c>
      <x:c r="V10" s="30" t="str">
        <x:f>IF(COUNTIF(技术_逐笔复盘汇总!$A$2:$A$11,$A10)=0,"",INDEX(技术_逐笔复盘汇总!$A$2:$ES$11,MATCH($A10,技术_逐笔复盘汇总!$A$2:$A$11,0),MATCH("部分成交后撤余次数",技术_逐笔复盘汇总!$A$1:$ES$1,0)))</x:f>
        <x:v>0</x:v>
      </x:c>
      <x:c r="W10" s="30" t="str">
        <x:f>IF(COUNTIF(技术_主动交易用户汇总!$A$2:$A$11,$A10)=0,"",INDEX(技术_主动交易用户汇总!$A$2:$X$11,MATCH($A10,技术_主动交易用户汇总!$A$2:$A$11,0),MATCH("限价减仓或平仓尝试",技术_主动交易用户汇总!$A$1:$X$1,0)))</x:f>
        <x:v>16</x:v>
      </x:c>
      <x:c r="X10" s="30" t="str">
        <x:f>IF(COUNTIF(技术_主动交易用户汇总!$A$2:$A$11,$A10)=0,"",INDEX(技术_主动交易用户汇总!$A$2:$X$11,MATCH($A10,技术_主动交易用户汇总!$A$2:$A$11,0),MATCH("未成交限价平仓取消",技术_主动交易用户汇总!$A$1:$X$1,0)))</x:f>
        <x:v>13</x:v>
      </x:c>
      <x:c r="Y10" s="30" t="str">
        <x:f>IF(COUNTIF(技术_主动交易用户汇总!$A$2:$A$11,$A10)=0,"",INDEX(技术_主动交易用户汇总!$A$2:$X$11,MATCH($A10,技术_主动交易用户汇总!$A$2:$A$11,0),MATCH("未成交限价平仓过期",技术_主动交易用户汇总!$A$1:$X$1,0)))</x:f>
        <x:v>2</x:v>
      </x:c>
      <x:c r="Z10" s="30" t="str">
        <x:f>IF(COUNTIF(技术_主动交易用户汇总!$A$2:$A$11,$A10)=0,"",INDEX(技术_主动交易用户汇总!$A$2:$X$11,MATCH($A10,技术_主动交易用户汇总!$A$2:$A$11,0),MATCH("实际部分减仓",技术_主动交易用户汇总!$A$1:$X$1,0)))</x:f>
        <x:v>1</x:v>
      </x:c>
      <x:c r="AA10" s="30" t="str">
        <x:f>IF(COUNTIF(技术_逐笔复盘汇总!$A$2:$A$11,$A10)=0,"",INDEX(技术_逐笔复盘汇总!$A$2:$ES$11,MATCH($A10,技术_逐笔复盘汇总!$A$2:$A$11,0),MATCH("止损设置次数",技术_逐笔复盘汇总!$A$1:$ES$1,0)))</x:f>
        <x:v>14</x:v>
      </x:c>
      <x:c r="AB10" s="30" t="str">
        <x:f>IF(COUNTIF(技术_逐笔复盘汇总!$A$2:$A$11,$A10)=0,"",INDEX(技术_逐笔复盘汇总!$A$2:$ES$11,MATCH($A10,技术_逐笔复盘汇总!$A$2:$A$11,0),MATCH("止损取消次数",技术_逐笔复盘汇总!$A$1:$ES$1,0)))</x:f>
        <x:v>13</x:v>
      </x:c>
      <x:c r="AC10" s="30" t="str">
        <x:f>IF(COUNTIF(技术_逐笔复盘汇总!$A$2:$A$11,$A10)=0,"",INDEX(技术_逐笔复盘汇总!$A$2:$ES$11,MATCH($A10,技术_逐笔复盘汇总!$A$2:$A$11,0),MATCH("疑似止损调整次数",技术_逐笔复盘汇总!$A$1:$ES$1,0)))</x:f>
        <x:v>10</x:v>
      </x:c>
      <x:c r="AD10" s="30" t="str">
        <x:f>IF(COUNTIF(技术_逐笔复盘汇总!$A$2:$A$11,$A10)=0,"",INDEX(技术_逐笔复盘汇总!$A$2:$ES$11,MATCH($A10,技术_逐笔复盘汇总!$A$2:$A$11,0),MATCH("止盈设置次数",技术_逐笔复盘汇总!$A$1:$ES$1,0)))</x:f>
        <x:v>8</x:v>
      </x:c>
      <x:c r="AE10" s="30" t="str">
        <x:f>IF(COUNTIF(技术_逐笔复盘汇总!$A$2:$A$11,$A10)=0,"",INDEX(技术_逐笔复盘汇总!$A$2:$ES$11,MATCH($A10,技术_逐笔复盘汇总!$A$2:$A$11,0),MATCH("止盈取消次数",技术_逐笔复盘汇总!$A$1:$ES$1,0)))</x:f>
        <x:v>8</x:v>
      </x:c>
      <x:c r="AF10" s="30" t="str">
        <x:f>IF(COUNTIF(技术_逐笔复盘汇总!$A$2:$A$11,$A10)=0,"",INDEX(技术_逐笔复盘汇总!$A$2:$ES$11,MATCH($A10,技术_逐笔复盘汇总!$A$2:$A$11,0),MATCH("疑似止盈调整次数",技术_逐笔复盘汇总!$A$1:$ES$1,0)))</x:f>
        <x:v>7</x:v>
      </x:c>
      <x:c r="AG10" s="30" t="str">
        <x:f>IF(COUNTIF(技术_逐笔复盘汇总!$A$2:$A$11,$A10)=0,"",INDEX(技术_逐笔复盘汇总!$A$2:$ES$11,MATCH($A10,技术_逐笔复盘汇总!$A$2:$A$11,0),MATCH("需要人工确认数量",技术_逐笔复盘汇总!$A$1:$ES$1,0)))</x:f>
        <x:v>23</x:v>
      </x:c>
      <x:c r="AH10" s="31" t="str">
        <x:f>IF(COUNTIF(技术_资金展示结果!$A$2:$A$11,$A10)=0,"",INDEX(技术_资金展示结果!$A$2:$AB$11,MATCH($A10,技术_资金展示结果!$A$2:$A$11,0),MATCH("资金闭环等级",技术_资金展示结果!$A$1:$AB$1,0)))</x:f>
        <x:v>B｜大部分闭环，剩余差额有明确类别但无法精确分配</x:v>
      </x:c>
      <x:c r="AI10" s="43" t="str">
        <x:f>IF(COUNTIF(技术_资金展示结果!$A$2:$A$11,$A10)=0,"",INDEX(技术_资金展示结果!$A$2:$AB$11,MATCH($A10,技术_资金展示结果!$A$2:$A$11,0),MATCH("开仓前已确认资金事件滚动值",技术_资金展示结果!$A$1:$AB$1,0)))</x:f>
        <x:v>3315.43985308</x:v>
      </x:c>
      <x:c r="AJ10" s="43" t="str">
        <x:f>IF(COUNTIF(技术_资金展示结果!$A$2:$A$11,$A10)=0,"",INDEX(技术_资金展示结果!$A$2:$AB$11,MATCH($A10,技术_资金展示结果!$A$2:$A$11,0),MATCH("平仓后已确认资金事件滚动值",技术_资金展示结果!$A$1:$AB$1,0)))</x:f>
        <x:v>-5729.22065526</x:v>
      </x:c>
      <x:c r="AK10" s="43" t="str">
        <x:f>IF(COUNTIF(技术_资金展示结果!$A$2:$A$11,$A10)=0,"",INDEX(技术_资金展示结果!$A$2:$AB$11,MATCH($A10,技术_资金展示结果!$A$2:$A$11,0),MATCH("未分配快照差额",技术_资金展示结果!$A$1:$AB$1,0)))</x:f>
        <x:v>43918.85220162</x:v>
      </x:c>
      <x:c r="AL10" s="31" t="str">
        <x:f>IF($A10="T049","平仓后已确认资金事件滚动值为负，不能解释为真实账户总资产。实际快照与已确认事件之间仍存在43,918.85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10)=0,"",INDEX(技术_资金展示结果!$A$2:$AB$11,MATCH($A10,技术_资金展示结果!$A$2:$A$11,0),MATCH("资金展示限制说明",技术_资金展示结果!$A$1:$AB$1,0))&amp;IF($A10="T069",CHAR(10)&amp;"T069正式首仓前存在10笔已确认账户费用，合计-21.43 USDT；该费用已进入开仓前已确认资金事件滚动值，但不属于T069正式周期净结果，也不得计入周期内手续费。","")))</x:f>
        <x:v>平仓后已确认资金事件滚动值为负，不能解释为真实账户总资产。实际快照与已确认事件之间仍存在43,918.85 USDT未分配差额，可能涉及不可得的未实现盈亏、快照口径或多资产估值，不归因于T049本身。</x:v>
      </x:c>
      <x:c r="AM10" s="31" t="str">
        <x:f>IF($A10="T001","阶段A—E行为链证据不可得；当前仅有D2-C正式首仓、平仓、仓位与资金事实。相关行为字段留空，不代表未发生。",IF(COUNTIF(技术_逐笔复盘汇总!$A$2:$A$11,$A10)=0,"","首仓前："&amp;SUBSTITUTE(INDEX(技术_逐笔复盘汇总!$A$2:$ES$11,MATCH($A10,技术_逐笔复盘汇总!$A$2:$A$11,0),MATCH("首仓前中文摘要",技术_逐笔复盘汇总!$A$1:$ES$1,0)),"真实委托"&amp;INDEX(技术_逐笔复盘汇总!$A$2:$ES$11,MATCH($A10,技术_逐笔复盘汇总!$A$2:$A$11,0),MATCH("形成首仓真实委托编号",技术_逐笔复盘汇总!$A$1:$ES$1,0)),"真实委托")&amp;CHAR(10)&amp;"持仓操作："&amp;SUBSTITUTE(INDEX(技术_逐笔复盘汇总!$A$2:$ES$11,MATCH($A10,技术_逐笔复盘汇总!$A$2:$A$11,0),MATCH("持仓操作中文摘要",技术_逐笔复盘汇总!$A$1:$ES$1,0)),"Fill","成交分笔")&amp;CHAR(10)&amp;"条件计划："&amp;SUBSTITUTE(SUBSTITUTE(INDEX(技术_逐笔复盘汇总!$A$2:$ES$11,MATCH($A10,技术_逐笔复盘汇总!$A$2:$A$11,0),MATCH("条件演变中文摘要",技术_逐笔复盘汇总!$A$1:$ES$1,0)),"基础Order和真实Fill","基础委托和实际成交"),"Fill","成交")))</x:f>
        <x:v>首仓前：本周期首仓前开仓意图链共5张不同开仓委托：4张未成交撤销、0张过期未成交、0张其他未成仓尝试、1张最终成功形成正式首仓；首仓前部分成交后撤余0张。真实委托以限价成交4，是本意图链中形成首仓的成功委托。客观识别方向切换4次；具体主观原因待人工填写。从首次尝试到正式开仓历时43分46秒；次数按委托单统计。
持仓操作：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成交分笔数量重复计算。
条件计划：持仓相关止损设置14次，其中取消13次、过期0次，识别出10次高置信度疑似调整；止盈设置8次，其中取消8次、过期0次，识别出7次高置信度疑似调整；共有1张条件委托经生成基础委托和实际成交后使仓位归零。</x:v>
      </x:c>
      <x:c r="AN10" s="31" t="str">
        <x:f>IFERROR(IF(INDEX(人工复盘完成清单!$B$6:$B$15,MATCH($A10,人工复盘完成清单!$A$6:$A$15,0))="","待填写",INDEX(人工复盘完成清单!$B$6:$B$15,MATCH($A10,人工复盘完成清单!$A$6:$A$15,0))),"待填写")</x:f>
        <x:v>待填写</x:v>
      </x:c>
      <x:c r="AO10" s="31" t="str">
        <x:f>IFERROR(IF(INDEX(人工复盘完成清单!$H$6:$H$15,MATCH($A10,人工复盘完成清单!$A$6:$A$15,0))="","待填写",INDEX(人工复盘完成清单!$H$6:$H$15,MATCH($A10,人工复盘完成清单!$A$6:$A$15,0))),"待填写")</x:f>
        <x:v>待填写</x:v>
      </x:c>
      <x:c r="AP10" s="31" t="str">
        <x:f>IFERROR(IF(INDEX(人工复盘完成清单!$L$6:$L$15,MATCH($A10,人工复盘完成清单!$A$6:$A$15,0))="","待填写",INDEX(人工复盘完成清单!$L$6:$L$15,MATCH($A10,人工复盘完成清单!$A$6:$A$15,0))),"待填写")</x:f>
        <x:v>待填写</x:v>
      </x:c>
      <x:c r="AQ10" s="31" t="str">
        <x:f>IFERROR(IF(INDEX(人工复盘完成清单!$P$6:$P$15,MATCH($A10,人工复盘完成清单!$A$6:$A$15,0))="","待填写",INDEX(人工复盘完成清单!$P$6:$P$15,MATCH($A10,人工复盘完成清单!$A$6:$A$15,0))),"待填写")</x:f>
        <x:v>待填写</x:v>
      </x:c>
      <x:c r="AR10" s="31" t="str">
        <x:f>IFERROR(IF(INDEX(人工复盘完成清单!$W$6:$W$15,MATCH($A10,人工复盘完成清单!$A$6:$A$15,0))="","",INDEX(人工复盘完成清单!$W$6:$W$15,MATCH($A10,人工复盘完成清单!$A$6:$A$15,0))),"")</x:f>
        <x:v>想重仓短撸博取小利润，重仓，浮亏加重仓，不舍得小止损，侥幸心理</x:v>
      </x:c>
    </x:row>
    <x:row r="11" ht="92" customHeight="1">
      <x:c r="A11" s="35" t="s">
        <x:v>72</x:v>
      </x:c>
      <x:c r="B11" s="53" t="str">
        <x:f>IF(COUNTIF(技术_主动交易用户汇总!$A$2:$A$11,$A11)=0,"",INDEX(技术_主动交易用户汇总!$A$2:$X$11,MATCH($A11,技术_主动交易用户汇总!$A$2:$A$11,0),MATCH("日期",技术_主动交易用户汇总!$A$1:$X$1,0)))</x:f>
        <x:v>2026-06-04</x:v>
      </x:c>
      <x:c r="C11" s="35" t="str">
        <x:f>IF(COUNTIF(技术_主动交易用户汇总!$A$2:$A$11,$A11)=0,"",INDEX(技术_主动交易用户汇总!$A$2:$X$11,MATCH($A11,技术_主动交易用户汇总!$A$2:$A$11,0),MATCH("合约",技术_主动交易用户汇总!$A$1:$X$1,0)))</x:f>
        <x:v>BTCUSDT</x:v>
      </x:c>
      <x:c r="D11" s="35" t="str">
        <x:f>IF(COUNTIF(技术_主动交易用户汇总!$A$2:$A$11,$A11)=0,"",INDEX(技术_主动交易用户汇总!$A$2:$X$11,MATCH($A11,技术_主动交易用户汇总!$A$2:$A$11,0),MATCH("多空",技术_主动交易用户汇总!$A$1:$X$1,0)))</x:f>
        <x:v>空头</x:v>
      </x:c>
      <x:c r="E11" s="36" t="str">
        <x:f>IF(COUNTIF(技术_主动交易用户汇总!$A$2:$A$11,$A11)=0,"",INDEX(技术_主动交易用户汇总!$A$2:$X$11,MATCH($A11,技术_主动交易用户汇总!$A$2:$A$11,0),MATCH("完整正式开仓时间",技术_主动交易用户汇总!$A$1:$X$1,0)))</x:f>
        <x:v>2026-06-04 03:07:24</x:v>
      </x:c>
      <x:c r="F11" s="36" t="str">
        <x:f>IF(COUNTIF(技术_主动交易用户汇总!$A$2:$A$11,$A11)=0,"",INDEX(技术_主动交易用户汇总!$A$2:$X$11,MATCH($A11,技术_主动交易用户汇总!$A$2:$A$11,0),MATCH("完整正式平仓时间",技术_主动交易用户汇总!$A$1:$X$1,0)))</x:f>
        <x:v>2026-06-04 06:00:03</x:v>
      </x:c>
      <x:c r="G11" s="35" t="str">
        <x:f t="shared" si="0"/>
        <x:v>2小时52分39秒</x:v>
      </x:c>
      <x:c r="H11" s="35" t="str">
        <x:f>IF(COUNTIF(技术_主动交易用户汇总!$A$2:$A$11,$A11)=0,"",INDEX(技术_主动交易用户汇总!$A$2:$X$11,MATCH($A11,技术_主动交易用户汇总!$A$2:$A$11,0),MATCH("最终平仓方式",技术_主动交易用户汇总!$A$1:$X$1,0)))</x:f>
        <x:v>普通限价平仓</x:v>
      </x:c>
      <x:c r="I11" s="44" t="str">
        <x:f>IF(COUNTIF(技术_主动交易用户汇总!$A$2:$A$11,$A11)=0,"",INDEX(技术_主动交易用户汇总!$A$2:$X$11,MATCH($A11,技术_主动交易用户汇总!$A$2:$A$11,0),MATCH("当前交易净结果",技术_主动交易用户汇总!$A$1:$X$1,0)))</x:f>
        <x:v>1129.90438067</x:v>
      </x:c>
      <x:c r="J11" s="56" t="str">
        <x:f>IF(COUNTIF(技术_主动交易用户汇总!$A$2:$A$11,$A11)=0,"",INDEX(技术_主动交易用户汇总!$A$2:$X$11,MATCH($A11,技术_主动交易用户汇总!$A$2:$A$11,0),MATCH("首仓数量",技术_主动交易用户汇总!$A$1:$X$1,0)))</x:f>
        <x:v>5</x:v>
      </x:c>
      <x:c r="K11" s="57" t="str">
        <x:f>IF(COUNTIF(技术_主动交易用户汇总!$A$2:$A$11,$A11)=0,"",INDEX(技术_主动交易用户汇总!$A$2:$X$11,MATCH($A11,技术_主动交易用户汇总!$A$2:$A$11,0),MATCH("首仓均价",技术_主动交易用户汇总!$A$1:$X$1,0)))</x:f>
        <x:v>65971</x:v>
      </x:c>
      <x:c r="L11" s="56" t="str">
        <x:f>IF(COUNTIF(技术_主动交易用户汇总!$A$2:$A$11,$A11)=0,"",INDEX(技术_主动交易用户汇总!$A$2:$X$11,MATCH($A11,技术_主动交易用户汇总!$A$2:$A$11,0),MATCH("成功加仓次数",技术_主动交易用户汇总!$A$1:$X$1,0)))</x:f>
        <x:v>1</x:v>
      </x:c>
      <x:c r="M11" s="56" t="str">
        <x:f>IF(COUNTIF(技术_主动交易用户汇总!$A$2:$A$11,$A11)=0,"",INDEX(技术_主动交易用户汇总!$A$2:$X$11,MATCH($A11,技术_主动交易用户汇总!$A$2:$A$11,0),MATCH("成功加仓数量合计",技术_主动交易用户汇总!$A$1:$X$1,0)))</x:f>
        <x:v>3</x:v>
      </x:c>
      <x:c r="N11" s="56" t="str">
        <x:f>IF(COUNTIF(技术_主动交易用户汇总!$A$2:$A$11,$A11)=0,"",INDEX(技术_主动交易用户汇总!$A$2:$X$11,MATCH($A11,技术_主动交易用户汇总!$A$2:$A$11,0),MATCH("最大总持仓",技术_主动交易用户汇总!$A$1:$X$1,0)))</x:f>
        <x:v>8</x:v>
      </x:c>
      <x:c r="O11" s="57" t="n">
        <x:f>IF(COUNTIF(技术_主动交易用户汇总!$A$2:$A$11,$A11)=0,"",INDEX(技术_主动交易用户汇总!$A$2:$X$11,MATCH($A11,技术_主动交易用户汇总!$A$2:$A$11,0),MATCH("F23显示最大持仓均价",技术_主动交易用户汇总!$A$1:$X$1,0)))</x:f>
        <x:v>65870.88</x:v>
      </x:c>
      <x:c r="P11" s="34" t="str">
        <x:f>IF(COUNTIF(技术_逐笔复盘汇总!$A$2:$A$11,$A11)=0,"",INDEX(技术_逐笔复盘汇总!$A$2:$ES$11,MATCH($A11,技术_逐笔复盘汇总!$A$2:$A$11,0),MATCH("首仓前开仓尝试次数",技术_逐笔复盘汇总!$A$1:$ES$1,0)))</x:f>
        <x:v>3</x:v>
      </x:c>
      <x:c r="Q11" s="34" t="str">
        <x:f>IF(COUNTIF(技术_逐笔复盘汇总!$A$2:$A$11,$A11)=0,"",INDEX(技术_逐笔复盘汇总!$A$2:$ES$11,MATCH($A11,技术_逐笔复盘汇总!$A$2:$A$11,0),MATCH("首仓前未成交撤销次数",技术_逐笔复盘汇总!$A$1:$ES$1,0)))</x:f>
        <x:v>2</x:v>
      </x:c>
      <x:c r="R11" s="34" t="str">
        <x:f>IF(COUNTIF(技术_逐笔复盘汇总!$A$2:$A$11,$A11)=0,"",INDEX(技术_逐笔复盘汇总!$A$2:$ES$11,MATCH($A11,技术_逐笔复盘汇总!$A$2:$A$11,0),MATCH("首仓前方向切换次数",技术_逐笔复盘汇总!$A$1:$ES$1,0)))</x:f>
        <x:v>0</x:v>
      </x:c>
      <x:c r="S11" s="34" t="n">
        <x:f>IF(COUNTIF(技术_逐笔复盘汇总!$A$2:$A$11,$A11)=0,"",INDEX(技术_逐笔复盘汇总!$A$2:$ES$11,MATCH($A11,技术_逐笔复盘汇总!$A$2:$A$11,0),MATCH("加仓尝试次数",技术_逐笔复盘汇总!$A$1:$ES$1,0))+INDEX(技术_逐笔复盘汇总!$A$2:$ES$11,MATCH($A11,技术_逐笔复盘汇总!$A$2:$A$11,0),MATCH("实际成功加仓次数",技术_逐笔复盘汇总!$A$1:$ES$1,0)))</x:f>
        <x:v>1</x:v>
      </x:c>
      <x:c r="T11" s="34" t="str">
        <x:f>IF(COUNTIF(技术_主动交易用户汇总!$A$2:$A$11,$A11)=0,"",INDEX(技术_主动交易用户汇总!$A$2:$X$11,MATCH($A11,技术_主动交易用户汇总!$A$2:$A$11,0),MATCH("成功加仓次数",技术_主动交易用户汇总!$A$1:$X$1,0)))</x:f>
        <x:v>1</x:v>
      </x:c>
      <x:c r="U11" s="34" t="str">
        <x:f>IF(COUNTIF(技术_逐笔复盘汇总!$A$2:$A$11,$A11)=0,"",INDEX(技术_逐笔复盘汇总!$A$2:$ES$11,MATCH($A11,技术_逐笔复盘汇总!$A$2:$A$11,0),MATCH("未成交加仓撤销次数",技术_逐笔复盘汇总!$A$1:$ES$1,0)))</x:f>
        <x:v>0</x:v>
      </x:c>
      <x:c r="V11" s="34" t="str">
        <x:f>IF(COUNTIF(技术_逐笔复盘汇总!$A$2:$A$11,$A11)=0,"",INDEX(技术_逐笔复盘汇总!$A$2:$ES$11,MATCH($A11,技术_逐笔复盘汇总!$A$2:$A$11,0),MATCH("部分成交后撤余次数",技术_逐笔复盘汇总!$A$1:$ES$1,0)))</x:f>
        <x:v>0</x:v>
      </x:c>
      <x:c r="W11" s="34" t="str">
        <x:f>IF(COUNTIF(技术_主动交易用户汇总!$A$2:$A$11,$A11)=0,"",INDEX(技术_主动交易用户汇总!$A$2:$X$11,MATCH($A11,技术_主动交易用户汇总!$A$2:$A$11,0),MATCH("限价减仓或平仓尝试",技术_主动交易用户汇总!$A$1:$X$1,0)))</x:f>
        <x:v>1</x:v>
      </x:c>
      <x:c r="X11" s="34" t="str">
        <x:f>IF(COUNTIF(技术_主动交易用户汇总!$A$2:$A$11,$A11)=0,"",INDEX(技术_主动交易用户汇总!$A$2:$X$11,MATCH($A11,技术_主动交易用户汇总!$A$2:$A$11,0),MATCH("未成交限价平仓取消",技术_主动交易用户汇总!$A$1:$X$1,0)))</x:f>
        <x:v>0</x:v>
      </x:c>
      <x:c r="Y11" s="34" t="str">
        <x:f>IF(COUNTIF(技术_主动交易用户汇总!$A$2:$A$11,$A11)=0,"",INDEX(技术_主动交易用户汇总!$A$2:$X$11,MATCH($A11,技术_主动交易用户汇总!$A$2:$A$11,0),MATCH("未成交限价平仓过期",技术_主动交易用户汇总!$A$1:$X$1,0)))</x:f>
        <x:v>0</x:v>
      </x:c>
      <x:c r="Z11" s="34" t="str">
        <x:f>IF(COUNTIF(技术_主动交易用户汇总!$A$2:$A$11,$A11)=0,"",INDEX(技术_主动交易用户汇总!$A$2:$X$11,MATCH($A11,技术_主动交易用户汇总!$A$2:$A$11,0),MATCH("实际部分减仓",技术_主动交易用户汇总!$A$1:$X$1,0)))</x:f>
        <x:v>0</x:v>
      </x:c>
      <x:c r="AA11" s="34" t="str">
        <x:f>IF(COUNTIF(技术_逐笔复盘汇总!$A$2:$A$11,$A11)=0,"",INDEX(技术_逐笔复盘汇总!$A$2:$ES$11,MATCH($A11,技术_逐笔复盘汇总!$A$2:$A$11,0),MATCH("止损设置次数",技术_逐笔复盘汇总!$A$1:$ES$1,0)))</x:f>
        <x:v>20</x:v>
      </x:c>
      <x:c r="AB11" s="34" t="str">
        <x:f>IF(COUNTIF(技术_逐笔复盘汇总!$A$2:$A$11,$A11)=0,"",INDEX(技术_逐笔复盘汇总!$A$2:$ES$11,MATCH($A11,技术_逐笔复盘汇总!$A$2:$A$11,0),MATCH("止损取消次数",技术_逐笔复盘汇总!$A$1:$ES$1,0)))</x:f>
        <x:v>20</x:v>
      </x:c>
      <x:c r="AC11" s="34" t="str">
        <x:f>IF(COUNTIF(技术_逐笔复盘汇总!$A$2:$A$11,$A11)=0,"",INDEX(技术_逐笔复盘汇总!$A$2:$ES$11,MATCH($A11,技术_逐笔复盘汇总!$A$2:$A$11,0),MATCH("疑似止损调整次数",技术_逐笔复盘汇总!$A$1:$ES$1,0)))</x:f>
        <x:v>19</x:v>
      </x:c>
      <x:c r="AD11" s="34" t="str">
        <x:f>IF(COUNTIF(技术_逐笔复盘汇总!$A$2:$A$11,$A11)=0,"",INDEX(技术_逐笔复盘汇总!$A$2:$ES$11,MATCH($A11,技术_逐笔复盘汇总!$A$2:$A$11,0),MATCH("止盈设置次数",技术_逐笔复盘汇总!$A$1:$ES$1,0)))</x:f>
        <x:v>2</x:v>
      </x:c>
      <x:c r="AE11" s="34" t="str">
        <x:f>IF(COUNTIF(技术_逐笔复盘汇总!$A$2:$A$11,$A11)=0,"",INDEX(技术_逐笔复盘汇总!$A$2:$ES$11,MATCH($A11,技术_逐笔复盘汇总!$A$2:$A$11,0),MATCH("止盈取消次数",技术_逐笔复盘汇总!$A$1:$ES$1,0)))</x:f>
        <x:v>1</x:v>
      </x:c>
      <x:c r="AF11" s="34" t="str">
        <x:f>IF(COUNTIF(技术_逐笔复盘汇总!$A$2:$A$11,$A11)=0,"",INDEX(技术_逐笔复盘汇总!$A$2:$ES$11,MATCH($A11,技术_逐笔复盘汇总!$A$2:$A$11,0),MATCH("疑似止盈调整次数",技术_逐笔复盘汇总!$A$1:$ES$1,0)))</x:f>
        <x:v>1</x:v>
      </x:c>
      <x:c r="AG11" s="34" t="str">
        <x:f>IF(COUNTIF(技术_逐笔复盘汇总!$A$2:$A$11,$A11)=0,"",INDEX(技术_逐笔复盘汇总!$A$2:$ES$11,MATCH($A11,技术_逐笔复盘汇总!$A$2:$A$11,0),MATCH("需要人工确认数量",技术_逐笔复盘汇总!$A$1:$ES$1,0)))</x:f>
        <x:v>1</x:v>
      </x:c>
      <x:c r="AH11" s="35" t="str">
        <x:f>IF(COUNTIF(技术_资金展示结果!$A$2:$A$11,$A11)=0,"",INDEX(技术_资金展示结果!$A$2:$AB$11,MATCH($A11,技术_资金展示结果!$A$2:$A$11,0),MATCH("资金闭环等级",技术_资金展示结果!$A$1:$AB$1,0)))</x:f>
        <x:v>B｜大部分闭环，剩余差额有明确类别但无法精确分配</x:v>
      </x:c>
      <x:c r="AI11" s="44" t="str">
        <x:f>IF(COUNTIF(技术_资金展示结果!$A$2:$A$11,$A11)=0,"",INDEX(技术_资金展示结果!$A$2:$AB$11,MATCH($A11,技术_资金展示结果!$A$2:$A$11,0),MATCH("开仓前已确认资金事件滚动值",技术_资金展示结果!$A$1:$AB$1,0)))</x:f>
        <x:v>64188.96496741</x:v>
      </x:c>
      <x:c r="AJ11" s="44" t="str">
        <x:f>IF(COUNTIF(技术_资金展示结果!$A$2:$A$11,$A11)=0,"",INDEX(技术_资金展示结果!$A$2:$AB$11,MATCH($A11,技术_资金展示结果!$A$2:$A$11,0),MATCH("平仓后已确认资金事件滚动值",技术_资金展示结果!$A$1:$AB$1,0)))</x:f>
        <x:v>65339.94802808</x:v>
      </x:c>
      <x:c r="AK11" s="44" t="str">
        <x:f>IF(COUNTIF(技术_资金展示结果!$A$2:$A$11,$A11)=0,"",INDEX(技术_资金展示结果!$A$2:$AB$11,MATCH($A11,技术_资金展示结果!$A$2:$A$11,0),MATCH("未分配快照差额",技术_资金展示结果!$A$1:$AB$1,0)))</x:f>
        <x:v>-27061.57950525</x:v>
      </x:c>
      <x:c r="AL11" s="35" t="str">
        <x:f>IF($A11="T049","平仓后已确认资金事件滚动值为负，不能解释为真实账户总资产。实际快照与已确认事件之间仍存在43,918.85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11)=0,"",INDEX(技术_资金展示结果!$A$2:$AB$11,MATCH($A11,技术_资金展示结果!$A$2:$A$11,0),MATCH("资金展示限制说明",技术_资金展示结果!$A$1:$AB$1,0))&amp;IF($A11="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
T069正式首仓前存在10笔已确认账户费用，合计-21.43 USDT；该费用已进入开仓前已确认资金事件滚动值，但不属于T069正式周期净结果，也不得计入周期内手续费。</x:v>
      </x:c>
      <x:c r="AM11" s="35" t="str">
        <x:f>IF($A11="T001","阶段A—E行为链证据不可得；当前仅有D2-C正式首仓、平仓、仓位与资金事实。相关行为字段留空，不代表未发生。",IF(COUNTIF(技术_逐笔复盘汇总!$A$2:$A$11,$A11)=0,"","首仓前："&amp;SUBSTITUTE(INDEX(技术_逐笔复盘汇总!$A$2:$ES$11,MATCH($A11,技术_逐笔复盘汇总!$A$2:$A$11,0),MATCH("首仓前中文摘要",技术_逐笔复盘汇总!$A$1:$ES$1,0)),"真实委托"&amp;INDEX(技术_逐笔复盘汇总!$A$2:$ES$11,MATCH($A11,技术_逐笔复盘汇总!$A$2:$A$11,0),MATCH("形成首仓真实委托编号",技术_逐笔复盘汇总!$A$1:$ES$1,0)),"真实委托")&amp;CHAR(10)&amp;"持仓操作："&amp;SUBSTITUTE(INDEX(技术_逐笔复盘汇总!$A$2:$ES$11,MATCH($A11,技术_逐笔复盘汇总!$A$2:$A$11,0),MATCH("持仓操作中文摘要",技术_逐笔复盘汇总!$A$1:$ES$1,0)),"Fill","成交分笔")&amp;CHAR(10)&amp;"条件计划："&amp;SUBSTITUTE(SUBSTITUTE(INDEX(技术_逐笔复盘汇总!$A$2:$ES$11,MATCH($A11,技术_逐笔复盘汇总!$A$2:$A$11,0),MATCH("条件演变中文摘要",技术_逐笔复盘汇总!$A$1:$ES$1,0)),"基础Order和真实Fill","基础委托和实际成交"),"Fill","成交")))</x:f>
        <x:v>首仓前：本周期首仓前开仓意图链共3张不同开仓委托：2张未成交撤销、0张过期未成交、0张其他未成仓尝试、1张最终成功形成正式首仓；首仓前部分成交后撤余0张。真实委托以限价成交5，是本意图链中形成首仓的成功委托。识别出2次高置信度疑似改价或改量重挂。从首次尝试到正式开仓历时1小时5分56秒；次数按委托单统计。
持仓操作：持仓期间记录0张未形成实际加仓的加仓尝试，其中0张未成交撤销；另有1张真实成交委托成功增加仓位。部分成交后撤余0次，实际部分减仓0次，减仓或平仓委托尝试共1次，最终真实归零成交1次。加仓尝试和实际加仓分别统计，均不按成交分笔数量重复计算。
条件计划：持仓相关止损设置20次，其中取消20次、过期0次，识别出19次高置信度疑似调整；止盈设置2次，其中取消1次、过期1次，识别出1次高置信度疑似调整；最终通过普通限价平仓归零；1张过期记录缺少终止时间或完整因果证据，具体原因不可得。</x:v>
      </x:c>
      <x:c r="AN11" s="35" t="str">
        <x:f>IFERROR(IF(INDEX(人工复盘完成清单!$B$6:$B$15,MATCH($A11,人工复盘完成清单!$A$6:$A$15,0))="","待填写",INDEX(人工复盘完成清单!$B$6:$B$15,MATCH($A11,人工复盘完成清单!$A$6:$A$15,0))),"待填写")</x:f>
        <x:v>待填写</x:v>
      </x:c>
      <x:c r="AO11" s="35" t="str">
        <x:f>IFERROR(IF(INDEX(人工复盘完成清单!$H$6:$H$15,MATCH($A11,人工复盘完成清单!$A$6:$A$15,0))="","待填写",INDEX(人工复盘完成清单!$H$6:$H$15,MATCH($A11,人工复盘完成清单!$A$6:$A$15,0))),"待填写")</x:f>
        <x:v>待填写</x:v>
      </x:c>
      <x:c r="AP11" s="35" t="str">
        <x:f>IFERROR(IF(INDEX(人工复盘完成清单!$L$6:$L$15,MATCH($A11,人工复盘完成清单!$A$6:$A$15,0))="","待填写",INDEX(人工复盘完成清单!$L$6:$L$15,MATCH($A11,人工复盘完成清单!$A$6:$A$15,0))),"待填写")</x:f>
        <x:v>待填写</x:v>
      </x:c>
      <x:c r="AQ11" s="35" t="str">
        <x:f>IFERROR(IF(INDEX(人工复盘完成清单!$P$6:$P$15,MATCH($A11,人工复盘完成清单!$A$6:$A$15,0))="","待填写",INDEX(人工复盘完成清单!$P$6:$P$15,MATCH($A11,人工复盘完成清单!$A$6:$A$15,0))),"待填写")</x:f>
        <x:v>待填写</x:v>
      </x:c>
      <x:c r="AR11" s="35" t="str">
        <x:f>IFERROR(IF(INDEX(人工复盘完成清单!$W$6:$W$15,MATCH($A11,人工复盘完成清单!$A$6:$A$15,0))="","",INDEX(人工复盘完成清单!$W$6:$W$15,MATCH($A11,人工复盘完成清单!$A$6:$A$15,0))),"")</x:f>
        <x:v>没有按原计划执行止盈止损，浮盈大幅减少后受不了，幻想着先吃一点浮盈，等价格上涨过了开仓价更高的位置后再次空，重仓拿不住，轻仓不甘心，想着一把赢回所有，知道并且确认跌破也因为更好成本的单子平掉后没有继续空进去</x:v>
      </x:c>
    </x:row>
    <x:row r="12" ht="92" customHeight="1">
      <x:c r="A12" s="31" t="s">
        <x:v>73</x:v>
      </x:c>
      <x:c r="B12" s="52" t="str">
        <x:f>IF(COUNTIF(技术_主动交易用户汇总!$A$2:$A$11,$A12)=0,"",INDEX(技术_主动交易用户汇总!$A$2:$X$11,MATCH($A12,技术_主动交易用户汇总!$A$2:$A$11,0),MATCH("日期",技术_主动交易用户汇总!$A$1:$X$1,0)))</x:f>
        <x:v>2026-06-05</x:v>
      </x:c>
      <x:c r="C12" s="31" t="str">
        <x:f>IF(COUNTIF(技术_主动交易用户汇总!$A$2:$A$11,$A12)=0,"",INDEX(技术_主动交易用户汇总!$A$2:$X$11,MATCH($A12,技术_主动交易用户汇总!$A$2:$A$11,0),MATCH("合约",技术_主动交易用户汇总!$A$1:$X$1,0)))</x:f>
        <x:v>BTCUSDT</x:v>
      </x:c>
      <x:c r="D12" s="31" t="str">
        <x:f>IF(COUNTIF(技术_主动交易用户汇总!$A$2:$A$11,$A12)=0,"",INDEX(技术_主动交易用户汇总!$A$2:$X$11,MATCH($A12,技术_主动交易用户汇总!$A$2:$A$11,0),MATCH("多空",技术_主动交易用户汇总!$A$1:$X$1,0)))</x:f>
        <x:v>多头</x:v>
      </x:c>
      <x:c r="E12" s="32" t="str">
        <x:f>IF(COUNTIF(技术_主动交易用户汇总!$A$2:$A$11,$A12)=0,"",INDEX(技术_主动交易用户汇总!$A$2:$X$11,MATCH($A12,技术_主动交易用户汇总!$A$2:$A$11,0),MATCH("完整正式开仓时间",技术_主动交易用户汇总!$A$1:$X$1,0)))</x:f>
        <x:v>2026-06-05 21:56:28</x:v>
      </x:c>
      <x:c r="F12" s="32" t="str">
        <x:f>IF(COUNTIF(技术_主动交易用户汇总!$A$2:$A$11,$A12)=0,"",INDEX(技术_主动交易用户汇总!$A$2:$X$11,MATCH($A12,技术_主动交易用户汇总!$A$2:$A$11,0),MATCH("完整正式平仓时间",技术_主动交易用户汇总!$A$1:$X$1,0)))</x:f>
        <x:v>2026-06-05 22:55:24</x:v>
      </x:c>
      <x:c r="G12" s="31" t="str">
        <x:f t="shared" si="0"/>
        <x:v>58分56秒</x:v>
      </x:c>
      <x:c r="H12" s="31" t="str">
        <x:f>IF(COUNTIF(技术_主动交易用户汇总!$A$2:$A$11,$A12)=0,"",INDEX(技术_主动交易用户汇总!$A$2:$X$11,MATCH($A12,技术_主动交易用户汇总!$A$2:$A$11,0),MATCH("最终平仓方式",技术_主动交易用户汇总!$A$1:$X$1,0)))</x:f>
        <x:v>条件止损触发平仓</x:v>
      </x:c>
      <x:c r="I12" s="43" t="str">
        <x:f>IF(COUNTIF(技术_主动交易用户汇总!$A$2:$A$11,$A12)=0,"",INDEX(技术_主动交易用户汇总!$A$2:$X$11,MATCH($A12,技术_主动交易用户汇总!$A$2:$A$11,0),MATCH("当前交易净结果",技术_主动交易用户汇总!$A$1:$X$1,0)))</x:f>
        <x:v>60.48563999</x:v>
      </x:c>
      <x:c r="J12" s="54" t="str">
        <x:f>IF(COUNTIF(技术_主动交易用户汇总!$A$2:$A$11,$A12)=0,"",INDEX(技术_主动交易用户汇总!$A$2:$X$11,MATCH($A12,技术_主动交易用户汇总!$A$2:$A$11,0),MATCH("首仓数量",技术_主动交易用户汇总!$A$1:$X$1,0)))</x:f>
        <x:v>0.2</x:v>
      </x:c>
      <x:c r="K12" s="55" t="str">
        <x:f>IF(COUNTIF(技术_主动交易用户汇总!$A$2:$A$11,$A12)=0,"",INDEX(技术_主动交易用户汇总!$A$2:$X$11,MATCH($A12,技术_主动交易用户汇总!$A$2:$A$11,0),MATCH("首仓均价",技术_主动交易用户汇总!$A$1:$X$1,0)))</x:f>
        <x:v>61053</x:v>
      </x:c>
      <x:c r="L12" s="54" t="str">
        <x:f>IF(COUNTIF(技术_主动交易用户汇总!$A$2:$A$11,$A12)=0,"",INDEX(技术_主动交易用户汇总!$A$2:$X$11,MATCH($A12,技术_主动交易用户汇总!$A$2:$A$11,0),MATCH("成功加仓次数",技术_主动交易用户汇总!$A$1:$X$1,0)))</x:f>
        <x:v>3</x:v>
      </x:c>
      <x:c r="M12" s="54" t="str">
        <x:f>IF(COUNTIF(技术_主动交易用户汇总!$A$2:$A$11,$A12)=0,"",INDEX(技术_主动交易用户汇总!$A$2:$X$11,MATCH($A12,技术_主动交易用户汇总!$A$2:$A$11,0),MATCH("成功加仓数量合计",技术_主动交易用户汇总!$A$1:$X$1,0)))</x:f>
        <x:v>0.3</x:v>
      </x:c>
      <x:c r="N12" s="54" t="str">
        <x:f>IF(COUNTIF(技术_主动交易用户汇总!$A$2:$A$11,$A12)=0,"",INDEX(技术_主动交易用户汇总!$A$2:$X$11,MATCH($A12,技术_主动交易用户汇总!$A$2:$A$11,0),MATCH("最大总持仓",技术_主动交易用户汇总!$A$1:$X$1,0)))</x:f>
        <x:v>0.3</x:v>
      </x:c>
      <x:c r="O12" s="55" t="n">
        <x:f>IF(COUNTIF(技术_主动交易用户汇总!$A$2:$A$11,$A12)=0,"",INDEX(技术_主动交易用户汇总!$A$2:$X$11,MATCH($A12,技术_主动交易用户汇总!$A$2:$A$11,0),MATCH("F23显示最大持仓均价",技术_主动交易用户汇总!$A$1:$X$1,0)))</x:f>
        <x:v>60887.33</x:v>
      </x:c>
      <x:c r="P12" s="30" t="str">
        <x:f>IF(COUNTIF(技术_逐笔复盘汇总!$A$2:$A$11,$A12)=0,"",INDEX(技术_逐笔复盘汇总!$A$2:$ES$11,MATCH($A12,技术_逐笔复盘汇总!$A$2:$A$11,0),MATCH("首仓前开仓尝试次数",技术_逐笔复盘汇总!$A$1:$ES$1,0)))</x:f>
        <x:v>4</x:v>
      </x:c>
      <x:c r="Q12" s="30" t="str">
        <x:f>IF(COUNTIF(技术_逐笔复盘汇总!$A$2:$A$11,$A12)=0,"",INDEX(技术_逐笔复盘汇总!$A$2:$ES$11,MATCH($A12,技术_逐笔复盘汇总!$A$2:$A$11,0),MATCH("首仓前未成交撤销次数",技术_逐笔复盘汇总!$A$1:$ES$1,0)))</x:f>
        <x:v>3</x:v>
      </x:c>
      <x:c r="R12" s="30" t="str">
        <x:f>IF(COUNTIF(技术_逐笔复盘汇总!$A$2:$A$11,$A12)=0,"",INDEX(技术_逐笔复盘汇总!$A$2:$ES$11,MATCH($A12,技术_逐笔复盘汇总!$A$2:$A$11,0),MATCH("首仓前方向切换次数",技术_逐笔复盘汇总!$A$1:$ES$1,0)))</x:f>
        <x:v>1</x:v>
      </x:c>
      <x:c r="S12" s="30" t="n">
        <x:f>IF(COUNTIF(技术_逐笔复盘汇总!$A$2:$A$11,$A12)=0,"",INDEX(技术_逐笔复盘汇总!$A$2:$ES$11,MATCH($A12,技术_逐笔复盘汇总!$A$2:$A$11,0),MATCH("加仓尝试次数",技术_逐笔复盘汇总!$A$1:$ES$1,0))+INDEX(技术_逐笔复盘汇总!$A$2:$ES$11,MATCH($A12,技术_逐笔复盘汇总!$A$2:$A$11,0),MATCH("实际成功加仓次数",技术_逐笔复盘汇总!$A$1:$ES$1,0)))</x:f>
        <x:v>3</x:v>
      </x:c>
      <x:c r="T12" s="30" t="str">
        <x:f>IF(COUNTIF(技术_主动交易用户汇总!$A$2:$A$11,$A12)=0,"",INDEX(技术_主动交易用户汇总!$A$2:$X$11,MATCH($A12,技术_主动交易用户汇总!$A$2:$A$11,0),MATCH("成功加仓次数",技术_主动交易用户汇总!$A$1:$X$1,0)))</x:f>
        <x:v>3</x:v>
      </x:c>
      <x:c r="U12" s="30" t="str">
        <x:f>IF(COUNTIF(技术_逐笔复盘汇总!$A$2:$A$11,$A12)=0,"",INDEX(技术_逐笔复盘汇总!$A$2:$ES$11,MATCH($A12,技术_逐笔复盘汇总!$A$2:$A$11,0),MATCH("未成交加仓撤销次数",技术_逐笔复盘汇总!$A$1:$ES$1,0)))</x:f>
        <x:v>0</x:v>
      </x:c>
      <x:c r="V12" s="30" t="str">
        <x:f>IF(COUNTIF(技术_逐笔复盘汇总!$A$2:$A$11,$A12)=0,"",INDEX(技术_逐笔复盘汇总!$A$2:$ES$11,MATCH($A12,技术_逐笔复盘汇总!$A$2:$A$11,0),MATCH("部分成交后撤余次数",技术_逐笔复盘汇总!$A$1:$ES$1,0)))</x:f>
        <x:v>0</x:v>
      </x:c>
      <x:c r="W12" s="30" t="str">
        <x:f>IF(COUNTIF(技术_主动交易用户汇总!$A$2:$A$11,$A12)=0,"",INDEX(技术_主动交易用户汇总!$A$2:$X$11,MATCH($A12,技术_主动交易用户汇总!$A$2:$A$11,0),MATCH("限价减仓或平仓尝试",技术_主动交易用户汇总!$A$1:$X$1,0)))</x:f>
        <x:v>1</x:v>
      </x:c>
      <x:c r="X12" s="30" t="str">
        <x:f>IF(COUNTIF(技术_主动交易用户汇总!$A$2:$A$11,$A12)=0,"",INDEX(技术_主动交易用户汇总!$A$2:$X$11,MATCH($A12,技术_主动交易用户汇总!$A$2:$A$11,0),MATCH("未成交限价平仓取消",技术_主动交易用户汇总!$A$1:$X$1,0)))</x:f>
        <x:v>0</x:v>
      </x:c>
      <x:c r="Y12" s="30" t="str">
        <x:f>IF(COUNTIF(技术_主动交易用户汇总!$A$2:$A$11,$A12)=0,"",INDEX(技术_主动交易用户汇总!$A$2:$X$11,MATCH($A12,技术_主动交易用户汇总!$A$2:$A$11,0),MATCH("未成交限价平仓过期",技术_主动交易用户汇总!$A$1:$X$1,0)))</x:f>
        <x:v>0</x:v>
      </x:c>
      <x:c r="Z12" s="30" t="str">
        <x:f>IF(COUNTIF(技术_主动交易用户汇总!$A$2:$A$11,$A12)=0,"",INDEX(技术_主动交易用户汇总!$A$2:$X$11,MATCH($A12,技术_主动交易用户汇总!$A$2:$A$11,0),MATCH("实际部分减仓",技术_主动交易用户汇总!$A$1:$X$1,0)))</x:f>
        <x:v>1</x:v>
      </x:c>
      <x:c r="AA12" s="30" t="str">
        <x:f>IF(COUNTIF(技术_逐笔复盘汇总!$A$2:$A$11,$A12)=0,"",INDEX(技术_逐笔复盘汇总!$A$2:$ES$11,MATCH($A12,技术_逐笔复盘汇总!$A$2:$A$11,0),MATCH("止损设置次数",技术_逐笔复盘汇总!$A$1:$ES$1,0)))</x:f>
        <x:v>1</x:v>
      </x:c>
      <x:c r="AB12" s="30" t="str">
        <x:f>IF(COUNTIF(技术_逐笔复盘汇总!$A$2:$A$11,$A12)=0,"",INDEX(技术_逐笔复盘汇总!$A$2:$ES$11,MATCH($A12,技术_逐笔复盘汇总!$A$2:$A$11,0),MATCH("止损取消次数",技术_逐笔复盘汇总!$A$1:$ES$1,0)))</x:f>
        <x:v>0</x:v>
      </x:c>
      <x:c r="AC12" s="30" t="str">
        <x:f>IF(COUNTIF(技术_逐笔复盘汇总!$A$2:$A$11,$A12)=0,"",INDEX(技术_逐笔复盘汇总!$A$2:$ES$11,MATCH($A12,技术_逐笔复盘汇总!$A$2:$A$11,0),MATCH("疑似止损调整次数",技术_逐笔复盘汇总!$A$1:$ES$1,0)))</x:f>
        <x:v>0</x:v>
      </x:c>
      <x:c r="AD12" s="30" t="str">
        <x:f>IF(COUNTIF(技术_逐笔复盘汇总!$A$2:$A$11,$A12)=0,"",INDEX(技术_逐笔复盘汇总!$A$2:$ES$11,MATCH($A12,技术_逐笔复盘汇总!$A$2:$A$11,0),MATCH("止盈设置次数",技术_逐笔复盘汇总!$A$1:$ES$1,0)))</x:f>
        <x:v>0</x:v>
      </x:c>
      <x:c r="AE12" s="30" t="str">
        <x:f>IF(COUNTIF(技术_逐笔复盘汇总!$A$2:$A$11,$A12)=0,"",INDEX(技术_逐笔复盘汇总!$A$2:$ES$11,MATCH($A12,技术_逐笔复盘汇总!$A$2:$A$11,0),MATCH("止盈取消次数",技术_逐笔复盘汇总!$A$1:$ES$1,0)))</x:f>
        <x:v>0</x:v>
      </x:c>
      <x:c r="AF12" s="30" t="str">
        <x:f>IF(COUNTIF(技术_逐笔复盘汇总!$A$2:$A$11,$A12)=0,"",INDEX(技术_逐笔复盘汇总!$A$2:$ES$11,MATCH($A12,技术_逐笔复盘汇总!$A$2:$A$11,0),MATCH("疑似止盈调整次数",技术_逐笔复盘汇总!$A$1:$ES$1,0)))</x:f>
        <x:v>0</x:v>
      </x:c>
      <x:c r="AG12" s="30" t="str">
        <x:f>IF(COUNTIF(技术_逐笔复盘汇总!$A$2:$A$11,$A12)=0,"",INDEX(技术_逐笔复盘汇总!$A$2:$ES$11,MATCH($A12,技术_逐笔复盘汇总!$A$2:$A$11,0),MATCH("需要人工确认数量",技术_逐笔复盘汇总!$A$1:$ES$1,0)))</x:f>
        <x:v>4</x:v>
      </x:c>
      <x:c r="AH12" s="31" t="str">
        <x:f>IF(COUNTIF(技术_资金展示结果!$A$2:$A$11,$A12)=0,"",INDEX(技术_资金展示结果!$A$2:$AB$11,MATCH($A12,技术_资金展示结果!$A$2:$A$11,0),MATCH("资金闭环等级",技术_资金展示结果!$A$1:$AB$1,0)))</x:f>
        <x:v>B｜大部分闭环，剩余差额有明确类别但无法精确分配</x:v>
      </x:c>
      <x:c r="AI12" s="43" t="str">
        <x:f>IF(COUNTIF(技术_资金展示结果!$A$2:$A$11,$A12)=0,"",INDEX(技术_资金展示结果!$A$2:$AB$11,MATCH($A12,技术_资金展示结果!$A$2:$A$11,0),MATCH("开仓前已确认资金事件滚动值",技术_资金展示结果!$A$1:$AB$1,0)))</x:f>
        <x:v>30572.59864316</x:v>
      </x:c>
      <x:c r="AJ12" s="43" t="str">
        <x:f>IF(COUNTIF(技术_资金展示结果!$A$2:$A$11,$A12)=0,"",INDEX(技术_资金展示结果!$A$2:$AB$11,MATCH($A12,技术_资金展示结果!$A$2:$A$11,0),MATCH("平仓后已确认资金事件滚动值",技术_资金展示结果!$A$1:$AB$1,0)))</x:f>
        <x:v>30636.89973421</x:v>
      </x:c>
      <x:c r="AK12" s="43" t="str">
        <x:f>IF(COUNTIF(技术_资金展示结果!$A$2:$A$11,$A12)=0,"",INDEX(技术_资金展示结果!$A$2:$AB$11,MATCH($A12,技术_资金展示结果!$A$2:$A$11,0),MATCH("未分配快照差额",技术_资金展示结果!$A$1:$AB$1,0)))</x:f>
        <x:v>-632.53821768</x:v>
      </x:c>
      <x:c r="AL12" s="31" t="str">
        <x:f>IF($A12="T049","平仓后已确认资金事件滚动值为负，不能解释为真实账户总资产。实际快照与已确认事件之间仍存在43,918.85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12)=0,"",INDEX(技术_资金展示结果!$A$2:$AB$11,MATCH($A12,技术_资金展示结果!$A$2:$A$11,0),MATCH("资金展示限制说明",技术_资金展示结果!$A$1:$AB$1,0))&amp;IF($A12="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x:v>
      </x:c>
      <x:c r="AM12" s="31" t="str">
        <x:f>IF($A12="T001","阶段A—E行为链证据不可得；当前仅有D2-C正式首仓、平仓、仓位与资金事实。相关行为字段留空，不代表未发生。",IF(COUNTIF(技术_逐笔复盘汇总!$A$2:$A$11,$A12)=0,"","首仓前："&amp;SUBSTITUTE(INDEX(技术_逐笔复盘汇总!$A$2:$ES$11,MATCH($A12,技术_逐笔复盘汇总!$A$2:$A$11,0),MATCH("首仓前中文摘要",技术_逐笔复盘汇总!$A$1:$ES$1,0)),"真实委托"&amp;INDEX(技术_逐笔复盘汇总!$A$2:$ES$11,MATCH($A12,技术_逐笔复盘汇总!$A$2:$A$11,0),MATCH("形成首仓真实委托编号",技术_逐笔复盘汇总!$A$1:$ES$1,0)),"真实委托")&amp;CHAR(10)&amp;"持仓操作："&amp;SUBSTITUTE(INDEX(技术_逐笔复盘汇总!$A$2:$ES$11,MATCH($A12,技术_逐笔复盘汇总!$A$2:$A$11,0),MATCH("持仓操作中文摘要",技术_逐笔复盘汇总!$A$1:$ES$1,0)),"Fill","成交分笔")&amp;CHAR(10)&amp;"条件计划："&amp;SUBSTITUTE(SUBSTITUTE(INDEX(技术_逐笔复盘汇总!$A$2:$ES$11,MATCH($A12,技术_逐笔复盘汇总!$A$2:$A$11,0),MATCH("条件演变中文摘要",技术_逐笔复盘汇总!$A$1:$ES$1,0)),"基础Order和真实Fill","基础委托和实际成交"),"Fill","成交")))</x:f>
        <x:v>首仓前：本周期首仓前开仓意图链共4张不同开仓委托：3张未成交撤销、0张过期未成交、0张其他未成仓尝试、1张最终成功形成正式首仓；首仓前部分成交后撤余0张。真实委托以限价成交0.2，是本意图链中形成首仓的成功委托。客观识别方向切换1次；具体主观原因待人工填写。识别出2次高置信度疑似改价或改量重挂。从首次尝试到正式开仓历时3小时23分4秒；次数按委托单统计。
持仓操作：持仓期间记录0张未形成实际加仓的加仓尝试，其中0张未成交撤销；另有3张真实成交委托成功增加仓位。部分成交后撤余0次，实际部分减仓1次，减仓或平仓委托尝试共2次，最终真实归零成交1次。加仓尝试和实际加仓分别统计，均不按成交分笔数量重复计算。
条件计划：持仓相关止损设置1次，其中取消0次、过期0次，识别出0次高置信度疑似调整；共有1张条件委托经生成基础委托和实际成交后使仓位归零。</x:v>
      </x:c>
      <x:c r="AN12" s="31" t="str">
        <x:f>IFERROR(IF(INDEX(人工复盘完成清单!$B$6:$B$15,MATCH($A12,人工复盘完成清单!$A$6:$A$15,0))="","待填写",INDEX(人工复盘完成清单!$B$6:$B$15,MATCH($A12,人工复盘完成清单!$A$6:$A$15,0))),"待填写")</x:f>
        <x:v>待填写</x:v>
      </x:c>
      <x:c r="AO12" s="31" t="str">
        <x:f>IFERROR(IF(INDEX(人工复盘完成清单!$H$6:$H$15,MATCH($A12,人工复盘完成清单!$A$6:$A$15,0))="","待填写",INDEX(人工复盘完成清单!$H$6:$H$15,MATCH($A12,人工复盘完成清单!$A$6:$A$15,0))),"待填写")</x:f>
        <x:v>待填写</x:v>
      </x:c>
      <x:c r="AP12" s="31" t="str">
        <x:f>IFERROR(IF(INDEX(人工复盘完成清单!$L$6:$L$15,MATCH($A12,人工复盘完成清单!$A$6:$A$15,0))="","待填写",INDEX(人工复盘完成清单!$L$6:$L$15,MATCH($A12,人工复盘完成清单!$A$6:$A$15,0))),"待填写")</x:f>
        <x:v>待填写</x:v>
      </x:c>
      <x:c r="AQ12" s="31" t="str">
        <x:f>IFERROR(IF(INDEX(人工复盘完成清单!$P$6:$P$15,MATCH($A12,人工复盘完成清单!$A$6:$A$15,0))="","待填写",INDEX(人工复盘完成清单!$P$6:$P$15,MATCH($A12,人工复盘完成清单!$A$6:$A$15,0))),"待填写")</x:f>
        <x:v>待填写</x:v>
      </x:c>
      <x:c r="AR12" s="31" t="str">
        <x:f>IFERROR(IF(INDEX(人工复盘完成清单!$W$6:$W$15,MATCH($A12,人工复盘完成清单!$A$6:$A$15,0))="","",INDEX(人工复盘完成清单!$W$6:$W$15,MATCH($A12,人工复盘完成清单!$A$6:$A$15,0))),"")</x:f>
        <x:v>明知下跌趋势中却因为价格处于低位不敢追空，反而做多</x:v>
      </x:c>
    </x:row>
    <x:row r="13" ht="92" customHeight="1">
      <x:c r="A13" s="35" t="s">
        <x:v>74</x:v>
      </x:c>
      <x:c r="B13" s="53" t="str">
        <x:f>IF(COUNTIF(技术_主动交易用户汇总!$A$2:$A$11,$A13)=0,"",INDEX(技术_主动交易用户汇总!$A$2:$X$11,MATCH($A13,技术_主动交易用户汇总!$A$2:$A$11,0),MATCH("日期",技术_主动交易用户汇总!$A$1:$X$1,0)))</x:f>
        <x:v>2026-06-17</x:v>
      </x:c>
      <x:c r="C13" s="35" t="str">
        <x:f>IF(COUNTIF(技术_主动交易用户汇总!$A$2:$A$11,$A13)=0,"",INDEX(技术_主动交易用户汇总!$A$2:$X$11,MATCH($A13,技术_主动交易用户汇总!$A$2:$A$11,0),MATCH("合约",技术_主动交易用户汇总!$A$1:$X$1,0)))</x:f>
        <x:v>BTCUSDT</x:v>
      </x:c>
      <x:c r="D13" s="35" t="str">
        <x:f>IF(COUNTIF(技术_主动交易用户汇总!$A$2:$A$11,$A13)=0,"",INDEX(技术_主动交易用户汇总!$A$2:$X$11,MATCH($A13,技术_主动交易用户汇总!$A$2:$A$11,0),MATCH("多空",技术_主动交易用户汇总!$A$1:$X$1,0)))</x:f>
        <x:v>空头</x:v>
      </x:c>
      <x:c r="E13" s="36" t="str">
        <x:f>IF(COUNTIF(技术_主动交易用户汇总!$A$2:$A$11,$A13)=0,"",INDEX(技术_主动交易用户汇总!$A$2:$X$11,MATCH($A13,技术_主动交易用户汇总!$A$2:$A$11,0),MATCH("完整正式开仓时间",技术_主动交易用户汇总!$A$1:$X$1,0)))</x:f>
        <x:v>2026-06-17 21:37:46</x:v>
      </x:c>
      <x:c r="F13" s="36" t="str">
        <x:f>IF(COUNTIF(技术_主动交易用户汇总!$A$2:$A$11,$A13)=0,"",INDEX(技术_主动交易用户汇总!$A$2:$X$11,MATCH($A13,技术_主动交易用户汇总!$A$2:$A$11,0),MATCH("完整正式平仓时间",技术_主动交易用户汇总!$A$1:$X$1,0)))</x:f>
        <x:v>2026-06-18 02:00:24</x:v>
      </x:c>
      <x:c r="G13" s="35" t="str">
        <x:f t="shared" si="0"/>
        <x:v>4小时22分38秒</x:v>
      </x:c>
      <x:c r="H13" s="35" t="str">
        <x:f>IF(COUNTIF(技术_主动交易用户汇总!$A$2:$A$11,$A13)=0,"",INDEX(技术_主动交易用户汇总!$A$2:$X$11,MATCH($A13,技术_主动交易用户汇总!$A$2:$A$11,0),MATCH("最终平仓方式",技术_主动交易用户汇总!$A$1:$X$1,0)))</x:f>
        <x:v>普通限价平仓</x:v>
      </x:c>
      <x:c r="I13" s="44" t="str">
        <x:f>IF(COUNTIF(技术_主动交易用户汇总!$A$2:$A$11,$A13)=0,"",INDEX(技术_主动交易用户汇总!$A$2:$X$11,MATCH($A13,技术_主动交易用户汇总!$A$2:$A$11,0),MATCH("当前交易净结果",技术_主动交易用户汇总!$A$1:$X$1,0)))</x:f>
        <x:v>-579.81045542</x:v>
      </x:c>
      <x:c r="J13" s="56" t="str">
        <x:f>IF(COUNTIF(技术_主动交易用户汇总!$A$2:$A$11,$A13)=0,"",INDEX(技术_主动交易用户汇总!$A$2:$X$11,MATCH($A13,技术_主动交易用户汇总!$A$2:$A$11,0),MATCH("首仓数量",技术_主动交易用户汇总!$A$1:$X$1,0)))</x:f>
        <x:v>5</x:v>
      </x:c>
      <x:c r="K13" s="57" t="str">
        <x:f>IF(COUNTIF(技术_主动交易用户汇总!$A$2:$A$11,$A13)=0,"",INDEX(技术_主动交易用户汇总!$A$2:$X$11,MATCH($A13,技术_主动交易用户汇总!$A$2:$A$11,0),MATCH("首仓均价",技术_主动交易用户汇总!$A$1:$X$1,0)))</x:f>
        <x:v>65211</x:v>
      </x:c>
      <x:c r="L13" s="56" t="str">
        <x:f>IF(COUNTIF(技术_主动交易用户汇总!$A$2:$A$11,$A13)=0,"",INDEX(技术_主动交易用户汇总!$A$2:$X$11,MATCH($A13,技术_主动交易用户汇总!$A$2:$A$11,0),MATCH("成功加仓次数",技术_主动交易用户汇总!$A$1:$X$1,0)))</x:f>
        <x:v>2</x:v>
      </x:c>
      <x:c r="M13" s="56" t="str">
        <x:f>IF(COUNTIF(技术_主动交易用户汇总!$A$2:$A$11,$A13)=0,"",INDEX(技术_主动交易用户汇总!$A$2:$X$11,MATCH($A13,技术_主动交易用户汇总!$A$2:$A$11,0),MATCH("成功加仓数量合计",技术_主动交易用户汇总!$A$1:$X$1,0)))</x:f>
        <x:v>5.026</x:v>
      </x:c>
      <x:c r="N13" s="56" t="str">
        <x:f>IF(COUNTIF(技术_主动交易用户汇总!$A$2:$A$11,$A13)=0,"",INDEX(技术_主动交易用户汇总!$A$2:$X$11,MATCH($A13,技术_主动交易用户汇总!$A$2:$A$11,0),MATCH("最大总持仓",技术_主动交易用户汇总!$A$1:$X$1,0)))</x:f>
        <x:v>10.026</x:v>
      </x:c>
      <x:c r="O13" s="57" t="n">
        <x:f>IF(COUNTIF(技术_主动交易用户汇总!$A$2:$A$11,$A13)=0,"",INDEX(技术_主动交易用户汇总!$A$2:$X$11,MATCH($A13,技术_主动交易用户汇总!$A$2:$A$11,0),MATCH("F23显示最大持仓均价",技术_主动交易用户汇总!$A$1:$X$1,0)))</x:f>
        <x:v>65438.05</x:v>
      </x:c>
      <x:c r="P13" s="34" t="str">
        <x:f>IF(COUNTIF(技术_逐笔复盘汇总!$A$2:$A$11,$A13)=0,"",INDEX(技术_逐笔复盘汇总!$A$2:$ES$11,MATCH($A13,技术_逐笔复盘汇总!$A$2:$A$11,0),MATCH("首仓前开仓尝试次数",技术_逐笔复盘汇总!$A$1:$ES$1,0)))</x:f>
        <x:v>12</x:v>
      </x:c>
      <x:c r="Q13" s="34" t="str">
        <x:f>IF(COUNTIF(技术_逐笔复盘汇总!$A$2:$A$11,$A13)=0,"",INDEX(技术_逐笔复盘汇总!$A$2:$ES$11,MATCH($A13,技术_逐笔复盘汇总!$A$2:$A$11,0),MATCH("首仓前未成交撤销次数",技术_逐笔复盘汇总!$A$1:$ES$1,0)))</x:f>
        <x:v>11</x:v>
      </x:c>
      <x:c r="R13" s="34" t="str">
        <x:f>IF(COUNTIF(技术_逐笔复盘汇总!$A$2:$A$11,$A13)=0,"",INDEX(技术_逐笔复盘汇总!$A$2:$ES$11,MATCH($A13,技术_逐笔复盘汇总!$A$2:$A$11,0),MATCH("首仓前方向切换次数",技术_逐笔复盘汇总!$A$1:$ES$1,0)))</x:f>
        <x:v>0</x:v>
      </x:c>
      <x:c r="S13" s="34" t="n">
        <x:f>IF(COUNTIF(技术_逐笔复盘汇总!$A$2:$A$11,$A13)=0,"",INDEX(技术_逐笔复盘汇总!$A$2:$ES$11,MATCH($A13,技术_逐笔复盘汇总!$A$2:$A$11,0),MATCH("加仓尝试次数",技术_逐笔复盘汇总!$A$1:$ES$1,0))+INDEX(技术_逐笔复盘汇总!$A$2:$ES$11,MATCH($A13,技术_逐笔复盘汇总!$A$2:$A$11,0),MATCH("实际成功加仓次数",技术_逐笔复盘汇总!$A$1:$ES$1,0)))</x:f>
        <x:v>11</x:v>
      </x:c>
      <x:c r="T13" s="34" t="str">
        <x:f>IF(COUNTIF(技术_主动交易用户汇总!$A$2:$A$11,$A13)=0,"",INDEX(技术_主动交易用户汇总!$A$2:$X$11,MATCH($A13,技术_主动交易用户汇总!$A$2:$A$11,0),MATCH("成功加仓次数",技术_主动交易用户汇总!$A$1:$X$1,0)))</x:f>
        <x:v>2</x:v>
      </x:c>
      <x:c r="U13" s="34" t="str">
        <x:f>IF(COUNTIF(技术_逐笔复盘汇总!$A$2:$A$11,$A13)=0,"",INDEX(技术_逐笔复盘汇总!$A$2:$ES$11,MATCH($A13,技术_逐笔复盘汇总!$A$2:$A$11,0),MATCH("未成交加仓撤销次数",技术_逐笔复盘汇总!$A$1:$ES$1,0)))</x:f>
        <x:v>9</x:v>
      </x:c>
      <x:c r="V13" s="34" t="str">
        <x:f>IF(COUNTIF(技术_逐笔复盘汇总!$A$2:$A$11,$A13)=0,"",INDEX(技术_逐笔复盘汇总!$A$2:$ES$11,MATCH($A13,技术_逐笔复盘汇总!$A$2:$A$11,0),MATCH("部分成交后撤余次数",技术_逐笔复盘汇总!$A$1:$ES$1,0)))</x:f>
        <x:v>1</x:v>
      </x:c>
      <x:c r="W13" s="34" t="str">
        <x:f>IF(COUNTIF(技术_主动交易用户汇总!$A$2:$A$11,$A13)=0,"",INDEX(技术_主动交易用户汇总!$A$2:$X$11,MATCH($A13,技术_主动交易用户汇总!$A$2:$A$11,0),MATCH("限价减仓或平仓尝试",技术_主动交易用户汇总!$A$1:$X$1,0)))</x:f>
        <x:v>4</x:v>
      </x:c>
      <x:c r="X13" s="34" t="str">
        <x:f>IF(COUNTIF(技术_主动交易用户汇总!$A$2:$A$11,$A13)=0,"",INDEX(技术_主动交易用户汇总!$A$2:$X$11,MATCH($A13,技术_主动交易用户汇总!$A$2:$A$11,0),MATCH("未成交限价平仓取消",技术_主动交易用户汇总!$A$1:$X$1,0)))</x:f>
        <x:v>3</x:v>
      </x:c>
      <x:c r="Y13" s="34" t="str">
        <x:f>IF(COUNTIF(技术_主动交易用户汇总!$A$2:$A$11,$A13)=0,"",INDEX(技术_主动交易用户汇总!$A$2:$X$11,MATCH($A13,技术_主动交易用户汇总!$A$2:$A$11,0),MATCH("未成交限价平仓过期",技术_主动交易用户汇总!$A$1:$X$1,0)))</x:f>
        <x:v>0</x:v>
      </x:c>
      <x:c r="Z13" s="34" t="str">
        <x:f>IF(COUNTIF(技术_主动交易用户汇总!$A$2:$A$11,$A13)=0,"",INDEX(技术_主动交易用户汇总!$A$2:$X$11,MATCH($A13,技术_主动交易用户汇总!$A$2:$A$11,0),MATCH("实际部分减仓",技术_主动交易用户汇总!$A$1:$X$1,0)))</x:f>
        <x:v>0</x:v>
      </x:c>
      <x:c r="AA13" s="34" t="str">
        <x:f>IF(COUNTIF(技术_逐笔复盘汇总!$A$2:$A$11,$A13)=0,"",INDEX(技术_逐笔复盘汇总!$A$2:$ES$11,MATCH($A13,技术_逐笔复盘汇总!$A$2:$A$11,0),MATCH("止损设置次数",技术_逐笔复盘汇总!$A$1:$ES$1,0)))</x:f>
        <x:v>7</x:v>
      </x:c>
      <x:c r="AB13" s="34" t="str">
        <x:f>IF(COUNTIF(技术_逐笔复盘汇总!$A$2:$A$11,$A13)=0,"",INDEX(技术_逐笔复盘汇总!$A$2:$ES$11,MATCH($A13,技术_逐笔复盘汇总!$A$2:$A$11,0),MATCH("止损取消次数",技术_逐笔复盘汇总!$A$1:$ES$1,0)))</x:f>
        <x:v>6</x:v>
      </x:c>
      <x:c r="AC13" s="34" t="str">
        <x:f>IF(COUNTIF(技术_逐笔复盘汇总!$A$2:$A$11,$A13)=0,"",INDEX(技术_逐笔复盘汇总!$A$2:$ES$11,MATCH($A13,技术_逐笔复盘汇总!$A$2:$A$11,0),MATCH("疑似止损调整次数",技术_逐笔复盘汇总!$A$1:$ES$1,0)))</x:f>
        <x:v>6</x:v>
      </x:c>
      <x:c r="AD13" s="34" t="str">
        <x:f>IF(COUNTIF(技术_逐笔复盘汇总!$A$2:$A$11,$A13)=0,"",INDEX(技术_逐笔复盘汇总!$A$2:$ES$11,MATCH($A13,技术_逐笔复盘汇总!$A$2:$A$11,0),MATCH("止盈设置次数",技术_逐笔复盘汇总!$A$1:$ES$1,0)))</x:f>
        <x:v>3</x:v>
      </x:c>
      <x:c r="AE13" s="34" t="str">
        <x:f>IF(COUNTIF(技术_逐笔复盘汇总!$A$2:$A$11,$A13)=0,"",INDEX(技术_逐笔复盘汇总!$A$2:$ES$11,MATCH($A13,技术_逐笔复盘汇总!$A$2:$A$11,0),MATCH("止盈取消次数",技术_逐笔复盘汇总!$A$1:$ES$1,0)))</x:f>
        <x:v>3</x:v>
      </x:c>
      <x:c r="AF13" s="34" t="str">
        <x:f>IF(COUNTIF(技术_逐笔复盘汇总!$A$2:$A$11,$A13)=0,"",INDEX(技术_逐笔复盘汇总!$A$2:$ES$11,MATCH($A13,技术_逐笔复盘汇总!$A$2:$A$11,0),MATCH("疑似止盈调整次数",技术_逐笔复盘汇总!$A$1:$ES$1,0)))</x:f>
        <x:v>2</x:v>
      </x:c>
      <x:c r="AG13" s="34" t="str">
        <x:f>IF(COUNTIF(技术_逐笔复盘汇总!$A$2:$A$11,$A13)=0,"",INDEX(技术_逐笔复盘汇总!$A$2:$ES$11,MATCH($A13,技术_逐笔复盘汇总!$A$2:$A$11,0),MATCH("需要人工确认数量",技术_逐笔复盘汇总!$A$1:$ES$1,0)))</x:f>
        <x:v>6</x:v>
      </x:c>
      <x:c r="AH13" s="35" t="str">
        <x:f>IF(COUNTIF(技术_资金展示结果!$A$2:$A$11,$A13)=0,"",INDEX(技术_资金展示结果!$A$2:$AB$11,MATCH($A13,技术_资金展示结果!$A$2:$A$11,0),MATCH("资金闭环等级",技术_资金展示结果!$A$1:$AB$1,0)))</x:f>
        <x:v>B｜大部分闭环，剩余差额有明确类别但无法精确分配</x:v>
      </x:c>
      <x:c r="AI13" s="44" t="str">
        <x:f>IF(COUNTIF(技术_资金展示结果!$A$2:$A$11,$A13)=0,"",INDEX(技术_资金展示结果!$A$2:$AB$11,MATCH($A13,技术_资金展示结果!$A$2:$A$11,0),MATCH("开仓前已确认资金事件滚动值",技术_资金展示结果!$A$1:$AB$1,0)))</x:f>
        <x:v>42729.67235219</x:v>
      </x:c>
      <x:c r="AJ13" s="44" t="str">
        <x:f>IF(COUNTIF(技术_资金展示结果!$A$2:$A$11,$A13)=0,"",INDEX(技术_资金展示结果!$A$2:$AB$11,MATCH($A13,技术_资金展示结果!$A$2:$A$11,0),MATCH("平仓后已确认资金事件滚动值",技术_资金展示结果!$A$1:$AB$1,0)))</x:f>
        <x:v>42176.10517125</x:v>
      </x:c>
      <x:c r="AK13" s="44" t="str">
        <x:f>IF(COUNTIF(技术_资金展示结果!$A$2:$A$11,$A13)=0,"",INDEX(技术_资金展示结果!$A$2:$AB$11,MATCH($A13,技术_资金展示结果!$A$2:$A$11,0),MATCH("未分配快照差额",技术_资金展示结果!$A$1:$AB$1,0)))</x:f>
        <x:v>-17816.44088891</x:v>
      </x:c>
      <x:c r="AL13" s="35" t="str">
        <x:f>IF($A13="T049","平仓后已确认资金事件滚动值为负，不能解释为真实账户总资产。实际快照与已确认事件之间仍存在43,918.85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13)=0,"",INDEX(技术_资金展示结果!$A$2:$AB$11,MATCH($A13,技术_资金展示结果!$A$2:$A$11,0),MATCH("资金展示限制说明",技术_资金展示结果!$A$1:$AB$1,0))&amp;IF($A13="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x:v>
      </x:c>
      <x:c r="AM13" s="35" t="str">
        <x:f>IF($A13="T001","阶段A—E行为链证据不可得；当前仅有D2-C正式首仓、平仓、仓位与资金事实。相关行为字段留空，不代表未发生。",IF(COUNTIF(技术_逐笔复盘汇总!$A$2:$A$11,$A13)=0,"","首仓前："&amp;SUBSTITUTE(INDEX(技术_逐笔复盘汇总!$A$2:$ES$11,MATCH($A13,技术_逐笔复盘汇总!$A$2:$A$11,0),MATCH("首仓前中文摘要",技术_逐笔复盘汇总!$A$1:$ES$1,0)),"真实委托"&amp;INDEX(技术_逐笔复盘汇总!$A$2:$ES$11,MATCH($A13,技术_逐笔复盘汇总!$A$2:$A$11,0),MATCH("形成首仓真实委托编号",技术_逐笔复盘汇总!$A$1:$ES$1,0)),"真实委托")&amp;CHAR(10)&amp;"持仓操作："&amp;SUBSTITUTE(INDEX(技术_逐笔复盘汇总!$A$2:$ES$11,MATCH($A13,技术_逐笔复盘汇总!$A$2:$A$11,0),MATCH("持仓操作中文摘要",技术_逐笔复盘汇总!$A$1:$ES$1,0)),"Fill","成交分笔")&amp;CHAR(10)&amp;"条件计划："&amp;SUBSTITUTE(SUBSTITUTE(INDEX(技术_逐笔复盘汇总!$A$2:$ES$11,MATCH($A13,技术_逐笔复盘汇总!$A$2:$A$11,0),MATCH("条件演变中文摘要",技术_逐笔复盘汇总!$A$1:$ES$1,0)),"基础Order和真实Fill","基础委托和实际成交"),"Fill","成交")))</x:f>
        <x:v>首仓前：本周期首仓前开仓意图链共12张不同开仓委托：11张未成交撤销、0张过期未成交、0张其他未成仓尝试、1张最终成功形成正式首仓；首仓前部分成交后撤余0张。真实委托以限价成交5，是本意图链中形成首仓的成功委托。识别出11次高置信度疑似改价或改量重挂。从首次尝试到正式开仓历时14小时13分20秒；次数按委托单统计。
持仓操作：持仓期间记录9张未形成实际加仓的加仓尝试，其中9张未成交撤销；另有2张真实成交委托成功增加仓位。部分成交后撤余1次，实际部分减仓0次，减仓或平仓委托尝试共4次，最终真实归零成交1次。识别出5次高置信度疑似加仓改价重挂。加仓尝试和实际加仓分别统计，均不按成交分笔数量重复计算。
条件计划：持仓相关止损设置7次，其中取消6次、过期1次，识别出6次高置信度疑似调整；止盈设置3次，其中取消3次、过期0次，识别出2次高置信度疑似调整；最终通过普通限价平仓归零；1张过期记录缺少终止时间或完整因果证据，具体原因不可得。</x:v>
      </x:c>
      <x:c r="AN13" s="35" t="str">
        <x:f>IFERROR(IF(INDEX(人工复盘完成清单!$B$6:$B$15,MATCH($A13,人工复盘完成清单!$A$6:$A$15,0))="","待填写",INDEX(人工复盘完成清单!$B$6:$B$15,MATCH($A13,人工复盘完成清单!$A$6:$A$15,0))),"待填写")</x:f>
        <x:v>待填写</x:v>
      </x:c>
      <x:c r="AO13" s="35" t="str">
        <x:f>IFERROR(IF(INDEX(人工复盘完成清单!$H$6:$H$15,MATCH($A13,人工复盘完成清单!$A$6:$A$15,0))="","待填写",INDEX(人工复盘完成清单!$H$6:$H$15,MATCH($A13,人工复盘完成清单!$A$6:$A$15,0))),"待填写")</x:f>
        <x:v>待填写</x:v>
      </x:c>
      <x:c r="AP13" s="35" t="str">
        <x:f>IFERROR(IF(INDEX(人工复盘完成清单!$L$6:$L$15,MATCH($A13,人工复盘完成清单!$A$6:$A$15,0))="","待填写",INDEX(人工复盘完成清单!$L$6:$L$15,MATCH($A13,人工复盘完成清单!$A$6:$A$15,0))),"待填写")</x:f>
        <x:v>待填写</x:v>
      </x:c>
      <x:c r="AQ13" s="35" t="str">
        <x:f>IFERROR(IF(INDEX(人工复盘完成清单!$P$6:$P$15,MATCH($A13,人工复盘完成清单!$A$6:$A$15,0))="","待填写",INDEX(人工复盘完成清单!$P$6:$P$15,MATCH($A13,人工复盘完成清单!$A$6:$A$15,0))),"待填写")</x:f>
        <x:v>待填写</x:v>
      </x:c>
      <x:c r="AR13" s="35" t="str">
        <x:f>IFERROR(IF(INDEX(人工复盘完成清单!$W$6:$W$15,MATCH($A13,人工复盘完成清单!$A$6:$A$15,0))="","",INDEX(人工复盘完成清单!$W$6:$W$15,MATCH($A13,人工复盘完成清单!$A$6:$A$15,0))),"")</x:f>
        <x:v>在看到预计做空的位置挂不上单子后心情极度焦虑紧张、坐立不安，在反弹上涨后心情又变得舒服。在美联储利率决议的前主观认为会是利空，提前重仓空。浮亏扛单，浮亏加重仓。</x:v>
      </x:c>
    </x:row>
    <x:row r="14" ht="92" customHeight="1">
      <x:c r="A14" s="31" t="s">
        <x:v>75</x:v>
      </x:c>
      <x:c r="B14" s="52" t="str">
        <x:f>IF(COUNTIF(技术_主动交易用户汇总!$A$2:$A$11,$A14)=0,"",INDEX(技术_主动交易用户汇总!$A$2:$X$11,MATCH($A14,技术_主动交易用户汇总!$A$2:$A$11,0),MATCH("日期",技术_主动交易用户汇总!$A$1:$X$1,0)))</x:f>
        <x:v>2026-06-18</x:v>
      </x:c>
      <x:c r="C14" s="31" t="str">
        <x:f>IF(COUNTIF(技术_主动交易用户汇总!$A$2:$A$11,$A14)=0,"",INDEX(技术_主动交易用户汇总!$A$2:$X$11,MATCH($A14,技术_主动交易用户汇总!$A$2:$A$11,0),MATCH("合约",技术_主动交易用户汇总!$A$1:$X$1,0)))</x:f>
        <x:v>SNDKUSDT</x:v>
      </x:c>
      <x:c r="D14" s="31" t="str">
        <x:f>IF(COUNTIF(技术_主动交易用户汇总!$A$2:$A$11,$A14)=0,"",INDEX(技术_主动交易用户汇总!$A$2:$X$11,MATCH($A14,技术_主动交易用户汇总!$A$2:$A$11,0),MATCH("多空",技术_主动交易用户汇总!$A$1:$X$1,0)))</x:f>
        <x:v>空头</x:v>
      </x:c>
      <x:c r="E14" s="32" t="str">
        <x:f>IF(COUNTIF(技术_主动交易用户汇总!$A$2:$A$11,$A14)=0,"",INDEX(技术_主动交易用户汇总!$A$2:$X$11,MATCH($A14,技术_主动交易用户汇总!$A$2:$A$11,0),MATCH("完整正式开仓时间",技术_主动交易用户汇总!$A$1:$X$1,0)))</x:f>
        <x:v>2026-06-18 21:38:59</x:v>
      </x:c>
      <x:c r="F14" s="32" t="str">
        <x:f>IF(COUNTIF(技术_主动交易用户汇总!$A$2:$A$11,$A14)=0,"",INDEX(技术_主动交易用户汇总!$A$2:$X$11,MATCH($A14,技术_主动交易用户汇总!$A$2:$A$11,0),MATCH("完整正式平仓时间",技术_主动交易用户汇总!$A$1:$X$1,0)))</x:f>
        <x:v>2026-06-19 02:13:06</x:v>
      </x:c>
      <x:c r="G14" s="31" t="str">
        <x:f t="shared" si="0"/>
        <x:v>4小时34分7秒</x:v>
      </x:c>
      <x:c r="H14" s="31" t="str">
        <x:f>IF(COUNTIF(技术_主动交易用户汇总!$A$2:$A$11,$A14)=0,"",INDEX(技术_主动交易用户汇总!$A$2:$X$11,MATCH($A14,技术_主动交易用户汇总!$A$2:$A$11,0),MATCH("最终平仓方式",技术_主动交易用户汇总!$A$1:$X$1,0)))</x:f>
        <x:v>条件止损触发平仓</x:v>
      </x:c>
      <x:c r="I14" s="43" t="str">
        <x:f>IF(COUNTIF(技术_主动交易用户汇总!$A$2:$A$11,$A14)=0,"",INDEX(技术_主动交易用户汇总!$A$2:$X$11,MATCH($A14,技术_主动交易用户汇总!$A$2:$A$11,0),MATCH("当前交易净结果",技术_主动交易用户汇总!$A$1:$X$1,0)))</x:f>
        <x:v>-22216.22618112</x:v>
      </x:c>
      <x:c r="J14" s="54" t="str">
        <x:f>IF(COUNTIF(技术_主动交易用户汇总!$A$2:$A$11,$A14)=0,"",INDEX(技术_主动交易用户汇总!$A$2:$X$11,MATCH($A14,技术_主动交易用户汇总!$A$2:$A$11,0),MATCH("首仓数量",技术_主动交易用户汇总!$A$1:$X$1,0)))</x:f>
        <x:v>100</x:v>
      </x:c>
      <x:c r="K14" s="55" t="str">
        <x:f>IF(COUNTIF(技术_主动交易用户汇总!$A$2:$A$11,$A14)=0,"",INDEX(技术_主动交易用户汇总!$A$2:$X$11,MATCH($A14,技术_主动交易用户汇总!$A$2:$A$11,0),MATCH("首仓均价",技术_主动交易用户汇总!$A$1:$X$1,0)))</x:f>
        <x:v>2095</x:v>
      </x:c>
      <x:c r="L14" s="54" t="str">
        <x:f>IF(COUNTIF(技术_主动交易用户汇总!$A$2:$A$11,$A14)=0,"",INDEX(技术_主动交易用户汇总!$A$2:$X$11,MATCH($A14,技术_主动交易用户汇总!$A$2:$A$11,0),MATCH("成功加仓次数",技术_主动交易用户汇总!$A$1:$X$1,0)))</x:f>
        <x:v>1</x:v>
      </x:c>
      <x:c r="M14" s="54" t="str">
        <x:f>IF(COUNTIF(技术_主动交易用户汇总!$A$2:$A$11,$A14)=0,"",INDEX(技术_主动交易用户汇总!$A$2:$X$11,MATCH($A14,技术_主动交易用户汇总!$A$2:$A$11,0),MATCH("成功加仓数量合计",技术_主动交易用户汇总!$A$1:$X$1,0)))</x:f>
        <x:v>100</x:v>
      </x:c>
      <x:c r="N14" s="54" t="str">
        <x:f>IF(COUNTIF(技术_主动交易用户汇总!$A$2:$A$11,$A14)=0,"",INDEX(技术_主动交易用户汇总!$A$2:$X$11,MATCH($A14,技术_主动交易用户汇总!$A$2:$A$11,0),MATCH("最大总持仓",技术_主动交易用户汇总!$A$1:$X$1,0)))</x:f>
        <x:v>200</x:v>
      </x:c>
      <x:c r="O14" s="55" t="n">
        <x:f>IF(COUNTIF(技术_主动交易用户汇总!$A$2:$A$11,$A14)=0,"",INDEX(技术_主动交易用户汇总!$A$2:$X$11,MATCH($A14,技术_主动交易用户汇总!$A$2:$A$11,0),MATCH("F23显示最大持仓均价",技术_主动交易用户汇总!$A$1:$X$1,0)))</x:f>
        <x:v>2115.1</x:v>
      </x:c>
      <x:c r="P14" s="30" t="str">
        <x:f>IF(COUNTIF(技术_逐笔复盘汇总!$A$2:$A$11,$A14)=0,"",INDEX(技术_逐笔复盘汇总!$A$2:$ES$11,MATCH($A14,技术_逐笔复盘汇总!$A$2:$A$11,0),MATCH("首仓前开仓尝试次数",技术_逐笔复盘汇总!$A$1:$ES$1,0)))</x:f>
        <x:v>4</x:v>
      </x:c>
      <x:c r="Q14" s="30" t="str">
        <x:f>IF(COUNTIF(技术_逐笔复盘汇总!$A$2:$A$11,$A14)=0,"",INDEX(技术_逐笔复盘汇总!$A$2:$ES$11,MATCH($A14,技术_逐笔复盘汇总!$A$2:$A$11,0),MATCH("首仓前未成交撤销次数",技术_逐笔复盘汇总!$A$1:$ES$1,0)))</x:f>
        <x:v>3</x:v>
      </x:c>
      <x:c r="R14" s="30" t="str">
        <x:f>IF(COUNTIF(技术_逐笔复盘汇总!$A$2:$A$11,$A14)=0,"",INDEX(技术_逐笔复盘汇总!$A$2:$ES$11,MATCH($A14,技术_逐笔复盘汇总!$A$2:$A$11,0),MATCH("首仓前方向切换次数",技术_逐笔复盘汇总!$A$1:$ES$1,0)))</x:f>
        <x:v>0</x:v>
      </x:c>
      <x:c r="S14" s="30" t="n">
        <x:f>IF(COUNTIF(技术_逐笔复盘汇总!$A$2:$A$11,$A14)=0,"",INDEX(技术_逐笔复盘汇总!$A$2:$ES$11,MATCH($A14,技术_逐笔复盘汇总!$A$2:$A$11,0),MATCH("加仓尝试次数",技术_逐笔复盘汇总!$A$1:$ES$1,0))+INDEX(技术_逐笔复盘汇总!$A$2:$ES$11,MATCH($A14,技术_逐笔复盘汇总!$A$2:$A$11,0),MATCH("实际成功加仓次数",技术_逐笔复盘汇总!$A$1:$ES$1,0)))</x:f>
        <x:v>7</x:v>
      </x:c>
      <x:c r="T14" s="30" t="str">
        <x:f>IF(COUNTIF(技术_主动交易用户汇总!$A$2:$A$11,$A14)=0,"",INDEX(技术_主动交易用户汇总!$A$2:$X$11,MATCH($A14,技术_主动交易用户汇总!$A$2:$A$11,0),MATCH("成功加仓次数",技术_主动交易用户汇总!$A$1:$X$1,0)))</x:f>
        <x:v>1</x:v>
      </x:c>
      <x:c r="U14" s="30" t="str">
        <x:f>IF(COUNTIF(技术_逐笔复盘汇总!$A$2:$A$11,$A14)=0,"",INDEX(技术_逐笔复盘汇总!$A$2:$ES$11,MATCH($A14,技术_逐笔复盘汇总!$A$2:$A$11,0),MATCH("未成交加仓撤销次数",技术_逐笔复盘汇总!$A$1:$ES$1,0)))</x:f>
        <x:v>6</x:v>
      </x:c>
      <x:c r="V14" s="30" t="str">
        <x:f>IF(COUNTIF(技术_逐笔复盘汇总!$A$2:$A$11,$A14)=0,"",INDEX(技术_逐笔复盘汇总!$A$2:$ES$11,MATCH($A14,技术_逐笔复盘汇总!$A$2:$A$11,0),MATCH("部分成交后撤余次数",技术_逐笔复盘汇总!$A$1:$ES$1,0)))</x:f>
        <x:v>0</x:v>
      </x:c>
      <x:c r="W14" s="30" t="str">
        <x:f>IF(COUNTIF(技术_主动交易用户汇总!$A$2:$A$11,$A14)=0,"",INDEX(技术_主动交易用户汇总!$A$2:$X$11,MATCH($A14,技术_主动交易用户汇总!$A$2:$A$11,0),MATCH("限价减仓或平仓尝试",技术_主动交易用户汇总!$A$1:$X$1,0)))</x:f>
        <x:v>9</x:v>
      </x:c>
      <x:c r="X14" s="30" t="str">
        <x:f>IF(COUNTIF(技术_主动交易用户汇总!$A$2:$A$11,$A14)=0,"",INDEX(技术_主动交易用户汇总!$A$2:$X$11,MATCH($A14,技术_主动交易用户汇总!$A$2:$A$11,0),MATCH("未成交限价平仓取消",技术_主动交易用户汇总!$A$1:$X$1,0)))</x:f>
        <x:v>6</x:v>
      </x:c>
      <x:c r="Y14" s="30" t="str">
        <x:f>IF(COUNTIF(技术_主动交易用户汇总!$A$2:$A$11,$A14)=0,"",INDEX(技术_主动交易用户汇总!$A$2:$X$11,MATCH($A14,技术_主动交易用户汇总!$A$2:$A$11,0),MATCH("未成交限价平仓过期",技术_主动交易用户汇总!$A$1:$X$1,0)))</x:f>
        <x:v>3</x:v>
      </x:c>
      <x:c r="Z14" s="30" t="str">
        <x:f>IF(COUNTIF(技术_主动交易用户汇总!$A$2:$A$11,$A14)=0,"",INDEX(技术_主动交易用户汇总!$A$2:$X$11,MATCH($A14,技术_主动交易用户汇总!$A$2:$A$11,0),MATCH("实际部分减仓",技术_主动交易用户汇总!$A$1:$X$1,0)))</x:f>
        <x:v>0</x:v>
      </x:c>
      <x:c r="AA14" s="30" t="str">
        <x:f>IF(COUNTIF(技术_逐笔复盘汇总!$A$2:$A$11,$A14)=0,"",INDEX(技术_逐笔复盘汇总!$A$2:$ES$11,MATCH($A14,技术_逐笔复盘汇总!$A$2:$A$11,0),MATCH("止损设置次数",技术_逐笔复盘汇总!$A$1:$ES$1,0)))</x:f>
        <x:v>3</x:v>
      </x:c>
      <x:c r="AB14" s="30" t="str">
        <x:f>IF(COUNTIF(技术_逐笔复盘汇总!$A$2:$A$11,$A14)=0,"",INDEX(技术_逐笔复盘汇总!$A$2:$ES$11,MATCH($A14,技术_逐笔复盘汇总!$A$2:$A$11,0),MATCH("止损取消次数",技术_逐笔复盘汇总!$A$1:$ES$1,0)))</x:f>
        <x:v>2</x:v>
      </x:c>
      <x:c r="AC14" s="30" t="str">
        <x:f>IF(COUNTIF(技术_逐笔复盘汇总!$A$2:$A$11,$A14)=0,"",INDEX(技术_逐笔复盘汇总!$A$2:$ES$11,MATCH($A14,技术_逐笔复盘汇总!$A$2:$A$11,0),MATCH("疑似止损调整次数",技术_逐笔复盘汇总!$A$1:$ES$1,0)))</x:f>
        <x:v>1</x:v>
      </x:c>
      <x:c r="AD14" s="30" t="str">
        <x:f>IF(COUNTIF(技术_逐笔复盘汇总!$A$2:$A$11,$A14)=0,"",INDEX(技术_逐笔复盘汇总!$A$2:$ES$11,MATCH($A14,技术_逐笔复盘汇总!$A$2:$A$11,0),MATCH("止盈设置次数",技术_逐笔复盘汇总!$A$1:$ES$1,0)))</x:f>
        <x:v>3</x:v>
      </x:c>
      <x:c r="AE14" s="30" t="str">
        <x:f>IF(COUNTIF(技术_逐笔复盘汇总!$A$2:$A$11,$A14)=0,"",INDEX(技术_逐笔复盘汇总!$A$2:$ES$11,MATCH($A14,技术_逐笔复盘汇总!$A$2:$A$11,0),MATCH("止盈取消次数",技术_逐笔复盘汇总!$A$1:$ES$1,0)))</x:f>
        <x:v>2</x:v>
      </x:c>
      <x:c r="AF14" s="30" t="str">
        <x:f>IF(COUNTIF(技术_逐笔复盘汇总!$A$2:$A$11,$A14)=0,"",INDEX(技术_逐笔复盘汇总!$A$2:$ES$11,MATCH($A14,技术_逐笔复盘汇总!$A$2:$A$11,0),MATCH("疑似止盈调整次数",技术_逐笔复盘汇总!$A$1:$ES$1,0)))</x:f>
        <x:v>1</x:v>
      </x:c>
      <x:c r="AG14" s="30" t="str">
        <x:f>IF(COUNTIF(技术_逐笔复盘汇总!$A$2:$A$11,$A14)=0,"",INDEX(技术_逐笔复盘汇总!$A$2:$ES$11,MATCH($A14,技术_逐笔复盘汇总!$A$2:$A$11,0),MATCH("需要人工确认数量",技术_逐笔复盘汇总!$A$1:$ES$1,0)))</x:f>
        <x:v>11</x:v>
      </x:c>
      <x:c r="AH14" s="31" t="str">
        <x:f>IF(COUNTIF(技术_资金展示结果!$A$2:$A$11,$A14)=0,"",INDEX(技术_资金展示结果!$A$2:$AB$11,MATCH($A14,技术_资金展示结果!$A$2:$A$11,0),MATCH("资金闭环等级",技术_资金展示结果!$A$1:$AB$1,0)))</x:f>
        <x:v>B｜大部分闭环，剩余差额有明确类别但无法精确分配</x:v>
      </x:c>
      <x:c r="AI14" s="43" t="str">
        <x:f>IF(COUNTIF(技术_资金展示结果!$A$2:$A$11,$A14)=0,"",INDEX(技术_资金展示结果!$A$2:$AB$11,MATCH($A14,技术_资金展示结果!$A$2:$A$11,0),MATCH("开仓前已确认资金事件滚动值",技术_资金展示结果!$A$1:$AB$1,0)))</x:f>
        <x:v>25262.72207512</x:v>
      </x:c>
      <x:c r="AJ14" s="43" t="str">
        <x:f>IF(COUNTIF(技术_资金展示结果!$A$2:$A$11,$A14)=0,"",INDEX(技术_资金展示结果!$A$2:$AB$11,MATCH($A14,技术_资金展示结果!$A$2:$A$11,0),MATCH("平仓后已确认资金事件滚动值",技术_资金展示结果!$A$1:$AB$1,0)))</x:f>
        <x:v>6295.64028156</x:v>
      </x:c>
      <x:c r="AK14" s="43" t="str">
        <x:f>IF(COUNTIF(技术_资金展示结果!$A$2:$A$11,$A14)=0,"",INDEX(技术_资金展示结果!$A$2:$AB$11,MATCH($A14,技术_资金展示结果!$A$2:$A$11,0),MATCH("未分配快照差额",技术_资金展示结果!$A$1:$AB$1,0)))</x:f>
        <x:v>7202.99147572</x:v>
      </x:c>
      <x:c r="AL14" s="31" t="str">
        <x:f>IF($A14="T049","平仓后已确认资金事件滚动值为负，不能解释为真实账户总资产。实际快照与已确认事件之间仍存在43,918.85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14)=0,"",INDEX(技术_资金展示结果!$A$2:$AB$11,MATCH($A14,技术_资金展示结果!$A$2:$A$11,0),MATCH("资金展示限制说明",技术_资金展示结果!$A$1:$AB$1,0))&amp;IF($A14="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x:v>
      </x:c>
      <x:c r="AM14" s="31" t="str">
        <x:f>IF($A14="T001","阶段A—E行为链证据不可得；当前仅有D2-C正式首仓、平仓、仓位与资金事实。相关行为字段留空，不代表未发生。",IF(COUNTIF(技术_逐笔复盘汇总!$A$2:$A$11,$A14)=0,"","首仓前："&amp;SUBSTITUTE(INDEX(技术_逐笔复盘汇总!$A$2:$ES$11,MATCH($A14,技术_逐笔复盘汇总!$A$2:$A$11,0),MATCH("首仓前中文摘要",技术_逐笔复盘汇总!$A$1:$ES$1,0)),"真实委托"&amp;INDEX(技术_逐笔复盘汇总!$A$2:$ES$11,MATCH($A14,技术_逐笔复盘汇总!$A$2:$A$11,0),MATCH("形成首仓真实委托编号",技术_逐笔复盘汇总!$A$1:$ES$1,0)),"真实委托")&amp;CHAR(10)&amp;"持仓操作："&amp;SUBSTITUTE(INDEX(技术_逐笔复盘汇总!$A$2:$ES$11,MATCH($A14,技术_逐笔复盘汇总!$A$2:$A$11,0),MATCH("持仓操作中文摘要",技术_逐笔复盘汇总!$A$1:$ES$1,0)),"Fill","成交分笔")&amp;CHAR(10)&amp;"条件计划："&amp;SUBSTITUTE(SUBSTITUTE(INDEX(技术_逐笔复盘汇总!$A$2:$ES$11,MATCH($A14,技术_逐笔复盘汇总!$A$2:$A$11,0),MATCH("条件演变中文摘要",技术_逐笔复盘汇总!$A$1:$ES$1,0)),"基础Order和真实Fill","基础委托和实际成交"),"Fill","成交")))</x:f>
        <x:v>首仓前：本周期首仓前开仓意图链共4张不同开仓委托：3张未成交撤销、0张过期未成交、0张其他未成仓尝试、1张最终成功形成正式首仓；首仓前部分成交后撤余0张。真实委托以限价成交100，是本意图链中形成首仓的成功委托。识别出3次高置信度疑似改价或改量重挂。从首次尝试到正式开仓历时44分14秒；次数按委托单统计。
持仓操作：持仓期间记录6张未形成实际加仓的加仓尝试，其中6张未成交撤销；另有1张真实成交委托成功增加仓位。部分成交后撤余0次，实际部分减仓0次，减仓或平仓委托尝试共10次，最终真实归零成交1次。识别出3次高置信度疑似加仓改价重挂。加仓尝试和实际加仓分别统计，均不按成交分笔数量重复计算。
条件计划：持仓相关止损设置3次，其中取消2次、过期0次，识别出1次高置信度疑似调整；止盈设置3次，其中取消2次、过期1次，识别出1次高置信度疑似调整；共有1张条件委托经生成基础委托和实际成交后使仓位归零；1张过期记录缺少终止时间或完整因果证据，具体原因不可得。</x:v>
      </x:c>
      <x:c r="AN14" s="31" t="str">
        <x:f>IFERROR(IF(INDEX(人工复盘完成清单!$B$6:$B$15,MATCH($A14,人工复盘完成清单!$A$6:$A$15,0))="","待填写",INDEX(人工复盘完成清单!$B$6:$B$15,MATCH($A14,人工复盘完成清单!$A$6:$A$15,0))),"待填写")</x:f>
        <x:v>待填写</x:v>
      </x:c>
      <x:c r="AO14" s="31" t="str">
        <x:f>IFERROR(IF(INDEX(人工复盘完成清单!$H$6:$H$15,MATCH($A14,人工复盘完成清单!$A$6:$A$15,0))="","待填写",INDEX(人工复盘完成清单!$H$6:$H$15,MATCH($A14,人工复盘完成清单!$A$6:$A$15,0))),"待填写")</x:f>
        <x:v>待填写</x:v>
      </x:c>
      <x:c r="AP14" s="31" t="str">
        <x:f>IFERROR(IF(INDEX(人工复盘完成清单!$L$6:$L$15,MATCH($A14,人工复盘完成清单!$A$6:$A$15,0))="","待填写",INDEX(人工复盘完成清单!$L$6:$L$15,MATCH($A14,人工复盘完成清单!$A$6:$A$15,0))),"待填写")</x:f>
        <x:v>待填写</x:v>
      </x:c>
      <x:c r="AQ14" s="31" t="str">
        <x:f>IFERROR(IF(INDEX(人工复盘完成清单!$P$6:$P$15,MATCH($A14,人工复盘完成清单!$A$6:$A$15,0))="","待填写",INDEX(人工复盘完成清单!$P$6:$P$15,MATCH($A14,人工复盘完成清单!$A$6:$A$15,0))),"待填写")</x:f>
        <x:v>待填写</x:v>
      </x:c>
      <x:c r="AR14" s="31" t="str">
        <x:f>IFERROR(IF(INDEX(人工复盘完成清单!$W$6:$W$15,MATCH($A14,人工复盘完成清单!$A$6:$A$15,0))="","",INDEX(人工复盘完成清单!$W$6:$W$15,MATCH($A14,人工复盘完成清单!$A$6:$A$15,0))),"")</x:f>
        <x:v>1.受社群消息影响2.幻想可以来回反复做空，把没有的利润当做是自己的利润3.想在陌生品种舔一口4.看到陌生品种把其他品种赚到的钱亏掉而不甘心止损5.想着亏10000u就止损，最后又做不到6.在上涨过程中的回调里依旧不舍得止损7.在深度低的交易所交易流动性低的品种</x:v>
      </x:c>
    </x:row>
    <x:row r="15" ht="92" customHeight="1">
      <x:c r="A15" s="35" t="s">
        <x:v>76</x:v>
      </x:c>
      <x:c r="B15" s="53" t="str">
        <x:f>IF(COUNTIF(技术_主动交易用户汇总!$A$2:$A$11,$A15)=0,"",INDEX(技术_主动交易用户汇总!$A$2:$X$11,MATCH($A15,技术_主动交易用户汇总!$A$2:$A$11,0),MATCH("日期",技术_主动交易用户汇总!$A$1:$X$1,0)))</x:f>
        <x:v>2026-06-19</x:v>
      </x:c>
      <x:c r="C15" s="35" t="str">
        <x:f>IF(COUNTIF(技术_主动交易用户汇总!$A$2:$A$11,$A15)=0,"",INDEX(技术_主动交易用户汇总!$A$2:$X$11,MATCH($A15,技术_主动交易用户汇总!$A$2:$A$11,0),MATCH("合约",技术_主动交易用户汇总!$A$1:$X$1,0)))</x:f>
        <x:v>BTCUSDT</x:v>
      </x:c>
      <x:c r="D15" s="35" t="str">
        <x:f>IF(COUNTIF(技术_主动交易用户汇总!$A$2:$A$11,$A15)=0,"",INDEX(技术_主动交易用户汇总!$A$2:$X$11,MATCH($A15,技术_主动交易用户汇总!$A$2:$A$11,0),MATCH("多空",技术_主动交易用户汇总!$A$1:$X$1,0)))</x:f>
        <x:v>空头</x:v>
      </x:c>
      <x:c r="E15" s="36" t="str">
        <x:f>IF(COUNTIF(技术_主动交易用户汇总!$A$2:$A$11,$A15)=0,"",INDEX(技术_主动交易用户汇总!$A$2:$X$11,MATCH($A15,技术_主动交易用户汇总!$A$2:$A$11,0),MATCH("完整正式开仓时间",技术_主动交易用户汇总!$A$1:$X$1,0)))</x:f>
        <x:v>2026-06-19 20:28:02</x:v>
      </x:c>
      <x:c r="F15" s="36" t="str">
        <x:f>IF(COUNTIF(技术_主动交易用户汇总!$A$2:$A$11,$A15)=0,"",INDEX(技术_主动交易用户汇总!$A$2:$X$11,MATCH($A15,技术_主动交易用户汇总!$A$2:$A$11,0),MATCH("完整正式平仓时间",技术_主动交易用户汇总!$A$1:$X$1,0)))</x:f>
        <x:v>2026-06-21 06:30:32</x:v>
      </x:c>
      <x:c r="G15" s="35" t="str">
        <x:f t="shared" si="0"/>
        <x:v>1天10小时2分30秒</x:v>
      </x:c>
      <x:c r="H15" s="35" t="str">
        <x:f>IF(COUNTIF(技术_主动交易用户汇总!$A$2:$A$11,$A15)=0,"",INDEX(技术_主动交易用户汇总!$A$2:$X$11,MATCH($A15,技术_主动交易用户汇总!$A$2:$A$11,0),MATCH("最终平仓方式",技术_主动交易用户汇总!$A$1:$X$1,0)))</x:f>
        <x:v>普通限价平仓</x:v>
      </x:c>
      <x:c r="I15" s="44" t="str">
        <x:f>IF(COUNTIF(技术_主动交易用户汇总!$A$2:$A$11,$A15)=0,"",INDEX(技术_主动交易用户汇总!$A$2:$X$11,MATCH($A15,技术_主动交易用户汇总!$A$2:$A$11,0),MATCH("当前交易净结果",技术_主动交易用户汇总!$A$1:$X$1,0)))</x:f>
        <x:v>-21839.09171882</x:v>
      </x:c>
      <x:c r="J15" s="56" t="str">
        <x:f>IF(COUNTIF(技术_主动交易用户汇总!$A$2:$A$11,$A15)=0,"",INDEX(技术_主动交易用户汇总!$A$2:$X$11,MATCH($A15,技术_主动交易用户汇总!$A$2:$A$11,0),MATCH("首仓数量",技术_主动交易用户汇总!$A$1:$X$1,0)))</x:f>
        <x:v>10</x:v>
      </x:c>
      <x:c r="K15" s="57" t="str">
        <x:f>IF(COUNTIF(技术_主动交易用户汇总!$A$2:$A$11,$A15)=0,"",INDEX(技术_主动交易用户汇总!$A$2:$X$11,MATCH($A15,技术_主动交易用户汇总!$A$2:$A$11,0),MATCH("首仓均价",技术_主动交易用户汇总!$A$1:$X$1,0)))</x:f>
        <x:v>62509.1</x:v>
      </x:c>
      <x:c r="L15" s="56" t="str">
        <x:f>IF(COUNTIF(技术_主动交易用户汇总!$A$2:$A$11,$A15)=0,"",INDEX(技术_主动交易用户汇总!$A$2:$X$11,MATCH($A15,技术_主动交易用户汇总!$A$2:$A$11,0),MATCH("成功加仓次数",技术_主动交易用户汇总!$A$1:$X$1,0)))</x:f>
        <x:v>1</x:v>
      </x:c>
      <x:c r="M15" s="56" t="str">
        <x:f>IF(COUNTIF(技术_主动交易用户汇总!$A$2:$A$11,$A15)=0,"",INDEX(技术_主动交易用户汇总!$A$2:$X$11,MATCH($A15,技术_主动交易用户汇总!$A$2:$A$11,0),MATCH("成功加仓数量合计",技术_主动交易用户汇总!$A$1:$X$1,0)))</x:f>
        <x:v>5</x:v>
      </x:c>
      <x:c r="N15" s="56" t="str">
        <x:f>IF(COUNTIF(技术_主动交易用户汇总!$A$2:$A$11,$A15)=0,"",INDEX(技术_主动交易用户汇总!$A$2:$X$11,MATCH($A15,技术_主动交易用户汇总!$A$2:$A$11,0),MATCH("最大总持仓",技术_主动交易用户汇总!$A$1:$X$1,0)))</x:f>
        <x:v>15</x:v>
      </x:c>
      <x:c r="O15" s="57" t="n">
        <x:f>IF(COUNTIF(技术_主动交易用户汇总!$A$2:$A$11,$A15)=0,"",INDEX(技术_主动交易用户汇总!$A$2:$X$11,MATCH($A15,技术_主动交易用户汇总!$A$2:$A$11,0),MATCH("F23显示最大持仓均价",技术_主动交易用户汇总!$A$1:$X$1,0)))</x:f>
        <x:v>62546.73</x:v>
      </x:c>
      <x:c r="P15" s="34" t="str">
        <x:f>IF(COUNTIF(技术_逐笔复盘汇总!$A$2:$A$11,$A15)=0,"",INDEX(技术_逐笔复盘汇总!$A$2:$ES$11,MATCH($A15,技术_逐笔复盘汇总!$A$2:$A$11,0),MATCH("首仓前开仓尝试次数",技术_逐笔复盘汇总!$A$1:$ES$1,0)))</x:f>
        <x:v>8</x:v>
      </x:c>
      <x:c r="Q15" s="34" t="str">
        <x:f>IF(COUNTIF(技术_逐笔复盘汇总!$A$2:$A$11,$A15)=0,"",INDEX(技术_逐笔复盘汇总!$A$2:$ES$11,MATCH($A15,技术_逐笔复盘汇总!$A$2:$A$11,0),MATCH("首仓前未成交撤销次数",技术_逐笔复盘汇总!$A$1:$ES$1,0)))</x:f>
        <x:v>7</x:v>
      </x:c>
      <x:c r="R15" s="34" t="str">
        <x:f>IF(COUNTIF(技术_逐笔复盘汇总!$A$2:$A$11,$A15)=0,"",INDEX(技术_逐笔复盘汇总!$A$2:$ES$11,MATCH($A15,技术_逐笔复盘汇总!$A$2:$A$11,0),MATCH("首仓前方向切换次数",技术_逐笔复盘汇总!$A$1:$ES$1,0)))</x:f>
        <x:v>0</x:v>
      </x:c>
      <x:c r="S15" s="34" t="n">
        <x:f>IF(COUNTIF(技术_逐笔复盘汇总!$A$2:$A$11,$A15)=0,"",INDEX(技术_逐笔复盘汇总!$A$2:$ES$11,MATCH($A15,技术_逐笔复盘汇总!$A$2:$A$11,0),MATCH("加仓尝试次数",技术_逐笔复盘汇总!$A$1:$ES$1,0))+INDEX(技术_逐笔复盘汇总!$A$2:$ES$11,MATCH($A15,技术_逐笔复盘汇总!$A$2:$A$11,0),MATCH("实际成功加仓次数",技术_逐笔复盘汇总!$A$1:$ES$1,0)))</x:f>
        <x:v>2</x:v>
      </x:c>
      <x:c r="T15" s="34" t="str">
        <x:f>IF(COUNTIF(技术_主动交易用户汇总!$A$2:$A$11,$A15)=0,"",INDEX(技术_主动交易用户汇总!$A$2:$X$11,MATCH($A15,技术_主动交易用户汇总!$A$2:$A$11,0),MATCH("成功加仓次数",技术_主动交易用户汇总!$A$1:$X$1,0)))</x:f>
        <x:v>1</x:v>
      </x:c>
      <x:c r="U15" s="34" t="str">
        <x:f>IF(COUNTIF(技术_逐笔复盘汇总!$A$2:$A$11,$A15)=0,"",INDEX(技术_逐笔复盘汇总!$A$2:$ES$11,MATCH($A15,技术_逐笔复盘汇总!$A$2:$A$11,0),MATCH("未成交加仓撤销次数",技术_逐笔复盘汇总!$A$1:$ES$1,0)))</x:f>
        <x:v>1</x:v>
      </x:c>
      <x:c r="V15" s="34" t="str">
        <x:f>IF(COUNTIF(技术_逐笔复盘汇总!$A$2:$A$11,$A15)=0,"",INDEX(技术_逐笔复盘汇总!$A$2:$ES$11,MATCH($A15,技术_逐笔复盘汇总!$A$2:$A$11,0),MATCH("部分成交后撤余次数",技术_逐笔复盘汇总!$A$1:$ES$1,0)))</x:f>
        <x:v>0</x:v>
      </x:c>
      <x:c r="W15" s="34" t="str">
        <x:f>IF(COUNTIF(技术_主动交易用户汇总!$A$2:$A$11,$A15)=0,"",INDEX(技术_主动交易用户汇总!$A$2:$X$11,MATCH($A15,技术_主动交易用户汇总!$A$2:$A$11,0),MATCH("限价减仓或平仓尝试",技术_主动交易用户汇总!$A$1:$X$1,0)))</x:f>
        <x:v>7</x:v>
      </x:c>
      <x:c r="X15" s="34" t="str">
        <x:f>IF(COUNTIF(技术_主动交易用户汇总!$A$2:$A$11,$A15)=0,"",INDEX(技术_主动交易用户汇总!$A$2:$X$11,MATCH($A15,技术_主动交易用户汇总!$A$2:$A$11,0),MATCH("未成交限价平仓取消",技术_主动交易用户汇总!$A$1:$X$1,0)))</x:f>
        <x:v>3</x:v>
      </x:c>
      <x:c r="Y15" s="34" t="str">
        <x:f>IF(COUNTIF(技术_主动交易用户汇总!$A$2:$A$11,$A15)=0,"",INDEX(技术_主动交易用户汇总!$A$2:$X$11,MATCH($A15,技术_主动交易用户汇总!$A$2:$A$11,0),MATCH("未成交限价平仓过期",技术_主动交易用户汇总!$A$1:$X$1,0)))</x:f>
        <x:v>2</x:v>
      </x:c>
      <x:c r="Z15" s="34" t="str">
        <x:f>IF(COUNTIF(技术_主动交易用户汇总!$A$2:$A$11,$A15)=0,"",INDEX(技术_主动交易用户汇总!$A$2:$X$11,MATCH($A15,技术_主动交易用户汇总!$A$2:$A$11,0),MATCH("实际部分减仓",技术_主动交易用户汇总!$A$1:$X$1,0)))</x:f>
        <x:v>1</x:v>
      </x:c>
      <x:c r="AA15" s="34" t="str">
        <x:f>IF(COUNTIF(技术_逐笔复盘汇总!$A$2:$A$11,$A15)=0,"",INDEX(技术_逐笔复盘汇总!$A$2:$ES$11,MATCH($A15,技术_逐笔复盘汇总!$A$2:$A$11,0),MATCH("止损设置次数",技术_逐笔复盘汇总!$A$1:$ES$1,0)))</x:f>
        <x:v>9</x:v>
      </x:c>
      <x:c r="AB15" s="34" t="str">
        <x:f>IF(COUNTIF(技术_逐笔复盘汇总!$A$2:$A$11,$A15)=0,"",INDEX(技术_逐笔复盘汇总!$A$2:$ES$11,MATCH($A15,技术_逐笔复盘汇总!$A$2:$A$11,0),MATCH("止损取消次数",技术_逐笔复盘汇总!$A$1:$ES$1,0)))</x:f>
        <x:v>8</x:v>
      </x:c>
      <x:c r="AC15" s="34" t="str">
        <x:f>IF(COUNTIF(技术_逐笔复盘汇总!$A$2:$A$11,$A15)=0,"",INDEX(技术_逐笔复盘汇总!$A$2:$ES$11,MATCH($A15,技术_逐笔复盘汇总!$A$2:$A$11,0),MATCH("疑似止损调整次数",技术_逐笔复盘汇总!$A$1:$ES$1,0)))</x:f>
        <x:v>6</x:v>
      </x:c>
      <x:c r="AD15" s="34" t="str">
        <x:f>IF(COUNTIF(技术_逐笔复盘汇总!$A$2:$A$11,$A15)=0,"",INDEX(技术_逐笔复盘汇总!$A$2:$ES$11,MATCH($A15,技术_逐笔复盘汇总!$A$2:$A$11,0),MATCH("止盈设置次数",技术_逐笔复盘汇总!$A$1:$ES$1,0)))</x:f>
        <x:v>6</x:v>
      </x:c>
      <x:c r="AE15" s="34" t="str">
        <x:f>IF(COUNTIF(技术_逐笔复盘汇总!$A$2:$A$11,$A15)=0,"",INDEX(技术_逐笔复盘汇总!$A$2:$ES$11,MATCH($A15,技术_逐笔复盘汇总!$A$2:$A$11,0),MATCH("止盈取消次数",技术_逐笔复盘汇总!$A$1:$ES$1,0)))</x:f>
        <x:v>5</x:v>
      </x:c>
      <x:c r="AF15" s="34" t="str">
        <x:f>IF(COUNTIF(技术_逐笔复盘汇总!$A$2:$A$11,$A15)=0,"",INDEX(技术_逐笔复盘汇总!$A$2:$ES$11,MATCH($A15,技术_逐笔复盘汇总!$A$2:$A$11,0),MATCH("疑似止盈调整次数",技术_逐笔复盘汇总!$A$1:$ES$1,0)))</x:f>
        <x:v>4</x:v>
      </x:c>
      <x:c r="AG15" s="34" t="str">
        <x:f>IF(COUNTIF(技术_逐笔复盘汇总!$A$2:$A$11,$A15)=0,"",INDEX(技术_逐笔复盘汇总!$A$2:$ES$11,MATCH($A15,技术_逐笔复盘汇总!$A$2:$A$11,0),MATCH("需要人工确认数量",技术_逐笔复盘汇总!$A$1:$ES$1,0)))</x:f>
        <x:v>13</x:v>
      </x:c>
      <x:c r="AH15" s="35" t="str">
        <x:f>IF(COUNTIF(技术_资金展示结果!$A$2:$A$11,$A15)=0,"",INDEX(技术_资金展示结果!$A$2:$AB$11,MATCH($A15,技术_资金展示结果!$A$2:$A$11,0),MATCH("资金闭环等级",技术_资金展示结果!$A$1:$AB$1,0)))</x:f>
        <x:v>B｜大部分闭环，剩余差额有明确类别但无法精确分配</x:v>
      </x:c>
      <x:c r="AI15" s="44" t="str">
        <x:f>IF(COUNTIF(技术_资金展示结果!$A$2:$A$11,$A15)=0,"",INDEX(技术_资金展示结果!$A$2:$AB$11,MATCH($A15,技术_资金展示结果!$A$2:$A$11,0),MATCH("开仓前已确认资金事件滚动值",技术_资金展示结果!$A$1:$AB$1,0)))</x:f>
        <x:v>13741.67101695</x:v>
      </x:c>
      <x:c r="AJ15" s="44" t="str">
        <x:f>IF(COUNTIF(技术_资金展示结果!$A$2:$A$11,$A15)=0,"",INDEX(技术_资金展示结果!$A$2:$AB$11,MATCH($A15,技术_资金展示结果!$A$2:$A$11,0),MATCH("平仓后已确认资金事件滚动值",技术_资金展示结果!$A$1:$AB$1,0)))</x:f>
        <x:v>-8047.82893011</x:v>
      </x:c>
      <x:c r="AK15" s="44" t="str">
        <x:f>IF(COUNTIF(技术_资金展示结果!$A$2:$A$11,$A15)=0,"",INDEX(技术_资金展示结果!$A$2:$AB$11,MATCH($A15,技术_资金展示结果!$A$2:$A$11,0),MATCH("未分配快照差额",技术_资金展示结果!$A$1:$AB$1,0)))</x:f>
        <x:v>14353.1490911</x:v>
      </x:c>
      <x:c r="AL15" s="35" t="str">
        <x:f>IF($A15="T049","平仓后已确认资金事件滚动值为负，不能解释为真实账户总资产。实际快照与已确认事件之间仍存在43,918.85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15)=0,"",INDEX(技术_资金展示结果!$A$2:$AB$11,MATCH($A15,技术_资金展示结果!$A$2:$A$11,0),MATCH("资金展示限制说明",技术_资金展示结果!$A$1:$AB$1,0))&amp;IF($A15="T069",CHAR(10)&amp;"T069正式首仓前存在10笔已确认账户费用，合计-21.43 USDT；该费用已进入开仓前已确认资金事件滚动值，但不属于T069正式周期净结果，也不得计入周期内手续费。","")))</x:f>
        <x:v>已确认资金事件滚动值只累计现有证据能够确认的资金事件，不等于实时账户余额或实时总权益。未分配快照差额保留在账户层，不归因于当前交易。按已确认资金事件计算的滚动结果为负，不能解释为真实账户总资产。</x:v>
      </x:c>
      <x:c r="AM15" s="35" t="str">
        <x:f>IF($A15="T001","阶段A—E行为链证据不可得；当前仅有D2-C正式首仓、平仓、仓位与资金事实。相关行为字段留空，不代表未发生。",IF(COUNTIF(技术_逐笔复盘汇总!$A$2:$A$11,$A15)=0,"","首仓前："&amp;SUBSTITUTE(INDEX(技术_逐笔复盘汇总!$A$2:$ES$11,MATCH($A15,技术_逐笔复盘汇总!$A$2:$A$11,0),MATCH("首仓前中文摘要",技术_逐笔复盘汇总!$A$1:$ES$1,0)),"真实委托"&amp;INDEX(技术_逐笔复盘汇总!$A$2:$ES$11,MATCH($A15,技术_逐笔复盘汇总!$A$2:$A$11,0),MATCH("形成首仓真实委托编号",技术_逐笔复盘汇总!$A$1:$ES$1,0)),"真实委托")&amp;CHAR(10)&amp;"持仓操作："&amp;SUBSTITUTE(INDEX(技术_逐笔复盘汇总!$A$2:$ES$11,MATCH($A15,技术_逐笔复盘汇总!$A$2:$A$11,0),MATCH("持仓操作中文摘要",技术_逐笔复盘汇总!$A$1:$ES$1,0)),"Fill","成交分笔")&amp;CHAR(10)&amp;"条件计划："&amp;SUBSTITUTE(SUBSTITUTE(INDEX(技术_逐笔复盘汇总!$A$2:$ES$11,MATCH($A15,技术_逐笔复盘汇总!$A$2:$A$11,0),MATCH("条件演变中文摘要",技术_逐笔复盘汇总!$A$1:$ES$1,0)),"基础Order和真实Fill","基础委托和实际成交"),"Fill","成交")))</x:f>
        <x:v>首仓前：本周期首仓前开仓意图链共8张不同开仓委托：7张未成交撤销、0张过期未成交、0张其他未成仓尝试、1张最终成功形成正式首仓；首仓前部分成交后撤余0张。真实委托以限价成交10，是本意图链中形成首仓的成功委托。识别出5次高置信度疑似改价或改量重挂。从首次尝试到正式开仓历时4小时35分24秒；次数按委托单统计。
持仓操作：持仓期间记录1张未形成实际加仓的加仓尝试，其中1张未成交撤销；另有1张真实成交委托成功增加仓位。部分成交后撤余0次，实际部分减仓1次，减仓或平仓委托尝试共7次，最终真实归零成交1次。加仓尝试和实际加仓分别统计，均不按成交分笔数量重复计算。
条件计划：持仓相关止损设置9次，其中取消8次、过期1次，识别出6次高置信度疑似调整；止盈设置6次，其中取消5次、过期1次，识别出4次高置信度疑似调整；最终通过普通限价平仓归零；2张过期记录缺少终止时间或完整因果证据，具体原因不可得。</x:v>
      </x:c>
      <x:c r="AN15" s="35" t="str">
        <x:f>IFERROR(IF(INDEX(人工复盘完成清单!$B$6:$B$15,MATCH($A15,人工复盘完成清单!$A$6:$A$15,0))="","待填写",INDEX(人工复盘完成清单!$B$6:$B$15,MATCH($A15,人工复盘完成清单!$A$6:$A$15,0))),"待填写")</x:f>
        <x:v>待填写</x:v>
      </x:c>
      <x:c r="AO15" s="35" t="str">
        <x:f>IFERROR(IF(INDEX(人工复盘完成清单!$H$6:$H$15,MATCH($A15,人工复盘完成清单!$A$6:$A$15,0))="","待填写",INDEX(人工复盘完成清单!$H$6:$H$15,MATCH($A15,人工复盘完成清单!$A$6:$A$15,0))),"待填写")</x:f>
        <x:v>待填写</x:v>
      </x:c>
      <x:c r="AP15" s="35" t="str">
        <x:f>IFERROR(IF(INDEX(人工复盘完成清单!$L$6:$L$15,MATCH($A15,人工复盘完成清单!$A$6:$A$15,0))="","待填写",INDEX(人工复盘完成清单!$L$6:$L$15,MATCH($A15,人工复盘完成清单!$A$6:$A$15,0))),"待填写")</x:f>
        <x:v>待填写</x:v>
      </x:c>
      <x:c r="AQ15" s="35" t="str">
        <x:f>IFERROR(IF(INDEX(人工复盘完成清单!$P$6:$P$15,MATCH($A15,人工复盘完成清单!$A$6:$A$15,0))="","待填写",INDEX(人工复盘完成清单!$P$6:$P$15,MATCH($A15,人工复盘完成清单!$A$6:$A$15,0))),"待填写")</x:f>
        <x:v>待填写</x:v>
      </x:c>
      <x:c r="AR15" s="35" t="str">
        <x:f>IFERROR(IF(INDEX(人工复盘完成清单!$W$6:$W$15,MATCH($A15,人工复盘完成清单!$A$6:$A$15,0))="","",INDEX(人工复盘完成清单!$W$6:$W$15,MATCH($A15,人工复盘完成清单!$A$6:$A$15,0))),"")</x:f>
        <x:v>1.上一单扛单的单子平仓后因为价格最终越过了平仓位而后悔没有拿到最低点。2.在价格上涨再下跌时，因为自己没仓位而感到极度的焦虑极度的难受。3.看了kol直播后因为没能在看到直播前更高的价格做空而敢到难受懊悔。4.看了kol直播后忍不住马上冲进去开单5.想要重仓一次性回本。6.重仓后，价格上涨又想加仓优化成本7.看到强势阳线的反弹信号后不及时止损，还带有侥幸心理。8.不断地修改止损9.在看到延续上涨时不果断止损，导致亏损扩大</x:v>
      </x:c>
    </x:row>
  </x:sheetData>
  <x:mergeCells>
    <x:mergeCell ref="A1:AM1"/>
    <x:mergeCell ref="A1:AR1"/>
    <x:mergeCell ref="A2:F2"/>
    <x:mergeCell ref="G2:L2"/>
    <x:mergeCell ref="M2:R2"/>
    <x:mergeCell ref="S2:X2"/>
    <x:mergeCell ref="Y2:AD2"/>
    <x:mergeCell ref="AE2:AJ2"/>
    <x:mergeCell ref="AK2:AR2"/>
    <x:mergeCell ref="A3:AM3"/>
    <x:mergeCell ref="A3:AR3"/>
  </x:mergeCell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 ref="A6" location="'人工复盘完成清单'!A6"/>
    <x:hyperlink ref="A7" location="'人工复盘完成清单'!A7"/>
    <x:hyperlink ref="A8" location="'人工复盘完成清单'!A8"/>
    <x:hyperlink ref="A9" location="'人工复盘完成清单'!A9"/>
    <x:hyperlink ref="A10" location="'人工复盘完成清单'!A10"/>
    <x:hyperlink ref="A11" location="'人工复盘完成清单'!A11"/>
    <x:hyperlink ref="A12" location="'人工复盘完成清单'!A12"/>
    <x:hyperlink ref="A13" location="'人工复盘完成清单'!A13"/>
    <x:hyperlink ref="A14" location="'人工复盘完成清单'!A14"/>
    <x:hyperlink ref="A15" location="'人工复盘完成清单'!A15"/>
  </x:hyperlink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6.799999237060547"/>
  <x:cols>
    <x:col min="1" max="1" width="16" customWidth="1"/>
    <x:col min="2" max="3" width="14" customWidth="1"/>
    <x:col min="4" max="4" width="16" customWidth="1"/>
    <x:col min="5" max="6" width="14" customWidth="1"/>
    <x:col min="7" max="7" width="16" customWidth="1"/>
    <x:col min="8" max="9" width="14" customWidth="1"/>
    <x:col min="10" max="10" width="17" customWidth="1"/>
    <x:col min="11" max="11" width="16" customWidth="1"/>
    <x:col min="12" max="12" width="24" customWidth="1"/>
    <x:col min="13" max="13" width="15" customWidth="1"/>
  </x:cols>
  <x:sheetData>
    <x:row r="1" ht="28" customHeight="1">
      <x:c r="A1" s="5" t="s">
        <x:v>77</x:v>
      </x:c>
      <x:c r="B1" s="5" t="s">
        <x:v>77</x:v>
      </x:c>
      <x:c r="C1" s="5" t="s">
        <x:v>77</x:v>
      </x:c>
      <x:c r="D1" s="5" t="s">
        <x:v>77</x:v>
      </x:c>
      <x:c r="E1" s="5" t="s">
        <x:v>77</x:v>
      </x:c>
      <x:c r="F1" s="5" t="s">
        <x:v>77</x:v>
      </x:c>
      <x:c r="G1" s="5" t="s">
        <x:v>77</x:v>
      </x:c>
      <x:c r="H1" s="5" t="s">
        <x:v>77</x:v>
      </x:c>
      <x:c r="I1" s="5" t="s">
        <x:v>77</x:v>
      </x:c>
      <x:c r="J1" s="5" t="s">
        <x:v>77</x:v>
      </x:c>
      <x:c r="K1" s="5" t="s">
        <x:v>77</x:v>
      </x:c>
      <x:c r="L1" s="5" t="s">
        <x:v>77</x:v>
      </x:c>
    </x:row>
    <x:row r="2" ht="24" customHeight="1">
      <x:c r="A2" s="6" t="str">
        <x:f>HYPERLINK("#'账户与交易总览'!A1","总览")</x:f>
        <x:v>总览</x:v>
      </x:c>
      <x:c r="B2" s="6"/>
      <x:c r="C2" s="6" t="str">
        <x:f>HYPERLINK("#'逐笔人工复盘总表'!A1","逐笔总表")</x:f>
        <x:v>逐笔总表</x:v>
      </x:c>
      <x:c r="D2" s="6"/>
      <x:c r="E2" s="6" t="str">
        <x:f>HYPERLINK("#'单笔交易复盘卡'!A1","单笔卡")</x:f>
        <x:v>单笔卡</x:v>
      </x:c>
      <x:c r="F2" s="6"/>
      <x:c r="G2" s="6" t="str">
        <x:f>HYPERLINK("#'完整操作过程'!A1","完整过程")</x:f>
        <x:v>完整过程</x:v>
      </x:c>
      <x:c r="H2" s="6"/>
      <x:c r="I2" s="6" t="str">
        <x:f>HYPERLINK("#'账户资金轨迹'!A1","资金轨迹")</x:f>
        <x:v>资金轨迹</x:v>
      </x:c>
      <x:c r="J2" s="6"/>
      <x:c r="K2" s="6" t="str">
        <x:f>HYPERLINK("#'人工复盘完成清单'!A1","人工填写")</x:f>
        <x:v>人工填写</x:v>
      </x:c>
      <x:c r="L2" s="6" t="str">
        <x:f>HYPERLINK("#'字段与口径说明'!A1","字段口径")</x:f>
        <x:v>字段口径</x:v>
      </x:c>
    </x:row>
    <x:row r="3" ht="34" customHeight="1">
      <x:c r="A3" s="7" t="s">
        <x:v>78</x:v>
      </x:c>
      <x:c r="B3" s="7" t="s">
        <x:v>78</x:v>
      </x:c>
      <x:c r="C3" s="7" t="s">
        <x:v>78</x:v>
      </x:c>
      <x:c r="D3" s="7" t="s">
        <x:v>78</x:v>
      </x:c>
      <x:c r="E3" s="7" t="s">
        <x:v>78</x:v>
      </x:c>
      <x:c r="F3" s="7" t="s">
        <x:v>78</x:v>
      </x:c>
      <x:c r="G3" s="7" t="s">
        <x:v>78</x:v>
      </x:c>
      <x:c r="H3" s="7" t="s">
        <x:v>78</x:v>
      </x:c>
      <x:c r="I3" s="7" t="s">
        <x:v>78</x:v>
      </x:c>
      <x:c r="J3" s="7" t="s">
        <x:v>78</x:v>
      </x:c>
      <x:c r="K3" s="7" t="s">
        <x:v>78</x:v>
      </x:c>
      <x:c r="L3" s="7" t="s">
        <x:v>78</x:v>
      </x:c>
    </x:row>
    <x:row r="4" ht="28" customHeight="1">
      <x:c r="A4" s="22" t="s">
        <x:v>79</x:v>
      </x:c>
      <x:c r="B4" s="23" t="s">
        <x:v>71</x:v>
      </x:c>
      <x:c r="C4" s="23" t="s">
        <x:v>71</x:v>
      </x:c>
      <x:c r="D4" s="23" t="s">
        <x:v>71</x:v>
      </x:c>
    </x:row>
    <x:row r="5" ht="28" customHeight="1"/>
    <x:row r="6" ht="28" customHeight="1">
      <x:c r="A6" s="24" t="s">
        <x:v>80</x:v>
      </x:c>
      <x:c r="B6" s="24" t="s">
        <x:v>80</x:v>
      </x:c>
      <x:c r="C6" s="24" t="s">
        <x:v>80</x:v>
      </x:c>
      <x:c r="D6" s="24" t="s">
        <x:v>80</x:v>
      </x:c>
      <x:c r="E6" s="24" t="s">
        <x:v>80</x:v>
      </x:c>
      <x:c r="F6" s="24" t="s">
        <x:v>80</x:v>
      </x:c>
      <x:c r="G6" s="24" t="s">
        <x:v>80</x:v>
      </x:c>
      <x:c r="H6" s="24" t="s">
        <x:v>80</x:v>
      </x:c>
      <x:c r="I6" s="24" t="s">
        <x:v>80</x:v>
      </x:c>
      <x:c r="J6" s="24" t="s">
        <x:v>80</x:v>
      </x:c>
      <x:c r="K6" s="24" t="s">
        <x:v>80</x:v>
      </x:c>
      <x:c r="L6" s="24" t="s">
        <x:v>80</x:v>
      </x:c>
    </x:row>
    <x:row r="7" ht="26" customHeight="1">
      <x:c r="A7" s="22" t="s">
        <x:v>23</x:v>
      </x:c>
      <x:c r="B7" s="25" t="str">
        <x:f>IF(COUNTIF(技术_主动交易用户汇总!$A$2:$A$11,$B$4)=0,"",INDEX(技术_主动交易用户汇总!$A$2:$X$11,MATCH($B$4,技术_主动交易用户汇总!$A$2:$A$11,0),MATCH("T/U编号",技术_主动交易用户汇总!$A$1:$X$1,0)))</x:f>
        <x:v>T049</x:v>
      </x:c>
      <x:c r="C7" s="25"/>
      <x:c r="D7" s="22" t="s">
        <x:v>24</x:v>
      </x:c>
      <x:c r="E7" s="42" t="str">
        <x:f>IF(COUNTIF(技术_主动交易用户汇总!$A$2:$A$11,$B$4)=0,"",INDEX(技术_主动交易用户汇总!$A$2:$X$11,MATCH($B$4,技术_主动交易用户汇总!$A$2:$A$11,0),MATCH("日期",技术_主动交易用户汇总!$A$1:$X$1,0)))</x:f>
        <x:v>2026-06-02</x:v>
      </x:c>
      <x:c r="F7" s="42"/>
      <x:c r="G7" s="22" t="s">
        <x:v>25</x:v>
      </x:c>
      <x:c r="H7" s="25" t="str">
        <x:f>IF(COUNTIF(技术_主动交易用户汇总!$A$2:$A$11,$B$4)=0,"",INDEX(技术_主动交易用户汇总!$A$2:$X$11,MATCH($B$4,技术_主动交易用户汇总!$A$2:$A$11,0),MATCH("合约",技术_主动交易用户汇总!$A$1:$X$1,0)))</x:f>
        <x:v>BTCUSDT</x:v>
      </x:c>
      <x:c r="I7" s="25"/>
      <x:c r="J7" s="22" t="s">
        <x:v>26</x:v>
      </x:c>
      <x:c r="K7" s="25" t="str">
        <x:f>IF(COUNTIF(技术_主动交易用户汇总!$A$2:$A$11,$B$4)=0,"",INDEX(技术_主动交易用户汇总!$A$2:$X$11,MATCH($B$4,技术_主动交易用户汇总!$A$2:$A$11,0),MATCH("多空",技术_主动交易用户汇总!$A$1:$X$1,0)))</x:f>
        <x:v>多头</x:v>
      </x:c>
      <x:c r="L7" s="25"/>
    </x:row>
    <x:row r="8" ht="26" customHeight="1">
      <x:c r="A8" s="22" t="s">
        <x:v>27</x:v>
      </x:c>
      <x:c r="B8" s="26" t="str">
        <x:f>IF(COUNTIF(技术_主动交易用户汇总!$A$2:$A$11,$B$4)=0,"",INDEX(技术_主动交易用户汇总!$A$2:$X$11,MATCH($B$4,技术_主动交易用户汇总!$A$2:$A$11,0),MATCH("完整正式开仓时间",技术_主动交易用户汇总!$A$1:$X$1,0)))</x:f>
        <x:v>2026-06-02 19:07:21</x:v>
      </x:c>
      <x:c r="C8" s="26"/>
      <x:c r="D8" s="22" t="s">
        <x:v>28</x:v>
      </x:c>
      <x:c r="E8" s="26" t="str">
        <x:f>IF(COUNTIF(技术_主动交易用户汇总!$A$2:$A$11,$B$4)=0,"",INDEX(技术_主动交易用户汇总!$A$2:$X$11,MATCH($B$4,技术_主动交易用户汇总!$A$2:$A$11,0),MATCH("完整正式平仓时间",技术_主动交易用户汇总!$A$1:$X$1,0)))</x:f>
        <x:v>2026-06-03 03:33:28</x:v>
      </x:c>
      <x:c r="F8" s="26"/>
      <x:c r="G8" s="22" t="s">
        <x:v>29</x:v>
      </x:c>
      <x:c r="H8" s="25" t="str">
        <x:f>IF(OR(B8="",E8=""),"",IF(INT(((DATE(VALUE(LEFT(E8,4)),VALUE(MID(E8,6,2)),VALUE(MID(E8,9,2)))+TIME(VALUE(MID(E8,12,2)),VALUE(MID(E8,15,2)),VALUE(RIGHT(E8,2))))-(DATE(VALUE(LEFT(B8,4)),VALUE(MID(B8,6,2)),VALUE(MID(B8,9,2)))+TIME(VALUE(MID(B8,12,2)),VALUE(MID(B8,15,2)),VALUE(RIGHT(B8,2))))))&gt;0,INT(((DATE(VALUE(LEFT(E8,4)),VALUE(MID(E8,6,2)),VALUE(MID(E8,9,2)))+TIME(VALUE(MID(E8,12,2)),VALUE(MID(E8,15,2)),VALUE(RIGHT(E8,2))))-(DATE(VALUE(LEFT(B8,4)),VALUE(MID(B8,6,2)),VALUE(MID(B8,9,2)))+TIME(VALUE(MID(B8,12,2)),VALUE(MID(B8,15,2)),VALUE(RIGHT(B8,2))))))&amp;"天","")&amp;IF(HOUR(((DATE(VALUE(LEFT(E8,4)),VALUE(MID(E8,6,2)),VALUE(MID(E8,9,2)))+TIME(VALUE(MID(E8,12,2)),VALUE(MID(E8,15,2)),VALUE(RIGHT(E8,2))))-(DATE(VALUE(LEFT(B8,4)),VALUE(MID(B8,6,2)),VALUE(MID(B8,9,2)))+TIME(VALUE(MID(B8,12,2)),VALUE(MID(B8,15,2)),VALUE(RIGHT(B8,2))))))&gt;0,HOUR(((DATE(VALUE(LEFT(E8,4)),VALUE(MID(E8,6,2)),VALUE(MID(E8,9,2)))+TIME(VALUE(MID(E8,12,2)),VALUE(MID(E8,15,2)),VALUE(RIGHT(E8,2))))-(DATE(VALUE(LEFT(B8,4)),VALUE(MID(B8,6,2)),VALUE(MID(B8,9,2)))+TIME(VALUE(MID(B8,12,2)),VALUE(MID(B8,15,2)),VALUE(RIGHT(B8,2))))))&amp;"小时","")&amp;IF(MINUTE(((DATE(VALUE(LEFT(E8,4)),VALUE(MID(E8,6,2)),VALUE(MID(E8,9,2)))+TIME(VALUE(MID(E8,12,2)),VALUE(MID(E8,15,2)),VALUE(RIGHT(E8,2))))-(DATE(VALUE(LEFT(B8,4)),VALUE(MID(B8,6,2)),VALUE(MID(B8,9,2)))+TIME(VALUE(MID(B8,12,2)),VALUE(MID(B8,15,2)),VALUE(RIGHT(B8,2))))))&gt;0,MINUTE(((DATE(VALUE(LEFT(E8,4)),VALUE(MID(E8,6,2)),VALUE(MID(E8,9,2)))+TIME(VALUE(MID(E8,12,2)),VALUE(MID(E8,15,2)),VALUE(RIGHT(E8,2))))-(DATE(VALUE(LEFT(B8,4)),VALUE(MID(B8,6,2)),VALUE(MID(B8,9,2)))+TIME(VALUE(MID(B8,12,2)),VALUE(MID(B8,15,2)),VALUE(RIGHT(B8,2))))))&amp;"分","")&amp;SECOND(((DATE(VALUE(LEFT(E8,4)),VALUE(MID(E8,6,2)),VALUE(MID(E8,9,2)))+TIME(VALUE(MID(E8,12,2)),VALUE(MID(E8,15,2)),VALUE(RIGHT(E8,2))))-(DATE(VALUE(LEFT(B8,4)),VALUE(MID(B8,6,2)),VALUE(MID(B8,9,2)))+TIME(VALUE(MID(B8,12,2)),VALUE(MID(B8,15,2)),VALUE(RIGHT(B8,2))))))&amp;"秒")</x:f>
        <x:v>8小时26分7秒</x:v>
      </x:c>
      <x:c r="I8" s="25"/>
      <x:c r="J8" s="22" t="s">
        <x:v>30</x:v>
      </x:c>
      <x:c r="K8" s="25" t="str">
        <x:f>IF(COUNTIF(技术_主动交易用户汇总!$A$2:$A$11,$B$4)=0,"",INDEX(技术_主动交易用户汇总!$A$2:$X$11,MATCH($B$4,技术_主动交易用户汇总!$A$2:$A$11,0),MATCH("最终平仓方式",技术_主动交易用户汇总!$A$1:$X$1,0)))</x:f>
        <x:v>条件止损触发平仓</x:v>
      </x:c>
      <x:c r="L8" s="25"/>
    </x:row>
    <x:row r="9" ht="26" customHeight="1">
      <x:c r="A9" s="22" t="s">
        <x:v>41</x:v>
      </x:c>
      <x:c r="B9" s="27" t="str">
        <x:f>IF(COUNTIF(技术_主动交易用户汇总!$A$2:$A$11,$B$4)=0,"",INDEX(技术_主动交易用户汇总!$A$2:$X$11,MATCH($B$4,技术_主动交易用户汇总!$A$2:$A$11,0),MATCH("首仓数量",技术_主动交易用户汇总!$A$1:$X$1,0)))</x:f>
        <x:v>4</x:v>
      </x:c>
      <x:c r="C9" s="27"/>
      <x:c r="D9" s="22" t="s">
        <x:v>42</x:v>
      </x:c>
      <x:c r="E9" s="27" t="str">
        <x:f>IF(COUNTIF(技术_主动交易用户汇总!$A$2:$A$11,$B$4)=0,"",INDEX(技术_主动交易用户汇总!$A$2:$X$11,MATCH($B$4,技术_主动交易用户汇总!$A$2:$A$11,0),MATCH("首仓均价",技术_主动交易用户汇总!$A$1:$X$1,0)))</x:f>
        <x:v>69540</x:v>
      </x:c>
      <x:c r="F9" s="27"/>
      <x:c r="G9" s="22" t="s">
        <x:v>34</x:v>
      </x:c>
      <x:c r="H9" s="27" t="str">
        <x:f>IF(COUNTIF(技术_主动交易用户汇总!$A$2:$A$11,$B$4)=0,"",INDEX(技术_主动交易用户汇总!$A$2:$X$11,MATCH($B$4,技术_主动交易用户汇总!$A$2:$A$11,0),MATCH("最大总持仓",技术_主动交易用户汇总!$A$1:$X$1,0)))</x:f>
        <x:v>27.852</x:v>
      </x:c>
      <x:c r="I9" s="27"/>
      <x:c r="J9" s="22" t="s">
        <x:v>45</x:v>
      </x:c>
      <x:c r="K9" s="27" t="n">
        <x:f>IF(COUNTIF(技术_主动交易用户汇总!$A$2:$A$11,$B$4)=0,"",INDEX(技术_主动交易用户汇总!$A$2:$X$11,MATCH($B$4,技术_主动交易用户汇总!$A$2:$A$11,0),MATCH("F23显示最大持仓均价",技术_主动交易用户汇总!$A$1:$X$1,0)))</x:f>
        <x:v>67631.45</x:v>
      </x:c>
      <x:c r="L9" s="27"/>
    </x:row>
    <x:row r="10" ht="26" customHeight="1">
      <x:c r="A10" s="22" t="s">
        <x:v>81</x:v>
      </x:c>
      <x:c r="B10" s="28" t="str">
        <x:f>IF($B$4="T001","",TEXT(INDEX(技术_逐笔复盘汇总!$A$2:$ES$11,MATCH($B$4,技术_逐笔复盘汇总!$A$2:$A$11,0),MATCH("已实现盈亏技术精确值",技术_逐笔复盘汇总!$A$1:$ES$1,0)),"#,##0.00")&amp;" USDT")</x:f>
        <x:v>-36,690.80 USDT</x:v>
      </x:c>
      <x:c r="C10" s="28"/>
      <x:c r="D10" s="22" t="s">
        <x:v>82</x:v>
      </x:c>
      <x:c r="E10" s="28" t="str">
        <x:f>IF($B$4="T001","",TEXT(IF($B$4="T069",INDEX(技术_主动交易用户汇总!$A$2:$X$11,MATCH($B$4,技术_主动交易用户汇总!$A$2:$A$11,0),MATCH("当前交易净结果",技术_主动交易用户汇总!$A$1:$X$1,0))-INDEX(技术_逐笔复盘汇总!$A$2:$ES$11,MATCH($B$4,技术_逐笔复盘汇总!$A$2:$A$11,0),MATCH("已实现盈亏技术精确值",技术_逐笔复盘汇总!$A$1:$ES$1,0))-INDEX(技术_逐笔复盘汇总!$A$2:$ES$11,MATCH($B$4,技术_逐笔复盘汇总!$A$2:$A$11,0),MATCH("资金费技术精确值",技术_逐笔复盘汇总!$A$1:$ES$1,0)),INDEX(技术_逐笔复盘汇总!$A$2:$ES$11,MATCH($B$4,技术_逐笔复盘汇总!$A$2:$A$11,0),MATCH("手续费技术精确值",技术_逐笔复盘汇总!$A$1:$ES$1,0))),"#,##0.00")&amp;" USDT")</x:f>
        <x:v>-1,411.82 USDT</x:v>
      </x:c>
      <x:c r="F10" s="28"/>
      <x:c r="G10" s="22" t="s">
        <x:v>83</x:v>
      </x:c>
      <x:c r="H10" s="28" t="str">
        <x:f>IF($B$4="T001","",TEXT(INDEX(技术_逐笔复盘汇总!$A$2:$ES$11,MATCH($B$4,技术_逐笔复盘汇总!$A$2:$A$11,0),MATCH("资金费技术精确值",技术_逐笔复盘汇总!$A$1:$ES$1,0)),"#,##0.00")&amp;" USDT")</x:f>
        <x:v>-39.30 USDT</x:v>
      </x:c>
      <x:c r="I10" s="28"/>
      <x:c r="J10" s="22" t="s">
        <x:v>84</x:v>
      </x:c>
      <x:c r="K10" s="28" t="str">
        <x:f>IF($B$4="T001","",IF(COUNTIF(技术_主动交易用户汇总!$A$2:$A$11,$B$4)=0,"",TEXT(INDEX(技术_主动交易用户汇总!$A$2:$X$11,MATCH($B$4,技术_主动交易用户汇总!$A$2:$A$11,0),MATCH("当前交易净结果",技术_主动交易用户汇总!$A$1:$X$1,0)),"#,##0.00")&amp;" USDT"))</x:f>
        <x:v>-38,141.93 USDT</x:v>
      </x:c>
      <x:c r="L10" s="28"/>
    </x:row>
    <x:row r="11" ht="38" customHeight="1">
      <x:c r="A11" s="22" t="s">
        <x:v>85</x:v>
      </x:c>
      <x:c r="B11" s="22" t="s">
        <x:v>85</x:v>
      </x:c>
      <x:c r="C11" s="22" t="s">
        <x:v>85</x:v>
      </x:c>
      <x:c r="D11" s="25" t="str">
        <x:f>IF($B$4="T001","仅D2-C正式事实；阶段A—E行为证据不可得，相关行为字段留空且不代表未发生。","阶段A—E完整行为链＋D2-C正式交易、仓位与资金事实。")</x:f>
        <x:v>阶段A—E完整行为链＋D2-C正式交易、仓位与资金事实。</x:v>
      </x:c>
      <x:c r="E11" s="25"/>
      <x:c r="F11" s="25"/>
      <x:c r="G11" s="25"/>
      <x:c r="H11" s="25"/>
      <x:c r="I11" s="25"/>
      <x:c r="J11" s="25"/>
      <x:c r="K11" s="25"/>
      <x:c r="L11" s="25"/>
    </x:row>
    <x:row r="12" ht="48" customHeight="1"/>
    <x:row r="13" ht="34" customHeight="1">
      <x:c r="A13" s="24" t="s">
        <x:v>86</x:v>
      </x:c>
      <x:c r="B13" s="24" t="s">
        <x:v>86</x:v>
      </x:c>
      <x:c r="C13" s="24" t="s">
        <x:v>86</x:v>
      </x:c>
      <x:c r="D13" s="24" t="s">
        <x:v>86</x:v>
      </x:c>
      <x:c r="E13" s="24" t="s">
        <x:v>86</x:v>
      </x:c>
      <x:c r="F13" s="24" t="s">
        <x:v>86</x:v>
      </x:c>
      <x:c r="G13" s="24" t="s">
        <x:v>86</x:v>
      </x:c>
      <x:c r="H13" s="24" t="s">
        <x:v>86</x:v>
      </x:c>
      <x:c r="I13" s="24" t="s">
        <x:v>86</x:v>
      </x:c>
      <x:c r="J13" s="24" t="s">
        <x:v>86</x:v>
      </x:c>
      <x:c r="K13" s="24" t="s">
        <x:v>86</x:v>
      </x:c>
      <x:c r="L13" s="24" t="s">
        <x:v>86</x:v>
      </x:c>
    </x:row>
    <x:row r="14" ht="26" customHeight="1">
      <x:c r="A14" s="22" t="s">
        <x:v>87</x:v>
      </x:c>
      <x:c r="B14" s="29" t="str">
        <x:f>IF(COUNTIF(技术_逐笔复盘汇总!$A$2:$A$11,$B$4)=0,"",INDEX(技术_逐笔复盘汇总!$A$2:$ES$11,MATCH($B$4,技术_逐笔复盘汇总!$A$2:$A$11,0),MATCH("首仓前开仓尝试次数",技术_逐笔复盘汇总!$A$1:$ES$1,0)))</x:f>
        <x:v>5</x:v>
      </x:c>
      <x:c r="C14" s="29"/>
      <x:c r="D14" s="22" t="s">
        <x:v>88</x:v>
      </x:c>
      <x:c r="E14" s="29" t="str">
        <x:f>IF(COUNTIF(技术_逐笔复盘汇总!$A$2:$A$11,$B$4)=0,"",INDEX(技术_逐笔复盘汇总!$A$2:$ES$11,MATCH($B$4,技术_逐笔复盘汇总!$A$2:$A$11,0),MATCH("首仓前未成交撤销次数",技术_逐笔复盘汇总!$A$1:$ES$1,0)))</x:f>
        <x:v>4</x:v>
      </x:c>
      <x:c r="F14" s="29"/>
      <x:c r="G14" s="22" t="s">
        <x:v>89</x:v>
      </x:c>
      <x:c r="H14" s="29" t="str">
        <x:f>IF(COUNTIF(技术_逐笔复盘汇总!$A$2:$A$11,$B$4)=0,"",INDEX(技术_逐笔复盘汇总!$A$2:$ES$11,MATCH($B$4,技术_逐笔复盘汇总!$A$2:$A$11,0),MATCH("首仓前方向切换次数",技术_逐笔复盘汇总!$A$1:$ES$1,0)))</x:f>
        <x:v>4</x:v>
      </x:c>
      <x:c r="I14" s="29"/>
      <x:c r="J14" s="22" t="s">
        <x:v>90</x:v>
      </x:c>
      <x:c r="K14" s="29" t="str">
        <x:f>IF(COUNTIF(技术_逐笔复盘汇总!$A$2:$A$11,$B$4)=0,"",INDEX(技术_逐笔复盘汇总!$A$2:$ES$11,MATCH($B$4,技术_逐笔复盘汇总!$A$2:$A$11,0),MATCH("首仓前需要人工确认数量",技术_逐笔复盘汇总!$A$1:$ES$1,0)))</x:f>
        <x:v>0</x:v>
      </x:c>
      <x:c r="L14" s="29"/>
    </x:row>
    <x:row r="15" ht="34" customHeight="1">
      <x:c r="A15" s="22" t="s">
        <x:v>91</x:v>
      </x:c>
      <x:c r="B15" s="22" t="s">
        <x:v>91</x:v>
      </x:c>
      <x:c r="C15" s="22" t="s">
        <x:v>91</x:v>
      </x:c>
      <x:c r="D15" s="25" t="str">
        <x:f>IF($B$4="T001","阶段A—E行为链证据不可得；当前仅有D2-C正式首仓、平仓、仓位与资金事实。相关行为字段留空，不代表未发生。",SUBSTITUTE(INDEX(技术_逐笔复盘汇总!$A$2:$ES$11,MATCH($B$4,技术_逐笔复盘汇总!$A$2:$A$11,0),MATCH("首仓前中文摘要",技术_逐笔复盘汇总!$A$1:$ES$1,0)),"真实委托"&amp;INDEX(技术_逐笔复盘汇总!$A$2:$ES$11,MATCH($B$4,技术_逐笔复盘汇总!$A$2:$A$11,0),MATCH("形成首仓真实委托编号",技术_逐笔复盘汇总!$A$1:$ES$1,0)),"真实委托"))</x:f>
        <x:v>本周期首仓前开仓意图链共5张不同开仓委托：4张未成交撤销、0张过期未成交、0张其他未成仓尝试、1张最终成功形成正式首仓；首仓前部分成交后撤余0张。真实委托以限价成交4，是本意图链中形成首仓的成功委托。客观识别方向切换4次；具体主观原因待人工填写。从首次尝试到正式开仓历时43分46秒；次数按委托单统计。</x:v>
      </x:c>
      <x:c r="E15" s="25"/>
      <x:c r="F15" s="25"/>
      <x:c r="G15" s="25"/>
      <x:c r="H15" s="25"/>
      <x:c r="I15" s="25"/>
      <x:c r="J15" s="25"/>
      <x:c r="K15" s="25"/>
      <x:c r="L15" s="25"/>
    </x:row>
    <x:row r="16" ht="34" customHeight="1">
      <x:c r="A16" s="22" t="s">
        <x:v>91</x:v>
      </x:c>
      <x:c r="B16" s="22" t="s">
        <x:v>91</x:v>
      </x:c>
      <x:c r="C16" s="22" t="s">
        <x:v>91</x:v>
      </x:c>
      <x:c r="D16" s="25"/>
      <x:c r="E16" s="25"/>
      <x:c r="F16" s="25"/>
      <x:c r="G16" s="25"/>
      <x:c r="H16" s="25"/>
      <x:c r="I16" s="25"/>
      <x:c r="J16" s="25"/>
      <x:c r="K16" s="25"/>
      <x:c r="L16" s="25"/>
    </x:row>
    <x:row r="17" ht="34" customHeight="1">
      <x:c r="A17" s="22" t="s">
        <x:v>91</x:v>
      </x:c>
      <x:c r="B17" s="22" t="s">
        <x:v>91</x:v>
      </x:c>
      <x:c r="C17" s="22" t="s">
        <x:v>91</x:v>
      </x:c>
      <x:c r="D17" s="25"/>
      <x:c r="E17" s="25"/>
      <x:c r="F17" s="25"/>
      <x:c r="G17" s="25"/>
      <x:c r="H17" s="25"/>
      <x:c r="I17" s="25"/>
      <x:c r="J17" s="25"/>
      <x:c r="K17" s="25"/>
      <x:c r="L17" s="25"/>
    </x:row>
    <x:row r="18" ht="34" customHeight="1"/>
    <x:row r="19" ht="34" customHeight="1">
      <x:c r="A19" s="24" t="s">
        <x:v>3891</x:v>
      </x:c>
      <x:c r="B19" s="24" t="s">
        <x:v>92</x:v>
      </x:c>
      <x:c r="C19" s="24" t="s">
        <x:v>92</x:v>
      </x:c>
      <x:c r="D19" s="24" t="s">
        <x:v>92</x:v>
      </x:c>
      <x:c r="E19" s="24" t="s">
        <x:v>92</x:v>
      </x:c>
      <x:c r="F19" s="24" t="s">
        <x:v>92</x:v>
      </x:c>
      <x:c r="G19" s="24" t="s">
        <x:v>92</x:v>
      </x:c>
      <x:c r="H19" s="24" t="s">
        <x:v>92</x:v>
      </x:c>
      <x:c r="I19" s="24" t="s">
        <x:v>92</x:v>
      </x:c>
      <x:c r="J19" s="24" t="s">
        <x:v>92</x:v>
      </x:c>
      <x:c r="K19" s="24" t="s">
        <x:v>92</x:v>
      </x:c>
      <x:c r="L19" s="24" t="s">
        <x:v>92</x:v>
      </x:c>
    </x:row>
    <x:row r="20" ht="34" customHeight="1">
      <x:c r="A20" s="8" t="s">
        <x:v>93</x:v>
      </x:c>
      <x:c r="B20" s="8" t="s">
        <x:v>94</x:v>
      </x:c>
      <x:c r="C20" s="8" t="s">
        <x:v>95</x:v>
      </x:c>
      <x:c r="D20" s="8" t="s">
        <x:v>96</x:v>
      </x:c>
      <x:c r="E20" s="8" t="s">
        <x:v>97</x:v>
      </x:c>
      <x:c r="F20" s="8" t="s">
        <x:v>98</x:v>
      </x:c>
      <x:c r="G20" s="8" t="s">
        <x:v>99</x:v>
      </x:c>
      <x:c r="H20" s="8" t="s">
        <x:v>100</x:v>
      </x:c>
      <x:c r="I20" s="8" t="s">
        <x:v>101</x:v>
      </x:c>
      <x:c r="J20" s="8" t="s">
        <x:v>102</x:v>
      </x:c>
      <x:c r="K20" s="8" t="s">
        <x:v>103</x:v>
      </x:c>
      <x:c r="L20" s="8" t="s">
        <x:v>104</x:v>
      </x:c>
    </x:row>
    <x:row r="21" ht="32" customHeight="1">
      <x:c r="A21" s="30">
        <x:f>IFERROR(IF(INDEX(技术_首仓加仓阶梯!$A$2:$EM$25,MATCH($B$4,技术_首仓加仓阶梯!$W$2:$W$25,0),MATCH("1|动作序号",技术_首仓加仓阶梯!$A$1:$EM$1,0))="§无记录§","",INDEX(技术_首仓加仓阶梯!$A$2:$EM$25,MATCH($B$4,技术_首仓加仓阶梯!$W$2:$W$25,0),MATCH("1|动作序号",技术_首仓加仓阶梯!$A$1:$EM$1,0))),"")</x:f>
        <x:v>1</x:v>
      </x:c>
      <x:c r="B21" s="31" t="str">
        <x:f>IFERROR(IF(INDEX(技术_首仓加仓阶梯!$A$2:$EM$25,MATCH($B$4,技术_首仓加仓阶梯!$W$2:$W$25,0),MATCH("1|动作类型",技术_首仓加仓阶梯!$A$1:$EM$1,0))="§无记录§","",INDEX(技术_首仓加仓阶梯!$A$2:$EM$25,MATCH($B$4,技术_首仓加仓阶梯!$W$2:$W$25,0),MATCH("1|动作类型",技术_首仓加仓阶梯!$A$1:$EM$1,0))),"")</x:f>
        <x:v>正式首仓</x:v>
      </x:c>
      <x:c r="C21" s="32" t="str">
        <x:f>IFERROR(IF(INDEX(技术_首仓加仓阶梯!$A$2:$EM$25,MATCH($B$4,技术_首仓加仓阶梯!$W$2:$W$25,0),MATCH("1|完整北京时间",技术_首仓加仓阶梯!$A$1:$EM$1,0))="§无记录§","",INDEX(技术_首仓加仓阶梯!$A$2:$EM$25,MATCH($B$4,技术_首仓加仓阶梯!$W$2:$W$25,0),MATCH("1|完整北京时间",技术_首仓加仓阶梯!$A$1:$EM$1,0))),"")</x:f>
        <x:v>2026-06-02 19:07:21</x:v>
      </x:c>
      <x:c r="D21" s="33">
        <x:f>IFERROR(IF(INDEX(技术_首仓加仓阶梯!$A$2:$EM$25,MATCH($B$4,技术_首仓加仓阶梯!$W$2:$W$25,0),MATCH("1|成交数量",技术_首仓加仓阶梯!$A$1:$EM$1,0))="§无记录§","",ROUND(INDEX(技术_首仓加仓阶梯!$A$2:$EM$25,MATCH($B$4,技术_首仓加仓阶梯!$W$2:$W$25,0),MATCH("1|成交数量",技术_首仓加仓阶梯!$A$1:$EM$1,0)),8)),"")</x:f>
        <x:v>4</x:v>
      </x:c>
      <x:c r="E21" s="33">
        <x:f>IFERROR(IF(INDEX(技术_首仓加仓阶梯!$A$2:$EM$25,MATCH($B$4,技术_首仓加仓阶梯!$W$2:$W$25,0),MATCH("1|成交加权均价",技术_首仓加仓阶梯!$A$1:$EM$1,0))="§无记录§","",ROUND(INDEX(技术_首仓加仓阶梯!$A$2:$EM$25,MATCH($B$4,技术_首仓加仓阶梯!$W$2:$W$25,0),MATCH("1|成交加权均价",技术_首仓加仓阶梯!$A$1:$EM$1,0)),IF($B$4="T123",6,2))),"")</x:f>
        <x:v>69540</x:v>
      </x:c>
      <x:c r="F21" s="33">
        <x:f>IFERROR(IF(INDEX(技术_首仓加仓阶梯!$A$2:$EM$25,MATCH($B$4,技术_首仓加仓阶梯!$W$2:$W$25,0),MATCH("1|动作前总持仓",技术_首仓加仓阶梯!$A$1:$EM$1,0))="§无记录§","",ROUND(INDEX(技术_首仓加仓阶梯!$A$2:$EM$25,MATCH($B$4,技术_首仓加仓阶梯!$W$2:$W$25,0),MATCH("1|动作前总持仓",技术_首仓加仓阶梯!$A$1:$EM$1,0)),8)),"")</x:f>
        <x:v>0</x:v>
      </x:c>
      <x:c r="G21" s="33">
        <x:f>IFERROR(IF(INDEX(技术_首仓加仓阶梯!$A$2:$EM$25,MATCH($B$4,技术_首仓加仓阶梯!$W$2:$W$25,0),MATCH("1|动作后总持仓",技术_首仓加仓阶梯!$A$1:$EM$1,0))="§无记录§","",ROUND(INDEX(技术_首仓加仓阶梯!$A$2:$EM$25,MATCH($B$4,技术_首仓加仓阶梯!$W$2:$W$25,0),MATCH("1|动作后总持仓",技术_首仓加仓阶梯!$A$1:$EM$1,0)),8)),"")</x:f>
        <x:v>4</x:v>
      </x:c>
      <x:c r="H21" s="33">
        <x:f>IFERROR(IF(INDEX(技术_首仓加仓阶梯!$A$2:$EM$25,MATCH($B$4,技术_首仓加仓阶梯!$W$2:$W$25,0),MATCH("1|动作后正式持仓均价",技术_首仓加仓阶梯!$A$1:$EM$1,0))="§无记录§","",ROUND(INDEX(技术_首仓加仓阶梯!$A$2:$EM$25,MATCH($B$4,技术_首仓加仓阶梯!$W$2:$W$25,0),MATCH("1|动作后正式持仓均价",技术_首仓加仓阶梯!$A$1:$EM$1,0)),IF($B$4="T123",6,2))),"")</x:f>
        <x:v>69540</x:v>
      </x:c>
      <x:c r="I21" s="43">
        <x:f>IFERROR(IF(INDEX(技术_首仓加仓阶梯!$A$2:$EM$25,MATCH($B$4,技术_首仓加仓阶梯!$W$2:$W$25,0),MATCH("1|动作前已确认事件滚动值",技术_首仓加仓阶梯!$A$1:$EM$1,0))="§无记录§","",ROUND(INDEX(技术_首仓加仓阶梯!$A$2:$EM$25,MATCH($B$4,技术_首仓加仓阶梯!$W$2:$W$25,0),MATCH("1|动作前已确认事件滚动值",技术_首仓加仓阶梯!$A$1:$EM$1,0)),2)),"")</x:f>
        <x:v>3315.43985308</x:v>
      </x:c>
      <x:c r="J21" s="43">
        <x:f>IFERROR(IF(INDEX(技术_首仓加仓阶梯!$A$2:$EM$25,MATCH($B$4,技术_首仓加仓阶梯!$W$2:$W$25,0),MATCH("1|动作后已确认事件滚动值",技术_首仓加仓阶梯!$A$1:$EM$1,0))="§无记录§","",ROUND(INDEX(技术_首仓加仓阶梯!$A$2:$EM$25,MATCH($B$4,技术_首仓加仓阶梯!$W$2:$W$25,0),MATCH("1|动作后已确认事件滚动值",技术_首仓加仓阶梯!$A$1:$EM$1,0)),2)),"")</x:f>
        <x:v>3259.80785308</x:v>
      </x:c>
      <x:c r="K21" s="43">
        <x:f>IFERROR(IF(INDEX(技术_首仓加仓阶梯!$A$2:$EM$25,MATCH($B$4,技术_首仓加仓阶梯!$W$2:$W$25,0),MATCH("1|自上一节点以来外部净入金",技术_首仓加仓阶梯!$A$1:$EM$1,0))="§无记录§","",ROUND(INDEX(技术_首仓加仓阶梯!$A$2:$EM$25,MATCH($B$4,技术_首仓加仓阶梯!$W$2:$W$25,0),MATCH("1|自上一节点以来外部净入金",技术_首仓加仓阶梯!$A$1:$EM$1,0)),2)),"")</x:f>
        <x:v>0</x:v>
      </x:c>
      <x:c r="L21" s="31" t="str">
        <x:f>IFERROR(IF(INDEX(技术_首仓加仓阶梯!$A$2:$EM$25,MATCH($B$4,技术_首仓加仓阶梯!$W$2:$W$25,0),MATCH("1|是否部分成交后撤余",技术_首仓加仓阶梯!$A$1:$EM$1,0))="§无记录§","",INDEX(技术_首仓加仓阶梯!$A$2:$EM$25,MATCH($B$4,技术_首仓加仓阶梯!$W$2:$W$25,0),MATCH("1|是否部分成交后撤余",技术_首仓加仓阶梯!$A$1:$EM$1,0))),"")</x:f>
        <x:v>否</x:v>
      </x:c>
    </x:row>
    <x:row r="22" ht="32" customHeight="1">
      <x:c r="A22" s="34">
        <x:f>IFERROR(IF(INDEX(技术_首仓加仓阶梯!$A$2:$EM$25,MATCH($B$4,技术_首仓加仓阶梯!$W$2:$W$25,0),MATCH("2|动作序号",技术_首仓加仓阶梯!$A$1:$EM$1,0))="§无记录§","",INDEX(技术_首仓加仓阶梯!$A$2:$EM$25,MATCH($B$4,技术_首仓加仓阶梯!$W$2:$W$25,0),MATCH("2|动作序号",技术_首仓加仓阶梯!$A$1:$EM$1,0))),"")</x:f>
        <x:v>2</x:v>
      </x:c>
      <x:c r="B22" s="35" t="str">
        <x:f>IFERROR(IF(INDEX(技术_首仓加仓阶梯!$A$2:$EM$25,MATCH($B$4,技术_首仓加仓阶梯!$W$2:$W$25,0),MATCH("2|动作类型",技术_首仓加仓阶梯!$A$1:$EM$1,0))="§无记录§","",INDEX(技术_首仓加仓阶梯!$A$2:$EM$25,MATCH($B$4,技术_首仓加仓阶梯!$W$2:$W$25,0),MATCH("2|动作类型",技术_首仓加仓阶梯!$A$1:$EM$1,0))),"")</x:f>
        <x:v>第1次成功加仓</x:v>
      </x:c>
      <x:c r="C22" s="36" t="str">
        <x:f>IFERROR(IF(INDEX(技术_首仓加仓阶梯!$A$2:$EM$25,MATCH($B$4,技术_首仓加仓阶梯!$W$2:$W$25,0),MATCH("2|完整北京时间",技术_首仓加仓阶梯!$A$1:$EM$1,0))="§无记录§","",INDEX(技术_首仓加仓阶梯!$A$2:$EM$25,MATCH($B$4,技术_首仓加仓阶梯!$W$2:$W$25,0),MATCH("2|完整北京时间",技术_首仓加仓阶梯!$A$1:$EM$1,0))),"")</x:f>
        <x:v>2026-06-02 22:08:05</x:v>
      </x:c>
      <x:c r="D22" s="37">
        <x:f>IFERROR(IF(INDEX(技术_首仓加仓阶梯!$A$2:$EM$25,MATCH($B$4,技术_首仓加仓阶梯!$W$2:$W$25,0),MATCH("2|成交数量",技术_首仓加仓阶梯!$A$1:$EM$1,0))="§无记录§","",ROUND(INDEX(技术_首仓加仓阶梯!$A$2:$EM$25,MATCH($B$4,技术_首仓加仓阶梯!$W$2:$W$25,0),MATCH("2|成交数量",技术_首仓加仓阶梯!$A$1:$EM$1,0)),8)),"")</x:f>
        <x:v>5</x:v>
      </x:c>
      <x:c r="E22" s="37">
        <x:f>IFERROR(IF(INDEX(技术_首仓加仓阶梯!$A$2:$EM$25,MATCH($B$4,技术_首仓加仓阶梯!$W$2:$W$25,0),MATCH("2|成交加权均价",技术_首仓加仓阶梯!$A$1:$EM$1,0))="§无记录§","",ROUND(INDEX(技术_首仓加仓阶梯!$A$2:$EM$25,MATCH($B$4,技术_首仓加仓阶梯!$W$2:$W$25,0),MATCH("2|成交加权均价",技术_首仓加仓阶梯!$A$1:$EM$1,0)),IF($B$4="T123",6,2))),"")</x:f>
        <x:v>68568</x:v>
      </x:c>
      <x:c r="F22" s="37">
        <x:f>IFERROR(IF(INDEX(技术_首仓加仓阶梯!$A$2:$EM$25,MATCH($B$4,技术_首仓加仓阶梯!$W$2:$W$25,0),MATCH("2|动作前总持仓",技术_首仓加仓阶梯!$A$1:$EM$1,0))="§无记录§","",ROUND(INDEX(技术_首仓加仓阶梯!$A$2:$EM$25,MATCH($B$4,技术_首仓加仓阶梯!$W$2:$W$25,0),MATCH("2|动作前总持仓",技术_首仓加仓阶梯!$A$1:$EM$1,0)),8)),"")</x:f>
        <x:v>4</x:v>
      </x:c>
      <x:c r="G22" s="37">
        <x:f>IFERROR(IF(INDEX(技术_首仓加仓阶梯!$A$2:$EM$25,MATCH($B$4,技术_首仓加仓阶梯!$W$2:$W$25,0),MATCH("2|动作后总持仓",技术_首仓加仓阶梯!$A$1:$EM$1,0))="§无记录§","",ROUND(INDEX(技术_首仓加仓阶梯!$A$2:$EM$25,MATCH($B$4,技术_首仓加仓阶梯!$W$2:$W$25,0),MATCH("2|动作后总持仓",技术_首仓加仓阶梯!$A$1:$EM$1,0)),8)),"")</x:f>
        <x:v>9</x:v>
      </x:c>
      <x:c r="H22" s="37">
        <x:f>IFERROR(IF(INDEX(技术_首仓加仓阶梯!$A$2:$EM$25,MATCH($B$4,技术_首仓加仓阶梯!$W$2:$W$25,0),MATCH("2|动作后正式持仓均价",技术_首仓加仓阶梯!$A$1:$EM$1,0))="§无记录§","",ROUND(INDEX(技术_首仓加仓阶梯!$A$2:$EM$25,MATCH($B$4,技术_首仓加仓阶梯!$W$2:$W$25,0),MATCH("2|动作后正式持仓均价",技术_首仓加仓阶梯!$A$1:$EM$1,0)),IF($B$4="T123",6,2))),"")</x:f>
        <x:v>69000</x:v>
      </x:c>
      <x:c r="I22" s="44">
        <x:f>IFERROR(IF(INDEX(技术_首仓加仓阶梯!$A$2:$EM$25,MATCH($B$4,技术_首仓加仓阶梯!$W$2:$W$25,0),MATCH("2|动作前已确认事件滚动值",技术_首仓加仓阶梯!$A$1:$EM$1,0))="§无记录§","",ROUND(INDEX(技术_首仓加仓阶梯!$A$2:$EM$25,MATCH($B$4,技术_首仓加仓阶梯!$W$2:$W$25,0),MATCH("2|动作前已确认事件滚动值",技术_首仓加仓阶梯!$A$1:$EM$1,0)),2)),"")</x:f>
        <x:v>3270.93425308</x:v>
      </x:c>
      <x:c r="J22" s="44">
        <x:f>IFERROR(IF(INDEX(技术_首仓加仓阶梯!$A$2:$EM$25,MATCH($B$4,技术_首仓加仓阶梯!$W$2:$W$25,0),MATCH("2|动作后已确认事件滚动值",技术_首仓加仓阶梯!$A$1:$EM$1,0))="§无记录§","",ROUND(INDEX(技术_首仓加仓阶梯!$A$2:$EM$25,MATCH($B$4,技术_首仓加仓阶梯!$W$2:$W$25,0),MATCH("2|动作后已确认事件滚动值",技术_首仓加仓阶梯!$A$1:$EM$1,0)),2)),"")</x:f>
        <x:v>3202.36625308</x:v>
      </x:c>
      <x:c r="K22" s="44">
        <x:f>IFERROR(IF(INDEX(技术_首仓加仓阶梯!$A$2:$EM$25,MATCH($B$4,技术_首仓加仓阶梯!$W$2:$W$25,0),MATCH("2|自上一节点以来外部净入金",技术_首仓加仓阶梯!$A$1:$EM$1,0))="§无记录§","",ROUND(INDEX(技术_首仓加仓阶梯!$A$2:$EM$25,MATCH($B$4,技术_首仓加仓阶梯!$W$2:$W$25,0),MATCH("2|自上一节点以来外部净入金",技术_首仓加仓阶梯!$A$1:$EM$1,0)),2)),"")</x:f>
        <x:v>0</x:v>
      </x:c>
      <x:c r="L22" s="35" t="str">
        <x:f>IFERROR(IF(INDEX(技术_首仓加仓阶梯!$A$2:$EM$25,MATCH($B$4,技术_首仓加仓阶梯!$W$2:$W$25,0),MATCH("2|是否部分成交后撤余",技术_首仓加仓阶梯!$A$1:$EM$1,0))="§无记录§","",INDEX(技术_首仓加仓阶梯!$A$2:$EM$25,MATCH($B$4,技术_首仓加仓阶梯!$W$2:$W$25,0),MATCH("2|是否部分成交后撤余",技术_首仓加仓阶梯!$A$1:$EM$1,0))),"")</x:f>
        <x:v>否</x:v>
      </x:c>
    </x:row>
    <x:row r="23" ht="32" customHeight="1">
      <x:c r="A23" s="30">
        <x:f>IFERROR(IF(INDEX(技术_首仓加仓阶梯!$A$2:$EM$25,MATCH($B$4,技术_首仓加仓阶梯!$W$2:$W$25,0),MATCH("3|动作序号",技术_首仓加仓阶梯!$A$1:$EM$1,0))="§无记录§","",INDEX(技术_首仓加仓阶梯!$A$2:$EM$25,MATCH($B$4,技术_首仓加仓阶梯!$W$2:$W$25,0),MATCH("3|动作序号",技术_首仓加仓阶梯!$A$1:$EM$1,0))),"")</x:f>
        <x:v>3</x:v>
      </x:c>
      <x:c r="B23" s="31" t="str">
        <x:f>IFERROR(IF(INDEX(技术_首仓加仓阶梯!$A$2:$EM$25,MATCH($B$4,技术_首仓加仓阶梯!$W$2:$W$25,0),MATCH("3|动作类型",技术_首仓加仓阶梯!$A$1:$EM$1,0))="§无记录§","",INDEX(技术_首仓加仓阶梯!$A$2:$EM$25,MATCH($B$4,技术_首仓加仓阶梯!$W$2:$W$25,0),MATCH("3|动作类型",技术_首仓加仓阶梯!$A$1:$EM$1,0))),"")</x:f>
        <x:v>第1次实际减仓</x:v>
      </x:c>
      <x:c r="C23" s="32" t="str">
        <x:f>IFERROR(IF(INDEX(技术_首仓加仓阶梯!$A$2:$EM$25,MATCH($B$4,技术_首仓加仓阶梯!$W$2:$W$25,0),MATCH("3|完整北京时间",技术_首仓加仓阶梯!$A$1:$EM$1,0))="§无记录§","",INDEX(技术_首仓加仓阶梯!$A$2:$EM$25,MATCH($B$4,技术_首仓加仓阶梯!$W$2:$W$25,0),MATCH("3|完整北京时间",技术_首仓加仓阶梯!$A$1:$EM$1,0))),"")</x:f>
        <x:v>2026-06-02 22:30:37</x:v>
      </x:c>
      <x:c r="D23" s="33">
        <x:f>IFERROR(IF(INDEX(技术_首仓加仓阶梯!$A$2:$EM$25,MATCH($B$4,技术_首仓加仓阶梯!$W$2:$W$25,0),MATCH("3|成交数量",技术_首仓加仓阶梯!$A$1:$EM$1,0))="§无记录§","",ROUND(INDEX(技术_首仓加仓阶梯!$A$2:$EM$25,MATCH($B$4,技术_首仓加仓阶梯!$W$2:$W$25,0),MATCH("3|成交数量",技术_首仓加仓阶梯!$A$1:$EM$1,0)),8)),"")</x:f>
        <x:v>4</x:v>
      </x:c>
      <x:c r="E23" s="33">
        <x:f>IFERROR(IF(INDEX(技术_首仓加仓阶梯!$A$2:$EM$25,MATCH($B$4,技术_首仓加仓阶梯!$W$2:$W$25,0),MATCH("3|成交加权均价",技术_首仓加仓阶梯!$A$1:$EM$1,0))="§无记录§","",ROUND(INDEX(技术_首仓加仓阶梯!$A$2:$EM$25,MATCH($B$4,技术_首仓加仓阶梯!$W$2:$W$25,0),MATCH("3|成交加权均价",技术_首仓加仓阶梯!$A$1:$EM$1,0)),IF($B$4="T123",6,2))),"")</x:f>
        <x:v>68000</x:v>
      </x:c>
      <x:c r="F23" s="33">
        <x:f>IFERROR(IF(INDEX(技术_首仓加仓阶梯!$A$2:$EM$25,MATCH($B$4,技术_首仓加仓阶梯!$W$2:$W$25,0),MATCH("3|动作前总持仓",技术_首仓加仓阶梯!$A$1:$EM$1,0))="§无记录§","",ROUND(INDEX(技术_首仓加仓阶梯!$A$2:$EM$25,MATCH($B$4,技术_首仓加仓阶梯!$W$2:$W$25,0),MATCH("3|动作前总持仓",技术_首仓加仓阶梯!$A$1:$EM$1,0)),8)),"")</x:f>
        <x:v>9</x:v>
      </x:c>
      <x:c r="G23" s="33">
        <x:f>IFERROR(IF(INDEX(技术_首仓加仓阶梯!$A$2:$EM$25,MATCH($B$4,技术_首仓加仓阶梯!$W$2:$W$25,0),MATCH("3|动作后总持仓",技术_首仓加仓阶梯!$A$1:$EM$1,0))="§无记录§","",ROUND(INDEX(技术_首仓加仓阶梯!$A$2:$EM$25,MATCH($B$4,技术_首仓加仓阶梯!$W$2:$W$25,0),MATCH("3|动作后总持仓",技术_首仓加仓阶梯!$A$1:$EM$1,0)),8)),"")</x:f>
        <x:v>5</x:v>
      </x:c>
      <x:c r="H23" s="33">
        <x:f>IFERROR(IF(INDEX(技术_首仓加仓阶梯!$A$2:$EM$25,MATCH($B$4,技术_首仓加仓阶梯!$W$2:$W$25,0),MATCH("3|动作后正式持仓均价",技术_首仓加仓阶梯!$A$1:$EM$1,0))="§无记录§","",ROUND(INDEX(技术_首仓加仓阶梯!$A$2:$EM$25,MATCH($B$4,技术_首仓加仓阶梯!$W$2:$W$25,0),MATCH("3|动作后正式持仓均价",技术_首仓加仓阶梯!$A$1:$EM$1,0)),IF($B$4="T123",6,2))),"")</x:f>
        <x:v>69000</x:v>
      </x:c>
      <x:c r="I23" s="43">
        <x:f>IFERROR(IF(INDEX(技术_首仓加仓阶梯!$A$2:$EM$25,MATCH($B$4,技术_首仓加仓阶梯!$W$2:$W$25,0),MATCH("3|动作前已确认事件滚动值",技术_首仓加仓阶梯!$A$1:$EM$1,0))="§无记录§","",ROUND(INDEX(技术_首仓加仓阶梯!$A$2:$EM$25,MATCH($B$4,技术_首仓加仓阶梯!$W$2:$W$25,0),MATCH("3|动作前已确认事件滚动值",技术_首仓加仓阶梯!$A$1:$EM$1,0)),2)),"")</x:f>
        <x:v>3216.07985308</x:v>
      </x:c>
      <x:c r="J23" s="43">
        <x:f>IFERROR(IF(INDEX(技术_首仓加仓阶梯!$A$2:$EM$25,MATCH($B$4,技术_首仓加仓阶梯!$W$2:$W$25,0),MATCH("3|动作后已确认事件滚动值",技术_首仓加仓阶梯!$A$1:$EM$1,0))="§无记录§","",ROUND(INDEX(技术_首仓加仓阶梯!$A$2:$EM$25,MATCH($B$4,技术_首仓加仓阶梯!$W$2:$W$25,0),MATCH("3|动作后已确认事件滚动值",技术_首仓加仓阶梯!$A$1:$EM$1,0)),2)),"")</x:f>
        <x:v>-838.32014692</x:v>
      </x:c>
      <x:c r="K23" s="43">
        <x:f>IFERROR(IF(INDEX(技术_首仓加仓阶梯!$A$2:$EM$25,MATCH($B$4,技术_首仓加仓阶梯!$W$2:$W$25,0),MATCH("3|自上一节点以来外部净入金",技术_首仓加仓阶梯!$A$1:$EM$1,0))="§无记录§","",ROUND(INDEX(技术_首仓加仓阶梯!$A$2:$EM$25,MATCH($B$4,技术_首仓加仓阶梯!$W$2:$W$25,0),MATCH("3|自上一节点以来外部净入金",技术_首仓加仓阶梯!$A$1:$EM$1,0)),2)),"")</x:f>
        <x:v>0</x:v>
      </x:c>
      <x:c r="L23" s="31" t="str">
        <x:f>IFERROR(IF(INDEX(技术_首仓加仓阶梯!$A$2:$EM$25,MATCH($B$4,技术_首仓加仓阶梯!$W$2:$W$25,0),MATCH("3|是否部分成交后撤余",技术_首仓加仓阶梯!$A$1:$EM$1,0))="§无记录§","",INDEX(技术_首仓加仓阶梯!$A$2:$EM$25,MATCH($B$4,技术_首仓加仓阶梯!$W$2:$W$25,0),MATCH("3|是否部分成交后撤余",技术_首仓加仓阶梯!$A$1:$EM$1,0))),"")</x:f>
        <x:v>否</x:v>
      </x:c>
    </x:row>
    <x:row r="24" ht="32" customHeight="1">
      <x:c r="A24" s="34">
        <x:f>IFERROR(IF(INDEX(技术_首仓加仓阶梯!$A$2:$EM$25,MATCH($B$4,技术_首仓加仓阶梯!$W$2:$W$25,0),MATCH("4|动作序号",技术_首仓加仓阶梯!$A$1:$EM$1,0))="§无记录§","",INDEX(技术_首仓加仓阶梯!$A$2:$EM$25,MATCH($B$4,技术_首仓加仓阶梯!$W$2:$W$25,0),MATCH("4|动作序号",技术_首仓加仓阶梯!$A$1:$EM$1,0))),"")</x:f>
        <x:v>4</x:v>
      </x:c>
      <x:c r="B24" s="35" t="str">
        <x:f>IFERROR(IF(INDEX(技术_首仓加仓阶梯!$A$2:$EM$25,MATCH($B$4,技术_首仓加仓阶梯!$W$2:$W$25,0),MATCH("4|动作类型",技术_首仓加仓阶梯!$A$1:$EM$1,0))="§无记录§","",INDEX(技术_首仓加仓阶梯!$A$2:$EM$25,MATCH($B$4,技术_首仓加仓阶梯!$W$2:$W$25,0),MATCH("4|动作类型",技术_首仓加仓阶梯!$A$1:$EM$1,0))),"")</x:f>
        <x:v>第2次成功加仓</x:v>
      </x:c>
      <x:c r="C24" s="36" t="str">
        <x:f>IFERROR(IF(INDEX(技术_首仓加仓阶梯!$A$2:$EM$25,MATCH($B$4,技术_首仓加仓阶梯!$W$2:$W$25,0),MATCH("4|完整北京时间",技术_首仓加仓阶梯!$A$1:$EM$1,0))="§无记录§","",INDEX(技术_首仓加仓阶梯!$A$2:$EM$25,MATCH($B$4,技术_首仓加仓阶梯!$W$2:$W$25,0),MATCH("4|完整北京时间",技术_首仓加仓阶梯!$A$1:$EM$1,0))),"")</x:f>
        <x:v>2026-06-02 23:26:42</x:v>
      </x:c>
      <x:c r="D24" s="37">
        <x:f>IFERROR(IF(INDEX(技术_首仓加仓阶梯!$A$2:$EM$25,MATCH($B$4,技术_首仓加仓阶梯!$W$2:$W$25,0),MATCH("4|成交数量",技术_首仓加仓阶梯!$A$1:$EM$1,0))="§无记录§","",ROUND(INDEX(技术_首仓加仓阶梯!$A$2:$EM$25,MATCH($B$4,技术_首仓加仓阶梯!$W$2:$W$25,0),MATCH("4|成交数量",技术_首仓加仓阶梯!$A$1:$EM$1,0)),8)),"")</x:f>
        <x:v>2</x:v>
      </x:c>
      <x:c r="E24" s="37">
        <x:f>IFERROR(IF(INDEX(技术_首仓加仓阶梯!$A$2:$EM$25,MATCH($B$4,技术_首仓加仓阶梯!$W$2:$W$25,0),MATCH("4|成交加权均价",技术_首仓加仓阶梯!$A$1:$EM$1,0))="§无记录§","",ROUND(INDEX(技术_首仓加仓阶梯!$A$2:$EM$25,MATCH($B$4,技术_首仓加仓阶梯!$W$2:$W$25,0),MATCH("4|成交加权均价",技术_首仓加仓阶梯!$A$1:$EM$1,0)),IF($B$4="T123",6,2))),"")</x:f>
        <x:v>67333</x:v>
      </x:c>
      <x:c r="F24" s="37">
        <x:f>IFERROR(IF(INDEX(技术_首仓加仓阶梯!$A$2:$EM$25,MATCH($B$4,技术_首仓加仓阶梯!$W$2:$W$25,0),MATCH("4|动作前总持仓",技术_首仓加仓阶梯!$A$1:$EM$1,0))="§无记录§","",ROUND(INDEX(技术_首仓加仓阶梯!$A$2:$EM$25,MATCH($B$4,技术_首仓加仓阶梯!$W$2:$W$25,0),MATCH("4|动作前总持仓",技术_首仓加仓阶梯!$A$1:$EM$1,0)),8)),"")</x:f>
        <x:v>5</x:v>
      </x:c>
      <x:c r="G24" s="37">
        <x:f>IFERROR(IF(INDEX(技术_首仓加仓阶梯!$A$2:$EM$25,MATCH($B$4,技术_首仓加仓阶梯!$W$2:$W$25,0),MATCH("4|动作后总持仓",技术_首仓加仓阶梯!$A$1:$EM$1,0))="§无记录§","",ROUND(INDEX(技术_首仓加仓阶梯!$A$2:$EM$25,MATCH($B$4,技术_首仓加仓阶梯!$W$2:$W$25,0),MATCH("4|动作后总持仓",技术_首仓加仓阶梯!$A$1:$EM$1,0)),8)),"")</x:f>
        <x:v>7</x:v>
      </x:c>
      <x:c r="H24" s="37">
        <x:f>IFERROR(IF(INDEX(技术_首仓加仓阶梯!$A$2:$EM$25,MATCH($B$4,技术_首仓加仓阶梯!$W$2:$W$25,0),MATCH("4|动作后正式持仓均价",技术_首仓加仓阶梯!$A$1:$EM$1,0))="§无记录§","",ROUND(INDEX(技术_首仓加仓阶梯!$A$2:$EM$25,MATCH($B$4,技术_首仓加仓阶梯!$W$2:$W$25,0),MATCH("4|动作后正式持仓均价",技术_首仓加仓阶梯!$A$1:$EM$1,0)),IF($B$4="T123",6,2))),"")</x:f>
        <x:v>68523.7142857143</x:v>
      </x:c>
      <x:c r="I24" s="44">
        <x:f>IFERROR(IF(INDEX(技术_首仓加仓阶梯!$A$2:$EM$25,MATCH($B$4,技术_首仓加仓阶梯!$W$2:$W$25,0),MATCH("4|动作前已确认事件滚动值",技术_首仓加仓阶梯!$A$1:$EM$1,0))="§无记录§","",ROUND(INDEX(技术_首仓加仓阶梯!$A$2:$EM$25,MATCH($B$4,技术_首仓加仓阶梯!$W$2:$W$25,0),MATCH("4|动作前已确认事件滚动值",技术_首仓加仓阶梯!$A$1:$EM$1,0)),2)),"")</x:f>
        <x:v>28172.55985308</x:v>
      </x:c>
      <x:c r="J24" s="44">
        <x:f>IFERROR(IF(INDEX(技术_首仓加仓阶梯!$A$2:$EM$25,MATCH($B$4,技术_首仓加仓阶梯!$W$2:$W$25,0),MATCH("4|动作后已确认事件滚动值",技术_首仓加仓阶梯!$A$1:$EM$1,0))="§无记录§","",ROUND(INDEX(技术_首仓加仓阶梯!$A$2:$EM$25,MATCH($B$4,技术_首仓加仓阶梯!$W$2:$W$25,0),MATCH("4|动作后已确认事件滚动值",技术_首仓加仓阶梯!$A$1:$EM$1,0)),2)),"")</x:f>
        <x:v>28145.62665308</x:v>
      </x:c>
      <x:c r="K24" s="44">
        <x:f>IFERROR(IF(INDEX(技术_首仓加仓阶梯!$A$2:$EM$25,MATCH($B$4,技术_首仓加仓阶梯!$W$2:$W$25,0),MATCH("4|自上一节点以来外部净入金",技术_首仓加仓阶梯!$A$1:$EM$1,0))="§无记录§","",ROUND(INDEX(技术_首仓加仓阶梯!$A$2:$EM$25,MATCH($B$4,技术_首仓加仓阶梯!$W$2:$W$25,0),MATCH("4|自上一节点以来外部净入金",技术_首仓加仓阶梯!$A$1:$EM$1,0)),2)),"")</x:f>
        <x:v>29000</x:v>
      </x:c>
      <x:c r="L24" s="35" t="str">
        <x:f>IFERROR(IF(INDEX(技术_首仓加仓阶梯!$A$2:$EM$25,MATCH($B$4,技术_首仓加仓阶梯!$W$2:$W$25,0),MATCH("4|是否部分成交后撤余",技术_首仓加仓阶梯!$A$1:$EM$1,0))="§无记录§","",INDEX(技术_首仓加仓阶梯!$A$2:$EM$25,MATCH($B$4,技术_首仓加仓阶梯!$W$2:$W$25,0),MATCH("4|是否部分成交后撤余",技术_首仓加仓阶梯!$A$1:$EM$1,0))),"")</x:f>
        <x:v>否</x:v>
      </x:c>
    </x:row>
    <x:row r="25" ht="32" customHeight="1">
      <x:c r="A25" s="30">
        <x:f>IFERROR(IF(INDEX(技术_首仓加仓阶梯!$A$2:$EM$25,MATCH($B$4,技术_首仓加仓阶梯!$W$2:$W$25,0),MATCH("5|动作序号",技术_首仓加仓阶梯!$A$1:$EM$1,0))="§无记录§","",INDEX(技术_首仓加仓阶梯!$A$2:$EM$25,MATCH($B$4,技术_首仓加仓阶梯!$W$2:$W$25,0),MATCH("5|动作序号",技术_首仓加仓阶梯!$A$1:$EM$1,0))),"")</x:f>
        <x:v>5</x:v>
      </x:c>
      <x:c r="B25" s="31" t="str">
        <x:f>IFERROR(IF(INDEX(技术_首仓加仓阶梯!$A$2:$EM$25,MATCH($B$4,技术_首仓加仓阶梯!$W$2:$W$25,0),MATCH("5|动作类型",技术_首仓加仓阶梯!$A$1:$EM$1,0))="§无记录§","",INDEX(技术_首仓加仓阶梯!$A$2:$EM$25,MATCH($B$4,技术_首仓加仓阶梯!$W$2:$W$25,0),MATCH("5|动作类型",技术_首仓加仓阶梯!$A$1:$EM$1,0))),"")</x:f>
        <x:v>第3次成功加仓</x:v>
      </x:c>
      <x:c r="C25" s="32" t="str">
        <x:f>IFERROR(IF(INDEX(技术_首仓加仓阶梯!$A$2:$EM$25,MATCH($B$4,技术_首仓加仓阶梯!$W$2:$W$25,0),MATCH("5|完整北京时间",技术_首仓加仓阶梯!$A$1:$EM$1,0))="§无记录§","",INDEX(技术_首仓加仓阶梯!$A$2:$EM$25,MATCH($B$4,技术_首仓加仓阶梯!$W$2:$W$25,0),MATCH("5|完整北京时间",技术_首仓加仓阶梯!$A$1:$EM$1,0))),"")</x:f>
        <x:v>2026-06-03 00:55:56</x:v>
      </x:c>
      <x:c r="D25" s="33">
        <x:f>IFERROR(IF(INDEX(技术_首仓加仓阶梯!$A$2:$EM$25,MATCH($B$4,技术_首仓加仓阶梯!$W$2:$W$25,0),MATCH("5|成交数量",技术_首仓加仓阶梯!$A$1:$EM$1,0))="§无记录§","",ROUND(INDEX(技术_首仓加仓阶梯!$A$2:$EM$25,MATCH($B$4,技术_首仓加仓阶梯!$W$2:$W$25,0),MATCH("5|成交数量",技术_首仓加仓阶梯!$A$1:$EM$1,0)),8)),"")</x:f>
        <x:v>5</x:v>
      </x:c>
      <x:c r="E25" s="33">
        <x:f>IFERROR(IF(INDEX(技术_首仓加仓阶梯!$A$2:$EM$25,MATCH($B$4,技术_首仓加仓阶梯!$W$2:$W$25,0),MATCH("5|成交加权均价",技术_首仓加仓阶梯!$A$1:$EM$1,0))="§无记录§","",ROUND(INDEX(技术_首仓加仓阶梯!$A$2:$EM$25,MATCH($B$4,技术_首仓加仓阶梯!$W$2:$W$25,0),MATCH("5|成交加权均价",技术_首仓加仓阶梯!$A$1:$EM$1,0)),IF($B$4="T123",6,2))),"")</x:f>
        <x:v>67481</x:v>
      </x:c>
      <x:c r="F25" s="33">
        <x:f>IFERROR(IF(INDEX(技术_首仓加仓阶梯!$A$2:$EM$25,MATCH($B$4,技术_首仓加仓阶梯!$W$2:$W$25,0),MATCH("5|动作前总持仓",技术_首仓加仓阶梯!$A$1:$EM$1,0))="§无记录§","",ROUND(INDEX(技术_首仓加仓阶梯!$A$2:$EM$25,MATCH($B$4,技术_首仓加仓阶梯!$W$2:$W$25,0),MATCH("5|动作前总持仓",技术_首仓加仓阶梯!$A$1:$EM$1,0)),8)),"")</x:f>
        <x:v>7</x:v>
      </x:c>
      <x:c r="G25" s="33">
        <x:f>IFERROR(IF(INDEX(技术_首仓加仓阶梯!$A$2:$EM$25,MATCH($B$4,技术_首仓加仓阶梯!$W$2:$W$25,0),MATCH("5|动作后总持仓",技术_首仓加仓阶梯!$A$1:$EM$1,0))="§无记录§","",ROUND(INDEX(技术_首仓加仓阶梯!$A$2:$EM$25,MATCH($B$4,技术_首仓加仓阶梯!$W$2:$W$25,0),MATCH("5|动作后总持仓",技术_首仓加仓阶梯!$A$1:$EM$1,0)),8)),"")</x:f>
        <x:v>12</x:v>
      </x:c>
      <x:c r="H25" s="33">
        <x:f>IFERROR(IF(INDEX(技术_首仓加仓阶梯!$A$2:$EM$25,MATCH($B$4,技术_首仓加仓阶梯!$W$2:$W$25,0),MATCH("5|动作后正式持仓均价",技术_首仓加仓阶梯!$A$1:$EM$1,0))="§无记录§","",ROUND(INDEX(技术_首仓加仓阶梯!$A$2:$EM$25,MATCH($B$4,技术_首仓加仓阶梯!$W$2:$W$25,0),MATCH("5|动作后正式持仓均价",技术_首仓加仓阶梯!$A$1:$EM$1,0)),IF($B$4="T123",6,2))),"")</x:f>
        <x:v>68089.25</x:v>
      </x:c>
      <x:c r="I25" s="43">
        <x:f>IFERROR(IF(INDEX(技术_首仓加仓阶梯!$A$2:$EM$25,MATCH($B$4,技术_首仓加仓阶梯!$W$2:$W$25,0),MATCH("5|动作前已确认事件滚动值",技术_首仓加仓阶梯!$A$1:$EM$1,0))="§无记录§","",ROUND(INDEX(技术_首仓加仓阶梯!$A$2:$EM$25,MATCH($B$4,技术_首仓加仓阶梯!$W$2:$W$25,0),MATCH("5|动作前已确认事件滚动值",技术_首仓加仓阶梯!$A$1:$EM$1,0)),2)),"")</x:f>
        <x:v>28111.71398977</x:v>
      </x:c>
      <x:c r="J25" s="43">
        <x:f>IFERROR(IF(INDEX(技术_首仓加仓阶梯!$A$2:$EM$25,MATCH($B$4,技术_首仓加仓阶梯!$W$2:$W$25,0),MATCH("5|动作后已确认事件滚动值",技术_首仓加仓阶梯!$A$1:$EM$1,0))="§无记录§","",ROUND(INDEX(技术_首仓加仓阶梯!$A$2:$EM$25,MATCH($B$4,技术_首仓加仓阶梯!$W$2:$W$25,0),MATCH("5|动作后已确认事件滚动值",技术_首仓加仓阶梯!$A$1:$EM$1,0)),2)),"")</x:f>
        <x:v>28044.23298977</x:v>
      </x:c>
      <x:c r="K25" s="43">
        <x:f>IFERROR(IF(INDEX(技术_首仓加仓阶梯!$A$2:$EM$25,MATCH($B$4,技术_首仓加仓阶梯!$W$2:$W$25,0),MATCH("5|自上一节点以来外部净入金",技术_首仓加仓阶梯!$A$1:$EM$1,0))="§无记录§","",ROUND(INDEX(技术_首仓加仓阶梯!$A$2:$EM$25,MATCH($B$4,技术_首仓加仓阶梯!$W$2:$W$25,0),MATCH("5|自上一节点以来外部净入金",技术_首仓加仓阶梯!$A$1:$EM$1,0)),2)),"")</x:f>
        <x:v>0</x:v>
      </x:c>
      <x:c r="L25" s="31" t="str">
        <x:f>IFERROR(IF(INDEX(技术_首仓加仓阶梯!$A$2:$EM$25,MATCH($B$4,技术_首仓加仓阶梯!$W$2:$W$25,0),MATCH("5|是否部分成交后撤余",技术_首仓加仓阶梯!$A$1:$EM$1,0))="§无记录§","",INDEX(技术_首仓加仓阶梯!$A$2:$EM$25,MATCH($B$4,技术_首仓加仓阶梯!$W$2:$W$25,0),MATCH("5|是否部分成交后撤余",技术_首仓加仓阶梯!$A$1:$EM$1,0))),"")</x:f>
        <x:v>否</x:v>
      </x:c>
    </x:row>
    <x:row r="26" ht="32" customHeight="1">
      <x:c r="A26" s="34">
        <x:f>IFERROR(IF(INDEX(技术_首仓加仓阶梯!$A$2:$EM$25,MATCH($B$4,技术_首仓加仓阶梯!$W$2:$W$25,0),MATCH("6|动作序号",技术_首仓加仓阶梯!$A$1:$EM$1,0))="§无记录§","",INDEX(技术_首仓加仓阶梯!$A$2:$EM$25,MATCH($B$4,技术_首仓加仓阶梯!$W$2:$W$25,0),MATCH("6|动作序号",技术_首仓加仓阶梯!$A$1:$EM$1,0))),"")</x:f>
        <x:v>6</x:v>
      </x:c>
      <x:c r="B26" s="35" t="str">
        <x:f>IFERROR(IF(INDEX(技术_首仓加仓阶梯!$A$2:$EM$25,MATCH($B$4,技术_首仓加仓阶梯!$W$2:$W$25,0),MATCH("6|动作类型",技术_首仓加仓阶梯!$A$1:$EM$1,0))="§无记录§","",INDEX(技术_首仓加仓阶梯!$A$2:$EM$25,MATCH($B$4,技术_首仓加仓阶梯!$W$2:$W$25,0),MATCH("6|动作类型",技术_首仓加仓阶梯!$A$1:$EM$1,0))),"")</x:f>
        <x:v>第4次成功加仓</x:v>
      </x:c>
      <x:c r="C26" s="36" t="str">
        <x:f>IFERROR(IF(INDEX(技术_首仓加仓阶梯!$A$2:$EM$25,MATCH($B$4,技术_首仓加仓阶梯!$W$2:$W$25,0),MATCH("6|完整北京时间",技术_首仓加仓阶梯!$A$1:$EM$1,0))="§无记录§","",INDEX(技术_首仓加仓阶梯!$A$2:$EM$25,MATCH($B$4,技术_首仓加仓阶梯!$W$2:$W$25,0),MATCH("6|完整北京时间",技术_首仓加仓阶梯!$A$1:$EM$1,0))),"")</x:f>
        <x:v>2026-06-03 01:50:46</x:v>
      </x:c>
      <x:c r="D26" s="37">
        <x:f>IFERROR(IF(INDEX(技术_首仓加仓阶梯!$A$2:$EM$25,MATCH($B$4,技术_首仓加仓阶梯!$W$2:$W$25,0),MATCH("6|成交数量",技术_首仓加仓阶梯!$A$1:$EM$1,0))="§无记录§","",ROUND(INDEX(技术_首仓加仓阶梯!$A$2:$EM$25,MATCH($B$4,技术_首仓加仓阶梯!$W$2:$W$25,0),MATCH("6|成交数量",技术_首仓加仓阶梯!$A$1:$EM$1,0)),8)),"")</x:f>
        <x:v>5</x:v>
      </x:c>
      <x:c r="E26" s="37">
        <x:f>IFERROR(IF(INDEX(技术_首仓加仓阶梯!$A$2:$EM$25,MATCH($B$4,技术_首仓加仓阶梯!$W$2:$W$25,0),MATCH("6|成交加权均价",技术_首仓加仓阶梯!$A$1:$EM$1,0))="§无记录§","",ROUND(INDEX(技术_首仓加仓阶梯!$A$2:$EM$25,MATCH($B$4,技术_首仓加仓阶梯!$W$2:$W$25,0),MATCH("6|成交加权均价",技术_首仓加仓阶梯!$A$1:$EM$1,0)),IF($B$4="T123",6,2))),"")</x:f>
        <x:v>67391</x:v>
      </x:c>
      <x:c r="F26" s="37">
        <x:f>IFERROR(IF(INDEX(技术_首仓加仓阶梯!$A$2:$EM$25,MATCH($B$4,技术_首仓加仓阶梯!$W$2:$W$25,0),MATCH("6|动作前总持仓",技术_首仓加仓阶梯!$A$1:$EM$1,0))="§无记录§","",ROUND(INDEX(技术_首仓加仓阶梯!$A$2:$EM$25,MATCH($B$4,技术_首仓加仓阶梯!$W$2:$W$25,0),MATCH("6|动作前总持仓",技术_首仓加仓阶梯!$A$1:$EM$1,0)),8)),"")</x:f>
        <x:v>12</x:v>
      </x:c>
      <x:c r="G26" s="37">
        <x:f>IFERROR(IF(INDEX(技术_首仓加仓阶梯!$A$2:$EM$25,MATCH($B$4,技术_首仓加仓阶梯!$W$2:$W$25,0),MATCH("6|动作后总持仓",技术_首仓加仓阶梯!$A$1:$EM$1,0))="§无记录§","",ROUND(INDEX(技术_首仓加仓阶梯!$A$2:$EM$25,MATCH($B$4,技术_首仓加仓阶梯!$W$2:$W$25,0),MATCH("6|动作后总持仓",技术_首仓加仓阶梯!$A$1:$EM$1,0)),8)),"")</x:f>
        <x:v>17</x:v>
      </x:c>
      <x:c r="H26" s="37">
        <x:f>IFERROR(IF(INDEX(技术_首仓加仓阶梯!$A$2:$EM$25,MATCH($B$4,技术_首仓加仓阶梯!$W$2:$W$25,0),MATCH("6|动作后正式持仓均价",技术_首仓加仓阶梯!$A$1:$EM$1,0))="§无记录§","",ROUND(INDEX(技术_首仓加仓阶梯!$A$2:$EM$25,MATCH($B$4,技术_首仓加仓阶梯!$W$2:$W$25,0),MATCH("6|动作后正式持仓均价",技术_首仓加仓阶梯!$A$1:$EM$1,0)),IF($B$4="T123",6,2))),"")</x:f>
        <x:v>67883.8823529412</x:v>
      </x:c>
      <x:c r="I26" s="44">
        <x:f>IFERROR(IF(INDEX(技术_首仓加仓阶梯!$A$2:$EM$25,MATCH($B$4,技术_首仓加仓阶梯!$W$2:$W$25,0),MATCH("6|动作前已确认事件滚动值",技术_首仓加仓阶梯!$A$1:$EM$1,0))="§无记录§","",ROUND(INDEX(技术_首仓加仓阶梯!$A$2:$EM$25,MATCH($B$4,技术_首仓加仓阶梯!$W$2:$W$25,0),MATCH("6|动作前已确认事件滚动值",技术_首仓加仓阶梯!$A$1:$EM$1,0)),2)),"")</x:f>
        <x:v>28057.72918977</x:v>
      </x:c>
      <x:c r="J26" s="44">
        <x:f>IFERROR(IF(INDEX(技术_首仓加仓阶梯!$A$2:$EM$25,MATCH($B$4,技术_首仓加仓阶梯!$W$2:$W$25,0),MATCH("6|动作后已确认事件滚动值",技术_首仓加仓阶梯!$A$1:$EM$1,0))="§无记录§","",ROUND(INDEX(技术_首仓加仓阶梯!$A$2:$EM$25,MATCH($B$4,技术_首仓加仓阶梯!$W$2:$W$25,0),MATCH("6|动作后已确认事件滚动值",技术_首仓加仓阶梯!$A$1:$EM$1,0)),2)),"")</x:f>
        <x:v>27990.33818977</x:v>
      </x:c>
      <x:c r="K26" s="44">
        <x:f>IFERROR(IF(INDEX(技术_首仓加仓阶梯!$A$2:$EM$25,MATCH($B$4,技术_首仓加仓阶梯!$W$2:$W$25,0),MATCH("6|自上一节点以来外部净入金",技术_首仓加仓阶梯!$A$1:$EM$1,0))="§无记录§","",ROUND(INDEX(技术_首仓加仓阶梯!$A$2:$EM$25,MATCH($B$4,技术_首仓加仓阶梯!$W$2:$W$25,0),MATCH("6|自上一节点以来外部净入金",技术_首仓加仓阶梯!$A$1:$EM$1,0)),2)),"")</x:f>
        <x:v>0</x:v>
      </x:c>
      <x:c r="L26" s="35" t="str">
        <x:f>IFERROR(IF(INDEX(技术_首仓加仓阶梯!$A$2:$EM$25,MATCH($B$4,技术_首仓加仓阶梯!$W$2:$W$25,0),MATCH("6|是否部分成交后撤余",技术_首仓加仓阶梯!$A$1:$EM$1,0))="§无记录§","",INDEX(技术_首仓加仓阶梯!$A$2:$EM$25,MATCH($B$4,技术_首仓加仓阶梯!$W$2:$W$25,0),MATCH("6|是否部分成交后撤余",技术_首仓加仓阶梯!$A$1:$EM$1,0))),"")</x:f>
        <x:v>否</x:v>
      </x:c>
    </x:row>
    <x:row r="27" ht="32" customHeight="1">
      <x:c r="A27" s="30">
        <x:f>IFERROR(IF(INDEX(技术_首仓加仓阶梯!$A$2:$EM$25,MATCH($B$4,技术_首仓加仓阶梯!$W$2:$W$25,0),MATCH("7|动作序号",技术_首仓加仓阶梯!$A$1:$EM$1,0))="§无记录§","",INDEX(技术_首仓加仓阶梯!$A$2:$EM$25,MATCH($B$4,技术_首仓加仓阶梯!$W$2:$W$25,0),MATCH("7|动作序号",技术_首仓加仓阶梯!$A$1:$EM$1,0))),"")</x:f>
        <x:v>7</x:v>
      </x:c>
      <x:c r="B27" s="31" t="str">
        <x:f>IFERROR(IF(INDEX(技术_首仓加仓阶梯!$A$2:$EM$25,MATCH($B$4,技术_首仓加仓阶梯!$W$2:$W$25,0),MATCH("7|动作类型",技术_首仓加仓阶梯!$A$1:$EM$1,0))="§无记录§","",INDEX(技术_首仓加仓阶梯!$A$2:$EM$25,MATCH($B$4,技术_首仓加仓阶梯!$W$2:$W$25,0),MATCH("7|动作类型",技术_首仓加仓阶梯!$A$1:$EM$1,0))),"")</x:f>
        <x:v>第5次成功加仓</x:v>
      </x:c>
      <x:c r="C27" s="32" t="str">
        <x:f>IFERROR(IF(INDEX(技术_首仓加仓阶梯!$A$2:$EM$25,MATCH($B$4,技术_首仓加仓阶梯!$W$2:$W$25,0),MATCH("7|完整北京时间",技术_首仓加仓阶梯!$A$1:$EM$1,0))="§无记录§","",INDEX(技术_首仓加仓阶梯!$A$2:$EM$25,MATCH($B$4,技术_首仓加仓阶梯!$W$2:$W$25,0),MATCH("7|完整北京时间",技术_首仓加仓阶梯!$A$1:$EM$1,0))),"")</x:f>
        <x:v>2026-06-03 02:31:48</x:v>
      </x:c>
      <x:c r="D27" s="33">
        <x:f>IFERROR(IF(INDEX(技术_首仓加仓阶梯!$A$2:$EM$25,MATCH($B$4,技术_首仓加仓阶梯!$W$2:$W$25,0),MATCH("7|成交数量",技术_首仓加仓阶梯!$A$1:$EM$1,0))="§无记录§","",ROUND(INDEX(技术_首仓加仓阶梯!$A$2:$EM$25,MATCH($B$4,技术_首仓加仓阶梯!$W$2:$W$25,0),MATCH("7|成交数量",技术_首仓加仓阶梯!$A$1:$EM$1,0)),8)),"")</x:f>
        <x:v>10.852</x:v>
      </x:c>
      <x:c r="E27" s="33">
        <x:f>IFERROR(IF(INDEX(技术_首仓加仓阶梯!$A$2:$EM$25,MATCH($B$4,技术_首仓加仓阶梯!$W$2:$W$25,0),MATCH("7|成交加权均价",技术_首仓加仓阶梯!$A$1:$EM$1,0))="§无记录§","",ROUND(INDEX(技术_首仓加仓阶梯!$A$2:$EM$25,MATCH($B$4,技术_首仓加仓阶梯!$W$2:$W$25,0),MATCH("7|成交加权均价",技术_首仓加仓阶梯!$A$1:$EM$1,0)),IF($B$4="T123",6,2))),"")</x:f>
        <x:v>67236</x:v>
      </x:c>
      <x:c r="F27" s="33">
        <x:f>IFERROR(IF(INDEX(技术_首仓加仓阶梯!$A$2:$EM$25,MATCH($B$4,技术_首仓加仓阶梯!$W$2:$W$25,0),MATCH("7|动作前总持仓",技术_首仓加仓阶梯!$A$1:$EM$1,0))="§无记录§","",ROUND(INDEX(技术_首仓加仓阶梯!$A$2:$EM$25,MATCH($B$4,技术_首仓加仓阶梯!$W$2:$W$25,0),MATCH("7|动作前总持仓",技术_首仓加仓阶梯!$A$1:$EM$1,0)),8)),"")</x:f>
        <x:v>17</x:v>
      </x:c>
      <x:c r="G27" s="33">
        <x:f>IFERROR(IF(INDEX(技术_首仓加仓阶梯!$A$2:$EM$25,MATCH($B$4,技术_首仓加仓阶梯!$W$2:$W$25,0),MATCH("7|动作后总持仓",技术_首仓加仓阶梯!$A$1:$EM$1,0))="§无记录§","",ROUND(INDEX(技术_首仓加仓阶梯!$A$2:$EM$25,MATCH($B$4,技术_首仓加仓阶梯!$W$2:$W$25,0),MATCH("7|动作后总持仓",技术_首仓加仓阶梯!$A$1:$EM$1,0)),8)),"")</x:f>
        <x:v>27.852</x:v>
      </x:c>
      <x:c r="H27" s="33">
        <x:f>IFERROR(IF(INDEX(技术_首仓加仓阶梯!$A$2:$EM$25,MATCH($B$4,技术_首仓加仓阶梯!$W$2:$W$25,0),MATCH("7|动作后正式持仓均价",技术_首仓加仓阶梯!$A$1:$EM$1,0))="§无记录§","",ROUND(INDEX(技术_首仓加仓阶梯!$A$2:$EM$25,MATCH($B$4,技术_首仓加仓阶梯!$W$2:$W$25,0),MATCH("7|动作后正式持仓均价",技术_首仓加仓阶梯!$A$1:$EM$1,0)),IF($B$4="T123",6,2))),"")</x:f>
        <x:v>67631.4473646417</x:v>
      </x:c>
      <x:c r="I27" s="43">
        <x:f>IFERROR(IF(INDEX(技术_首仓加仓阶梯!$A$2:$EM$25,MATCH($B$4,技术_首仓加仓阶梯!$W$2:$W$25,0),MATCH("7|动作前已确认事件滚动值",技术_首仓加仓阶梯!$A$1:$EM$1,0))="§无记录§","",ROUND(INDEX(技术_首仓加仓阶梯!$A$2:$EM$25,MATCH($B$4,技术_首仓加仓阶梯!$W$2:$W$25,0),MATCH("7|动作前已确认事件滚动值",技术_首仓加仓阶梯!$A$1:$EM$1,0)),2)),"")</x:f>
        <x:v>28003.81638977</x:v>
      </x:c>
      <x:c r="J27" s="43">
        <x:f>IFERROR(IF(INDEX(技术_首仓加仓阶梯!$A$2:$EM$25,MATCH($B$4,技术_首仓加仓阶梯!$W$2:$W$25,0),MATCH("7|动作后已确认事件滚动值",技术_首仓加仓阶梯!$A$1:$EM$1,0))="§无记录§","",ROUND(INDEX(技术_首仓加仓阶梯!$A$2:$EM$25,MATCH($B$4,技术_首仓加仓阶梯!$W$2:$W$25,0),MATCH("7|动作后已确认事件滚动值",技术_首仓加仓阶梯!$A$1:$EM$1,0)),2)),"")</x:f>
        <x:v>27857.88737538</x:v>
      </x:c>
      <x:c r="K27" s="43">
        <x:f>IFERROR(IF(INDEX(技术_首仓加仓阶梯!$A$2:$EM$25,MATCH($B$4,技术_首仓加仓阶梯!$W$2:$W$25,0),MATCH("7|自上一节点以来外部净入金",技术_首仓加仓阶梯!$A$1:$EM$1,0))="§无记录§","",ROUND(INDEX(技术_首仓加仓阶梯!$A$2:$EM$25,MATCH($B$4,技术_首仓加仓阶梯!$W$2:$W$25,0),MATCH("7|自上一节点以来外部净入金",技术_首仓加仓阶梯!$A$1:$EM$1,0)),2)),"")</x:f>
        <x:v>0</x:v>
      </x:c>
      <x:c r="L27" s="31" t="str">
        <x:f>IFERROR(IF(INDEX(技术_首仓加仓阶梯!$A$2:$EM$25,MATCH($B$4,技术_首仓加仓阶梯!$W$2:$W$25,0),MATCH("7|是否部分成交后撤余",技术_首仓加仓阶梯!$A$1:$EM$1,0))="§无记录§","",INDEX(技术_首仓加仓阶梯!$A$2:$EM$25,MATCH($B$4,技术_首仓加仓阶梯!$W$2:$W$25,0),MATCH("7|是否部分成交后撤余",技术_首仓加仓阶梯!$A$1:$EM$1,0))),"")</x:f>
        <x:v>否</x:v>
      </x:c>
    </x:row>
    <x:row r="28" ht="32" customHeight="1">
      <x:c r="A28" s="34" t="str">
        <x:f>IFERROR(IF(INDEX(技术_首仓加仓阶梯!$A$2:$EM$25,MATCH($B$4,技术_首仓加仓阶梯!$W$2:$W$25,0),MATCH("8|动作序号",技术_首仓加仓阶梯!$A$1:$EM$1,0))="§无记录§","",INDEX(技术_首仓加仓阶梯!$A$2:$EM$25,MATCH($B$4,技术_首仓加仓阶梯!$W$2:$W$25,0),MATCH("8|动作序号",技术_首仓加仓阶梯!$A$1:$EM$1,0))),"")</x:f>
        <x:v/>
      </x:c>
      <x:c r="B28" s="35" t="str">
        <x:f>IFERROR(IF(INDEX(技术_首仓加仓阶梯!$A$2:$EM$25,MATCH($B$4,技术_首仓加仓阶梯!$W$2:$W$25,0),MATCH("8|动作类型",技术_首仓加仓阶梯!$A$1:$EM$1,0))="§无记录§","",INDEX(技术_首仓加仓阶梯!$A$2:$EM$25,MATCH($B$4,技术_首仓加仓阶梯!$W$2:$W$25,0),MATCH("8|动作类型",技术_首仓加仓阶梯!$A$1:$EM$1,0))),"")</x:f>
        <x:v/>
      </x:c>
      <x:c r="C28" s="36" t="str">
        <x:f>IFERROR(IF(INDEX(技术_首仓加仓阶梯!$A$2:$EM$25,MATCH($B$4,技术_首仓加仓阶梯!$W$2:$W$25,0),MATCH("8|完整北京时间",技术_首仓加仓阶梯!$A$1:$EM$1,0))="§无记录§","",INDEX(技术_首仓加仓阶梯!$A$2:$EM$25,MATCH($B$4,技术_首仓加仓阶梯!$W$2:$W$25,0),MATCH("8|完整北京时间",技术_首仓加仓阶梯!$A$1:$EM$1,0))),"")</x:f>
        <x:v/>
      </x:c>
      <x:c r="D28" s="37" t="str">
        <x:f>IFERROR(IF(INDEX(技术_首仓加仓阶梯!$A$2:$EM$25,MATCH($B$4,技术_首仓加仓阶梯!$W$2:$W$25,0),MATCH("8|成交数量",技术_首仓加仓阶梯!$A$1:$EM$1,0))="§无记录§","",ROUND(INDEX(技术_首仓加仓阶梯!$A$2:$EM$25,MATCH($B$4,技术_首仓加仓阶梯!$W$2:$W$25,0),MATCH("8|成交数量",技术_首仓加仓阶梯!$A$1:$EM$1,0)),8)),"")</x:f>
        <x:v/>
      </x:c>
      <x:c r="E28" s="37" t="str">
        <x:f>IFERROR(IF(INDEX(技术_首仓加仓阶梯!$A$2:$EM$25,MATCH($B$4,技术_首仓加仓阶梯!$W$2:$W$25,0),MATCH("8|成交加权均价",技术_首仓加仓阶梯!$A$1:$EM$1,0))="§无记录§","",ROUND(INDEX(技术_首仓加仓阶梯!$A$2:$EM$25,MATCH($B$4,技术_首仓加仓阶梯!$W$2:$W$25,0),MATCH("8|成交加权均价",技术_首仓加仓阶梯!$A$1:$EM$1,0)),IF($B$4="T123",6,2))),"")</x:f>
        <x:v/>
      </x:c>
      <x:c r="F28" s="37" t="str">
        <x:f>IFERROR(IF(INDEX(技术_首仓加仓阶梯!$A$2:$EM$25,MATCH($B$4,技术_首仓加仓阶梯!$W$2:$W$25,0),MATCH("8|动作前总持仓",技术_首仓加仓阶梯!$A$1:$EM$1,0))="§无记录§","",ROUND(INDEX(技术_首仓加仓阶梯!$A$2:$EM$25,MATCH($B$4,技术_首仓加仓阶梯!$W$2:$W$25,0),MATCH("8|动作前总持仓",技术_首仓加仓阶梯!$A$1:$EM$1,0)),8)),"")</x:f>
        <x:v/>
      </x:c>
      <x:c r="G28" s="37" t="str">
        <x:f>IFERROR(IF(INDEX(技术_首仓加仓阶梯!$A$2:$EM$25,MATCH($B$4,技术_首仓加仓阶梯!$W$2:$W$25,0),MATCH("8|动作后总持仓",技术_首仓加仓阶梯!$A$1:$EM$1,0))="§无记录§","",ROUND(INDEX(技术_首仓加仓阶梯!$A$2:$EM$25,MATCH($B$4,技术_首仓加仓阶梯!$W$2:$W$25,0),MATCH("8|动作后总持仓",技术_首仓加仓阶梯!$A$1:$EM$1,0)),8)),"")</x:f>
        <x:v/>
      </x:c>
      <x:c r="H28" s="37" t="str">
        <x:f>IFERROR(IF(INDEX(技术_首仓加仓阶梯!$A$2:$EM$25,MATCH($B$4,技术_首仓加仓阶梯!$W$2:$W$25,0),MATCH("8|动作后正式持仓均价",技术_首仓加仓阶梯!$A$1:$EM$1,0))="§无记录§","",ROUND(INDEX(技术_首仓加仓阶梯!$A$2:$EM$25,MATCH($B$4,技术_首仓加仓阶梯!$W$2:$W$25,0),MATCH("8|动作后正式持仓均价",技术_首仓加仓阶梯!$A$1:$EM$1,0)),IF($B$4="T123",6,2))),"")</x:f>
        <x:v/>
      </x:c>
      <x:c r="I28" s="44" t="str">
        <x:f>IFERROR(IF(INDEX(技术_首仓加仓阶梯!$A$2:$EM$25,MATCH($B$4,技术_首仓加仓阶梯!$W$2:$W$25,0),MATCH("8|动作前已确认事件滚动值",技术_首仓加仓阶梯!$A$1:$EM$1,0))="§无记录§","",ROUND(INDEX(技术_首仓加仓阶梯!$A$2:$EM$25,MATCH($B$4,技术_首仓加仓阶梯!$W$2:$W$25,0),MATCH("8|动作前已确认事件滚动值",技术_首仓加仓阶梯!$A$1:$EM$1,0)),2)),"")</x:f>
        <x:v/>
      </x:c>
      <x:c r="J28" s="44" t="str">
        <x:f>IFERROR(IF(INDEX(技术_首仓加仓阶梯!$A$2:$EM$25,MATCH($B$4,技术_首仓加仓阶梯!$W$2:$W$25,0),MATCH("8|动作后已确认事件滚动值",技术_首仓加仓阶梯!$A$1:$EM$1,0))="§无记录§","",ROUND(INDEX(技术_首仓加仓阶梯!$A$2:$EM$25,MATCH($B$4,技术_首仓加仓阶梯!$W$2:$W$25,0),MATCH("8|动作后已确认事件滚动值",技术_首仓加仓阶梯!$A$1:$EM$1,0)),2)),"")</x:f>
        <x:v/>
      </x:c>
      <x:c r="K28" s="44" t="str">
        <x:f>IFERROR(IF(INDEX(技术_首仓加仓阶梯!$A$2:$EM$25,MATCH($B$4,技术_首仓加仓阶梯!$W$2:$W$25,0),MATCH("8|自上一节点以来外部净入金",技术_首仓加仓阶梯!$A$1:$EM$1,0))="§无记录§","",ROUND(INDEX(技术_首仓加仓阶梯!$A$2:$EM$25,MATCH($B$4,技术_首仓加仓阶梯!$W$2:$W$25,0),MATCH("8|自上一节点以来外部净入金",技术_首仓加仓阶梯!$A$1:$EM$1,0)),2)),"")</x:f>
        <x:v/>
      </x:c>
      <x:c r="L28" s="35" t="str">
        <x:f>IFERROR(IF(INDEX(技术_首仓加仓阶梯!$A$2:$EM$25,MATCH($B$4,技术_首仓加仓阶梯!$W$2:$W$25,0),MATCH("8|是否部分成交后撤余",技术_首仓加仓阶梯!$A$1:$EM$1,0))="§无记录§","",INDEX(技术_首仓加仓阶梯!$A$2:$EM$25,MATCH($B$4,技术_首仓加仓阶梯!$W$2:$W$25,0),MATCH("8|是否部分成交后撤余",技术_首仓加仓阶梯!$A$1:$EM$1,0))),"")</x:f>
        <x:v/>
      </x:c>
    </x:row>
    <x:row r="29" ht="32" customHeight="1">
      <x:c r="A29" s="30" t="str">
        <x:f>IFERROR(IF(INDEX(技术_首仓加仓阶梯!$A$2:$EM$25,MATCH($B$4,技术_首仓加仓阶梯!$W$2:$W$25,0),MATCH("9|动作序号",技术_首仓加仓阶梯!$A$1:$EM$1,0))="§无记录§","",INDEX(技术_首仓加仓阶梯!$A$2:$EM$25,MATCH($B$4,技术_首仓加仓阶梯!$W$2:$W$25,0),MATCH("9|动作序号",技术_首仓加仓阶梯!$A$1:$EM$1,0))),"")</x:f>
        <x:v/>
      </x:c>
      <x:c r="B29" s="31" t="str">
        <x:f>IFERROR(IF(INDEX(技术_首仓加仓阶梯!$A$2:$EM$25,MATCH($B$4,技术_首仓加仓阶梯!$W$2:$W$25,0),MATCH("9|动作类型",技术_首仓加仓阶梯!$A$1:$EM$1,0))="§无记录§","",INDEX(技术_首仓加仓阶梯!$A$2:$EM$25,MATCH($B$4,技术_首仓加仓阶梯!$W$2:$W$25,0),MATCH("9|动作类型",技术_首仓加仓阶梯!$A$1:$EM$1,0))),"")</x:f>
        <x:v/>
      </x:c>
      <x:c r="C29" s="32" t="str">
        <x:f>IFERROR(IF(INDEX(技术_首仓加仓阶梯!$A$2:$EM$25,MATCH($B$4,技术_首仓加仓阶梯!$W$2:$W$25,0),MATCH("9|完整北京时间",技术_首仓加仓阶梯!$A$1:$EM$1,0))="§无记录§","",INDEX(技术_首仓加仓阶梯!$A$2:$EM$25,MATCH($B$4,技术_首仓加仓阶梯!$W$2:$W$25,0),MATCH("9|完整北京时间",技术_首仓加仓阶梯!$A$1:$EM$1,0))),"")</x:f>
        <x:v/>
      </x:c>
      <x:c r="D29" s="33" t="str">
        <x:f>IFERROR(IF(INDEX(技术_首仓加仓阶梯!$A$2:$EM$25,MATCH($B$4,技术_首仓加仓阶梯!$W$2:$W$25,0),MATCH("9|成交数量",技术_首仓加仓阶梯!$A$1:$EM$1,0))="§无记录§","",ROUND(INDEX(技术_首仓加仓阶梯!$A$2:$EM$25,MATCH($B$4,技术_首仓加仓阶梯!$W$2:$W$25,0),MATCH("9|成交数量",技术_首仓加仓阶梯!$A$1:$EM$1,0)),8)),"")</x:f>
        <x:v/>
      </x:c>
      <x:c r="E29" s="33" t="str">
        <x:f>IFERROR(IF(INDEX(技术_首仓加仓阶梯!$A$2:$EM$25,MATCH($B$4,技术_首仓加仓阶梯!$W$2:$W$25,0),MATCH("9|成交加权均价",技术_首仓加仓阶梯!$A$1:$EM$1,0))="§无记录§","",ROUND(INDEX(技术_首仓加仓阶梯!$A$2:$EM$25,MATCH($B$4,技术_首仓加仓阶梯!$W$2:$W$25,0),MATCH("9|成交加权均价",技术_首仓加仓阶梯!$A$1:$EM$1,0)),IF($B$4="T123",6,2))),"")</x:f>
        <x:v/>
      </x:c>
      <x:c r="F29" s="33" t="str">
        <x:f>IFERROR(IF(INDEX(技术_首仓加仓阶梯!$A$2:$EM$25,MATCH($B$4,技术_首仓加仓阶梯!$W$2:$W$25,0),MATCH("9|动作前总持仓",技术_首仓加仓阶梯!$A$1:$EM$1,0))="§无记录§","",ROUND(INDEX(技术_首仓加仓阶梯!$A$2:$EM$25,MATCH($B$4,技术_首仓加仓阶梯!$W$2:$W$25,0),MATCH("9|动作前总持仓",技术_首仓加仓阶梯!$A$1:$EM$1,0)),8)),"")</x:f>
        <x:v/>
      </x:c>
      <x:c r="G29" s="33" t="str">
        <x:f>IFERROR(IF(INDEX(技术_首仓加仓阶梯!$A$2:$EM$25,MATCH($B$4,技术_首仓加仓阶梯!$W$2:$W$25,0),MATCH("9|动作后总持仓",技术_首仓加仓阶梯!$A$1:$EM$1,0))="§无记录§","",ROUND(INDEX(技术_首仓加仓阶梯!$A$2:$EM$25,MATCH($B$4,技术_首仓加仓阶梯!$W$2:$W$25,0),MATCH("9|动作后总持仓",技术_首仓加仓阶梯!$A$1:$EM$1,0)),8)),"")</x:f>
        <x:v/>
      </x:c>
      <x:c r="H29" s="33" t="str">
        <x:f>IFERROR(IF(INDEX(技术_首仓加仓阶梯!$A$2:$EM$25,MATCH($B$4,技术_首仓加仓阶梯!$W$2:$W$25,0),MATCH("9|动作后正式持仓均价",技术_首仓加仓阶梯!$A$1:$EM$1,0))="§无记录§","",ROUND(INDEX(技术_首仓加仓阶梯!$A$2:$EM$25,MATCH($B$4,技术_首仓加仓阶梯!$W$2:$W$25,0),MATCH("9|动作后正式持仓均价",技术_首仓加仓阶梯!$A$1:$EM$1,0)),IF($B$4="T123",6,2))),"")</x:f>
        <x:v/>
      </x:c>
      <x:c r="I29" s="43" t="str">
        <x:f>IFERROR(IF(INDEX(技术_首仓加仓阶梯!$A$2:$EM$25,MATCH($B$4,技术_首仓加仓阶梯!$W$2:$W$25,0),MATCH("9|动作前已确认事件滚动值",技术_首仓加仓阶梯!$A$1:$EM$1,0))="§无记录§","",ROUND(INDEX(技术_首仓加仓阶梯!$A$2:$EM$25,MATCH($B$4,技术_首仓加仓阶梯!$W$2:$W$25,0),MATCH("9|动作前已确认事件滚动值",技术_首仓加仓阶梯!$A$1:$EM$1,0)),2)),"")</x:f>
        <x:v/>
      </x:c>
      <x:c r="J29" s="43" t="str">
        <x:f>IFERROR(IF(INDEX(技术_首仓加仓阶梯!$A$2:$EM$25,MATCH($B$4,技术_首仓加仓阶梯!$W$2:$W$25,0),MATCH("9|动作后已确认事件滚动值",技术_首仓加仓阶梯!$A$1:$EM$1,0))="§无记录§","",ROUND(INDEX(技术_首仓加仓阶梯!$A$2:$EM$25,MATCH($B$4,技术_首仓加仓阶梯!$W$2:$W$25,0),MATCH("9|动作后已确认事件滚动值",技术_首仓加仓阶梯!$A$1:$EM$1,0)),2)),"")</x:f>
        <x:v/>
      </x:c>
      <x:c r="K29" s="43" t="str">
        <x:f>IFERROR(IF(INDEX(技术_首仓加仓阶梯!$A$2:$EM$25,MATCH($B$4,技术_首仓加仓阶梯!$W$2:$W$25,0),MATCH("9|自上一节点以来外部净入金",技术_首仓加仓阶梯!$A$1:$EM$1,0))="§无记录§","",ROUND(INDEX(技术_首仓加仓阶梯!$A$2:$EM$25,MATCH($B$4,技术_首仓加仓阶梯!$W$2:$W$25,0),MATCH("9|自上一节点以来外部净入金",技术_首仓加仓阶梯!$A$1:$EM$1,0)),2)),"")</x:f>
        <x:v/>
      </x:c>
      <x:c r="L29" s="31" t="str">
        <x:f>IFERROR(IF(INDEX(技术_首仓加仓阶梯!$A$2:$EM$25,MATCH($B$4,技术_首仓加仓阶梯!$W$2:$W$25,0),MATCH("9|是否部分成交后撤余",技术_首仓加仓阶梯!$A$1:$EM$1,0))="§无记录§","",INDEX(技术_首仓加仓阶梯!$A$2:$EM$25,MATCH($B$4,技术_首仓加仓阶梯!$W$2:$W$25,0),MATCH("9|是否部分成交后撤余",技术_首仓加仓阶梯!$A$1:$EM$1,0))),"")</x:f>
        <x:v/>
      </x:c>
    </x:row>
    <x:row r="30" ht="32" customHeight="1">
      <x:c r="A30" s="34" t="str">
        <x:f>IFERROR(IF(INDEX(技术_首仓加仓阶梯!$A$2:$EM$25,MATCH($B$4,技术_首仓加仓阶梯!$W$2:$W$25,0),MATCH("10|动作序号",技术_首仓加仓阶梯!$A$1:$EM$1,0))="§无记录§","",INDEX(技术_首仓加仓阶梯!$A$2:$EM$25,MATCH($B$4,技术_首仓加仓阶梯!$W$2:$W$25,0),MATCH("10|动作序号",技术_首仓加仓阶梯!$A$1:$EM$1,0))),"")</x:f>
        <x:v/>
      </x:c>
      <x:c r="B30" s="35" t="str">
        <x:f>IFERROR(IF(INDEX(技术_首仓加仓阶梯!$A$2:$EM$25,MATCH($B$4,技术_首仓加仓阶梯!$W$2:$W$25,0),MATCH("10|动作类型",技术_首仓加仓阶梯!$A$1:$EM$1,0))="§无记录§","",INDEX(技术_首仓加仓阶梯!$A$2:$EM$25,MATCH($B$4,技术_首仓加仓阶梯!$W$2:$W$25,0),MATCH("10|动作类型",技术_首仓加仓阶梯!$A$1:$EM$1,0))),"")</x:f>
        <x:v/>
      </x:c>
      <x:c r="C30" s="36" t="str">
        <x:f>IFERROR(IF(INDEX(技术_首仓加仓阶梯!$A$2:$EM$25,MATCH($B$4,技术_首仓加仓阶梯!$W$2:$W$25,0),MATCH("10|完整北京时间",技术_首仓加仓阶梯!$A$1:$EM$1,0))="§无记录§","",INDEX(技术_首仓加仓阶梯!$A$2:$EM$25,MATCH($B$4,技术_首仓加仓阶梯!$W$2:$W$25,0),MATCH("10|完整北京时间",技术_首仓加仓阶梯!$A$1:$EM$1,0))),"")</x:f>
        <x:v/>
      </x:c>
      <x:c r="D30" s="37" t="str">
        <x:f>IFERROR(IF(INDEX(技术_首仓加仓阶梯!$A$2:$EM$25,MATCH($B$4,技术_首仓加仓阶梯!$W$2:$W$25,0),MATCH("10|成交数量",技术_首仓加仓阶梯!$A$1:$EM$1,0))="§无记录§","",ROUND(INDEX(技术_首仓加仓阶梯!$A$2:$EM$25,MATCH($B$4,技术_首仓加仓阶梯!$W$2:$W$25,0),MATCH("10|成交数量",技术_首仓加仓阶梯!$A$1:$EM$1,0)),8)),"")</x:f>
        <x:v/>
      </x:c>
      <x:c r="E30" s="37" t="str">
        <x:f>IFERROR(IF(INDEX(技术_首仓加仓阶梯!$A$2:$EM$25,MATCH($B$4,技术_首仓加仓阶梯!$W$2:$W$25,0),MATCH("10|成交加权均价",技术_首仓加仓阶梯!$A$1:$EM$1,0))="§无记录§","",ROUND(INDEX(技术_首仓加仓阶梯!$A$2:$EM$25,MATCH($B$4,技术_首仓加仓阶梯!$W$2:$W$25,0),MATCH("10|成交加权均价",技术_首仓加仓阶梯!$A$1:$EM$1,0)),IF($B$4="T123",6,2))),"")</x:f>
        <x:v/>
      </x:c>
      <x:c r="F30" s="37" t="str">
        <x:f>IFERROR(IF(INDEX(技术_首仓加仓阶梯!$A$2:$EM$25,MATCH($B$4,技术_首仓加仓阶梯!$W$2:$W$25,0),MATCH("10|动作前总持仓",技术_首仓加仓阶梯!$A$1:$EM$1,0))="§无记录§","",ROUND(INDEX(技术_首仓加仓阶梯!$A$2:$EM$25,MATCH($B$4,技术_首仓加仓阶梯!$W$2:$W$25,0),MATCH("10|动作前总持仓",技术_首仓加仓阶梯!$A$1:$EM$1,0)),8)),"")</x:f>
        <x:v/>
      </x:c>
      <x:c r="G30" s="37" t="str">
        <x:f>IFERROR(IF(INDEX(技术_首仓加仓阶梯!$A$2:$EM$25,MATCH($B$4,技术_首仓加仓阶梯!$W$2:$W$25,0),MATCH("10|动作后总持仓",技术_首仓加仓阶梯!$A$1:$EM$1,0))="§无记录§","",ROUND(INDEX(技术_首仓加仓阶梯!$A$2:$EM$25,MATCH($B$4,技术_首仓加仓阶梯!$W$2:$W$25,0),MATCH("10|动作后总持仓",技术_首仓加仓阶梯!$A$1:$EM$1,0)),8)),"")</x:f>
        <x:v/>
      </x:c>
      <x:c r="H30" s="37" t="str">
        <x:f>IFERROR(IF(INDEX(技术_首仓加仓阶梯!$A$2:$EM$25,MATCH($B$4,技术_首仓加仓阶梯!$W$2:$W$25,0),MATCH("10|动作后正式持仓均价",技术_首仓加仓阶梯!$A$1:$EM$1,0))="§无记录§","",ROUND(INDEX(技术_首仓加仓阶梯!$A$2:$EM$25,MATCH($B$4,技术_首仓加仓阶梯!$W$2:$W$25,0),MATCH("10|动作后正式持仓均价",技术_首仓加仓阶梯!$A$1:$EM$1,0)),IF($B$4="T123",6,2))),"")</x:f>
        <x:v/>
      </x:c>
      <x:c r="I30" s="44" t="str">
        <x:f>IFERROR(IF(INDEX(技术_首仓加仓阶梯!$A$2:$EM$25,MATCH($B$4,技术_首仓加仓阶梯!$W$2:$W$25,0),MATCH("10|动作前已确认事件滚动值",技术_首仓加仓阶梯!$A$1:$EM$1,0))="§无记录§","",ROUND(INDEX(技术_首仓加仓阶梯!$A$2:$EM$25,MATCH($B$4,技术_首仓加仓阶梯!$W$2:$W$25,0),MATCH("10|动作前已确认事件滚动值",技术_首仓加仓阶梯!$A$1:$EM$1,0)),2)),"")</x:f>
        <x:v/>
      </x:c>
      <x:c r="J30" s="44" t="str">
        <x:f>IFERROR(IF(INDEX(技术_首仓加仓阶梯!$A$2:$EM$25,MATCH($B$4,技术_首仓加仓阶梯!$W$2:$W$25,0),MATCH("10|动作后已确认事件滚动值",技术_首仓加仓阶梯!$A$1:$EM$1,0))="§无记录§","",ROUND(INDEX(技术_首仓加仓阶梯!$A$2:$EM$25,MATCH($B$4,技术_首仓加仓阶梯!$W$2:$W$25,0),MATCH("10|动作后已确认事件滚动值",技术_首仓加仓阶梯!$A$1:$EM$1,0)),2)),"")</x:f>
        <x:v/>
      </x:c>
      <x:c r="K30" s="44" t="str">
        <x:f>IFERROR(IF(INDEX(技术_首仓加仓阶梯!$A$2:$EM$25,MATCH($B$4,技术_首仓加仓阶梯!$W$2:$W$25,0),MATCH("10|自上一节点以来外部净入金",技术_首仓加仓阶梯!$A$1:$EM$1,0))="§无记录§","",ROUND(INDEX(技术_首仓加仓阶梯!$A$2:$EM$25,MATCH($B$4,技术_首仓加仓阶梯!$W$2:$W$25,0),MATCH("10|自上一节点以来外部净入金",技术_首仓加仓阶梯!$A$1:$EM$1,0)),2)),"")</x:f>
        <x:v/>
      </x:c>
      <x:c r="L30" s="35" t="str">
        <x:f>IFERROR(IF(INDEX(技术_首仓加仓阶梯!$A$2:$EM$25,MATCH($B$4,技术_首仓加仓阶梯!$W$2:$W$25,0),MATCH("10|是否部分成交后撤余",技术_首仓加仓阶梯!$A$1:$EM$1,0))="§无记录§","",INDEX(技术_首仓加仓阶梯!$A$2:$EM$25,MATCH($B$4,技术_首仓加仓阶梯!$W$2:$W$25,0),MATCH("10|是否部分成交后撤余",技术_首仓加仓阶梯!$A$1:$EM$1,0))),"")</x:f>
        <x:v/>
      </x:c>
    </x:row>
    <x:row r="31" ht="30" customHeight="1">
      <x:c r="A31" s="22" t="s">
        <x:v>34</x:v>
      </x:c>
      <x:c r="B31" s="38" t="s">
        <x:v>34</x:v>
      </x:c>
      <x:c r="C31" s="39" t="str">
        <x:f>IF(COUNTIF(技术_主动交易用户汇总!$A$2:$A$11,$B$4)=0,"",INDEX(技术_主动交易用户汇总!$A$2:$X$11,MATCH($B$4,技术_主动交易用户汇总!$A$2:$A$11,0),MATCH("最大总持仓",技术_主动交易用户汇总!$A$1:$X$1,0)))</x:f>
        <x:v>27.852</x:v>
      </x:c>
      <x:c r="D31" s="39"/>
      <x:c r="E31" s="39"/>
      <x:c r="F31" s="22" t="s">
        <x:v>45</x:v>
      </x:c>
      <x:c r="G31" s="22" t="s">
        <x:v>45</x:v>
      </x:c>
      <x:c r="H31" s="39" t="n">
        <x:f>IF(COUNTIF(技术_主动交易用户汇总!$A$2:$A$11,$B$4)=0,"",INDEX(技术_主动交易用户汇总!$A$2:$X$11,MATCH($B$4,技术_主动交易用户汇总!$A$2:$A$11,0),MATCH("F23显示最大持仓均价",技术_主动交易用户汇总!$A$1:$X$1,0)))</x:f>
        <x:v>67631.45</x:v>
      </x:c>
      <x:c r="I31" s="39"/>
      <x:c r="J31" s="39"/>
      <x:c r="K31" s="45" t="s">
        <x:v>105</x:v>
      </x:c>
      <x:c r="L31" s="45" t="s">
        <x:v>105</x:v>
      </x:c>
    </x:row>
    <x:row r="32" ht="50" customHeight="1"/>
    <x:row r="33" ht="50" customHeight="1"/>
    <x:row r="34" ht="50" customHeight="1">
      <x:c r="A34" s="24" t="s">
        <x:v>106</x:v>
      </x:c>
      <x:c r="B34" s="24" t="s">
        <x:v>106</x:v>
      </x:c>
      <x:c r="C34" s="24" t="s">
        <x:v>106</x:v>
      </x:c>
      <x:c r="D34" s="24" t="s">
        <x:v>106</x:v>
      </x:c>
      <x:c r="E34" s="24" t="s">
        <x:v>106</x:v>
      </x:c>
      <x:c r="F34" s="24" t="s">
        <x:v>106</x:v>
      </x:c>
      <x:c r="G34" s="24" t="s">
        <x:v>106</x:v>
      </x:c>
      <x:c r="H34" s="24" t="s">
        <x:v>106</x:v>
      </x:c>
      <x:c r="I34" s="24" t="s">
        <x:v>106</x:v>
      </x:c>
      <x:c r="J34" s="24" t="s">
        <x:v>106</x:v>
      </x:c>
      <x:c r="K34" s="24" t="s">
        <x:v>106</x:v>
      </x:c>
      <x:c r="L34" s="24" t="s">
        <x:v>106</x:v>
      </x:c>
    </x:row>
    <x:row r="35" ht="26" customHeight="1">
      <x:c r="A35" s="22" t="s">
        <x:v>46</x:v>
      </x:c>
      <x:c r="B35" s="29" t="n">
        <x:f>IF(COUNTIF(技术_逐笔复盘汇总!$A$2:$A$11,$B$4)=0,"",INDEX(技术_逐笔复盘汇总!$A$2:$ES$11,MATCH($B$4,技术_逐笔复盘汇总!$A$2:$A$11,0),MATCH("加仓尝试次数",技术_逐笔复盘汇总!$A$1:$ES$1,0))+INDEX(技术_逐笔复盘汇总!$A$2:$ES$11,MATCH($B$4,技术_逐笔复盘汇总!$A$2:$A$11,0),MATCH("实际成功加仓次数",技术_逐笔复盘汇总!$A$1:$ES$1,0)))</x:f>
        <x:v>17</x:v>
      </x:c>
      <x:c r="C35" s="29"/>
      <x:c r="D35" s="22" t="s">
        <x:v>47</x:v>
      </x:c>
      <x:c r="E35" s="29" t="str">
        <x:f>IF(COUNTIF(技术_主动交易用户汇总!$A$2:$A$11,$B$4)=0,"",INDEX(技术_主动交易用户汇总!$A$2:$X$11,MATCH($B$4,技术_主动交易用户汇总!$A$2:$A$11,0),MATCH("成功加仓次数",技术_主动交易用户汇总!$A$1:$X$1,0)))</x:f>
        <x:v>5</x:v>
      </x:c>
      <x:c r="F35" s="29"/>
      <x:c r="G35" s="22" t="s">
        <x:v>48</x:v>
      </x:c>
      <x:c r="H35" s="29" t="str">
        <x:f>IF(COUNTIF(技术_逐笔复盘汇总!$A$2:$A$11,$B$4)=0,"",INDEX(技术_逐笔复盘汇总!$A$2:$ES$11,MATCH($B$4,技术_逐笔复盘汇总!$A$2:$A$11,0),MATCH("未成交加仓撤销次数",技术_逐笔复盘汇总!$A$1:$ES$1,0)))</x:f>
        <x:v>12</x:v>
      </x:c>
      <x:c r="I35" s="29"/>
      <x:c r="J35" s="22" t="s">
        <x:v>49</x:v>
      </x:c>
      <x:c r="K35" s="29" t="str">
        <x:f>IF(COUNTIF(技术_逐笔复盘汇总!$A$2:$A$11,$B$4)=0,"",INDEX(技术_逐笔复盘汇总!$A$2:$ES$11,MATCH($B$4,技术_逐笔复盘汇总!$A$2:$A$11,0),MATCH("部分成交后撤余次数",技术_逐笔复盘汇总!$A$1:$ES$1,0)))</x:f>
        <x:v>0</x:v>
      </x:c>
      <x:c r="L35" s="29"/>
    </x:row>
    <x:row r="36" ht="26" customHeight="1">
      <x:c r="A36" s="22" t="s">
        <x:v>52</x:v>
      </x:c>
      <x:c r="B36" s="29" t="str">
        <x:f>IF(COUNTIF(技术_主动交易用户汇总!$A$2:$A$11,$B$4)=0,"",INDEX(技术_主动交易用户汇总!$A$2:$X$11,MATCH($B$4,技术_主动交易用户汇总!$A$2:$A$11,0),MATCH("实际部分减仓",技术_主动交易用户汇总!$A$1:$X$1,0)))</x:f>
        <x:v>1</x:v>
      </x:c>
      <x:c r="C36" s="29"/>
      <x:c r="D36" s="22" t="s">
        <x:v>107</x:v>
      </x:c>
      <x:c r="E36" s="25" t="str">
        <x:f>""</x:f>
        <x:v/>
      </x:c>
      <x:c r="F36" s="25"/>
      <x:c r="G36" s="22" t="s">
        <x:v>107</x:v>
      </x:c>
      <x:c r="H36" s="25" t="str">
        <x:f>""</x:f>
        <x:v/>
      </x:c>
      <x:c r="I36" s="25"/>
      <x:c r="J36" s="22" t="s">
        <x:v>107</x:v>
      </x:c>
      <x:c r="K36" s="25" t="str">
        <x:f>""</x:f>
        <x:v/>
      </x:c>
      <x:c r="L36" s="25"/>
    </x:row>
    <x:row r="37" ht="34" customHeight="1">
      <x:c r="A37" s="22" t="s">
        <x:v>108</x:v>
      </x:c>
      <x:c r="B37" s="22" t="s">
        <x:v>108</x:v>
      </x:c>
      <x:c r="C37" s="22" t="s">
        <x:v>108</x:v>
      </x:c>
      <x:c r="D37" s="25" t="str">
        <x:f>IF($B$4="T001","阶段A—E行为链证据不可得；当前仅有D2-C正式首仓、平仓、仓位与资金事实。相关行为字段留空，不代表未发生。",SUBSTITUTE(INDEX(技术_逐笔复盘汇总!$A$2:$ES$11,MATCH($B$4,技术_逐笔复盘汇总!$A$2:$A$11,0),MATCH("持仓操作中文摘要",技术_逐笔复盘汇总!$A$1:$ES$1,0)),"Fill","成交分笔"))</x:f>
        <x:v>持仓期间记录12张未形成实际加仓的加仓尝试，其中12张未成交撤销；另有5张真实成交委托成功增加仓位。部分成交后撤余0次，实际部分减仓1次，减仓或平仓委托尝试共17次，最终真实归零成交1次。识别出5次高置信度疑似加仓改价重挂。加仓尝试和实际加仓分别统计，均不按成交分笔数量重复计算。</x:v>
      </x:c>
      <x:c r="E37" s="25"/>
      <x:c r="F37" s="25"/>
      <x:c r="G37" s="25"/>
      <x:c r="H37" s="25"/>
      <x:c r="I37" s="25"/>
      <x:c r="J37" s="25"/>
      <x:c r="K37" s="25"/>
      <x:c r="L37" s="25"/>
    </x:row>
    <x:row r="38" ht="34" customHeight="1">
      <x:c r="A38" s="22" t="s">
        <x:v>108</x:v>
      </x:c>
      <x:c r="B38" s="22" t="s">
        <x:v>108</x:v>
      </x:c>
      <x:c r="C38" s="22" t="s">
        <x:v>108</x:v>
      </x:c>
      <x:c r="D38" s="25"/>
      <x:c r="E38" s="25"/>
      <x:c r="F38" s="25"/>
      <x:c r="G38" s="25"/>
      <x:c r="H38" s="25"/>
      <x:c r="I38" s="25"/>
      <x:c r="J38" s="25"/>
      <x:c r="K38" s="25"/>
      <x:c r="L38" s="25"/>
    </x:row>
    <x:row r="39" ht="34" customHeight="1">
      <x:c r="A39" s="22" t="s">
        <x:v>108</x:v>
      </x:c>
      <x:c r="B39" s="22" t="s">
        <x:v>108</x:v>
      </x:c>
      <x:c r="C39" s="22" t="s">
        <x:v>108</x:v>
      </x:c>
      <x:c r="D39" s="25"/>
      <x:c r="E39" s="25"/>
      <x:c r="F39" s="25"/>
      <x:c r="G39" s="25"/>
      <x:c r="H39" s="25"/>
      <x:c r="I39" s="25"/>
      <x:c r="J39" s="25"/>
      <x:c r="K39" s="25"/>
      <x:c r="L39" s="25"/>
    </x:row>
    <x:row r="40" ht="50" customHeight="1"/>
    <x:row r="41" ht="50" customHeight="1">
      <x:c r="A41" s="24" t="s">
        <x:v>109</x:v>
      </x:c>
      <x:c r="B41" s="24" t="s">
        <x:v>109</x:v>
      </x:c>
      <x:c r="C41" s="24" t="s">
        <x:v>109</x:v>
      </x:c>
      <x:c r="D41" s="24" t="s">
        <x:v>109</x:v>
      </x:c>
      <x:c r="E41" s="24" t="s">
        <x:v>109</x:v>
      </x:c>
      <x:c r="F41" s="24" t="s">
        <x:v>109</x:v>
      </x:c>
      <x:c r="G41" s="24" t="s">
        <x:v>109</x:v>
      </x:c>
      <x:c r="H41" s="24" t="s">
        <x:v>109</x:v>
      </x:c>
      <x:c r="I41" s="24" t="s">
        <x:v>109</x:v>
      </x:c>
      <x:c r="J41" s="24" t="s">
        <x:v>109</x:v>
      </x:c>
      <x:c r="K41" s="24" t="s">
        <x:v>109</x:v>
      </x:c>
      <x:c r="L41" s="24" t="s">
        <x:v>109</x:v>
      </x:c>
    </x:row>
    <x:row r="42" ht="26" customHeight="1">
      <x:c r="A42" s="22" t="s">
        <x:v>5</x:v>
      </x:c>
      <x:c r="B42" s="29" t="str">
        <x:f>IF(COUNTIF(技术_平仓意图汇总!$A$2:$A$11,$B$4)=0,"",INDEX(技术_平仓意图汇总!$A$2:$L$11,MATCH($B$4,技术_平仓意图汇总!$A$2:$A$11,0),MATCH("限价减仓或平仓委托尝试总数",技术_平仓意图汇总!$A$1:$L$1,0)))</x:f>
        <x:v>16</x:v>
      </x:c>
      <x:c r="C42" s="40"/>
      <x:c r="D42" s="41" t="s">
        <x:v>110</x:v>
      </x:c>
      <x:c r="E42" s="40" t="str">
        <x:f>IF(COUNTIF(技术_平仓意图汇总!$A$2:$A$11,$B$4)=0,"",INDEX(技术_平仓意图汇总!$A$2:$L$11,MATCH($B$4,技术_平仓意图汇总!$A$2:$A$11,0),MATCH("普通限价平仓尝试数",技术_平仓意图汇总!$A$1:$L$1,0)))</x:f>
        <x:v>16</x:v>
      </x:c>
      <x:c r="F42" s="40"/>
      <x:c r="G42" s="41" t="s">
        <x:v>111</x:v>
      </x:c>
      <x:c r="H42" s="40" t="str">
        <x:f>IF(COUNTIF(技术_平仓意图汇总!$A$2:$A$11,$B$4)=0,"",INDEX(技术_平仓意图汇总!$A$2:$L$11,MATCH($B$4,技术_平仓意图汇总!$A$2:$A$11,0),MATCH("条件触发生成限价平仓尝试数",技术_平仓意图汇总!$A$1:$L$1,0)))</x:f>
        <x:v>0</x:v>
      </x:c>
      <x:c r="I42" s="40"/>
      <x:c r="J42" s="41" t="s">
        <x:v>9</x:v>
      </x:c>
      <x:c r="K42" s="40" t="str">
        <x:f>IF(COUNTIF(技术_平仓意图汇总!$A$2:$A$11,$B$4)=0,"",INDEX(技术_平仓意图汇总!$A$2:$L$11,MATCH($B$4,技术_平仓意图汇总!$A$2:$A$11,0),MATCH("最终限价平仓数",技术_平仓意图汇总!$A$1:$L$1,0)))</x:f>
        <x:v>0</x:v>
      </x:c>
      <x:c r="L42" s="40"/>
    </x:row>
    <x:row r="43" ht="26" customHeight="1">
      <x:c r="A43" s="22" t="s">
        <x:v>6</x:v>
      </x:c>
      <x:c r="B43" s="29" t="str">
        <x:f>IF(COUNTIF(技术_平仓意图汇总!$A$2:$A$11,$B$4)=0,"",INDEX(技术_平仓意图汇总!$A$2:$L$11,MATCH($B$4,技术_平仓意图汇总!$A$2:$A$11,0),MATCH("未成交限价平仓取消数",技术_平仓意图汇总!$A$1:$L$1,0)))</x:f>
        <x:v>13</x:v>
      </x:c>
      <x:c r="C43" s="40"/>
      <x:c r="D43" s="41" t="s">
        <x:v>7</x:v>
      </x:c>
      <x:c r="E43" s="40" t="str">
        <x:f>IF(COUNTIF(技术_平仓意图汇总!$A$2:$A$11,$B$4)=0,"",INDEX(技术_平仓意图汇总!$A$2:$L$11,MATCH($B$4,技术_平仓意图汇总!$A$2:$A$11,0),MATCH("未成交限价平仓过期数",技术_平仓意图汇总!$A$1:$L$1,0)))</x:f>
        <x:v>2</x:v>
      </x:c>
      <x:c r="F43" s="40"/>
      <x:c r="G43" s="41" t="s">
        <x:v>104</x:v>
      </x:c>
      <x:c r="H43" s="40" t="str">
        <x:f>IF(COUNTIF(技术_平仓意图汇总!$A$2:$A$11,$B$4)=0,"",INDEX(技术_平仓意图汇总!$A$2:$L$11,MATCH($B$4,技术_平仓意图汇总!$A$2:$A$11,0),MATCH("限价平仓部分成交后撤余数",技术_平仓意图汇总!$A$1:$L$1,0)))</x:f>
        <x:v>0</x:v>
      </x:c>
      <x:c r="I43" s="40"/>
      <x:c r="J43" s="41" t="s">
        <x:v>8</x:v>
      </x:c>
      <x:c r="K43" s="40" t="str">
        <x:f>IF(COUNTIF(技术_平仓意图汇总!$A$2:$A$11,$B$4)=0,"",INDEX(技术_平仓意图汇总!$A$2:$L$11,MATCH($B$4,技术_平仓意图汇总!$A$2:$A$11,0),MATCH("实际限价部分减仓数",技术_平仓意图汇总!$A$1:$L$1,0)))</x:f>
        <x:v>1</x:v>
      </x:c>
      <x:c r="L43" s="40"/>
    </x:row>
    <x:row r="44" ht="34" customHeight="1">
      <x:c r="A44" s="22" t="s">
        <x:v>112</x:v>
      </x:c>
      <x:c r="B44" s="22" t="s">
        <x:v>112</x:v>
      </x:c>
      <x:c r="C44" s="22" t="s">
        <x:v>112</x:v>
      </x:c>
      <x:c r="D44" s="25" t="str">
        <x:f>IFERROR(INDEX(技术_平仓意图汇总!$A$2:$L$11,MATCH($B$4,技术_平仓意图汇总!$A$2:$A$11,0),MATCH("最终真实出场方式",技术_平仓意图汇总!$A$1:$L$1,0))&amp;CHAR(10)&amp;INDEX(技术_平仓意图汇总!$A$2:$L$11,MATCH($B$4,技术_平仓意图汇总!$A$2:$A$11,0),MATCH("用户摘要",技术_平仓意图汇总!$A$1:$L$1,0)),"")</x:f>
        <x:v>条件止损触发平仓
持仓期间挂出限价减仓或平仓委托16次，其中13次未成交取消，2次未成交过期，1次实际限价部分减仓，最终真实出场方式为条件止损触发平仓。</x:v>
      </x:c>
      <x:c r="E44" s="25"/>
      <x:c r="F44" s="25"/>
      <x:c r="G44" s="25"/>
      <x:c r="H44" s="25"/>
      <x:c r="I44" s="25"/>
      <x:c r="J44" s="25"/>
      <x:c r="K44" s="25"/>
      <x:c r="L44" s="25"/>
    </x:row>
    <x:row r="45" ht="34" customHeight="1">
      <x:c r="A45" s="22" t="s">
        <x:v>112</x:v>
      </x:c>
      <x:c r="B45" s="22" t="s">
        <x:v>112</x:v>
      </x:c>
      <x:c r="C45" s="22" t="s">
        <x:v>112</x:v>
      </x:c>
      <x:c r="D45" s="25"/>
      <x:c r="E45" s="25"/>
      <x:c r="F45" s="25"/>
      <x:c r="G45" s="25"/>
      <x:c r="H45" s="25"/>
      <x:c r="I45" s="25"/>
      <x:c r="J45" s="25"/>
      <x:c r="K45" s="25"/>
      <x:c r="L45" s="25"/>
    </x:row>
    <x:row r="46" ht="50" customHeight="1">
      <x:c r="A46" s="8" t="s">
        <x:v>113</x:v>
      </x:c>
      <x:c r="B46" s="8" t="s">
        <x:v>113</x:v>
      </x:c>
      <x:c r="C46" s="8" t="s">
        <x:v>114</x:v>
      </x:c>
      <x:c r="D46" s="8" t="s">
        <x:v>115</x:v>
      </x:c>
      <x:c r="E46" s="8" t="s">
        <x:v>115</x:v>
      </x:c>
      <x:c r="F46" s="8" t="s">
        <x:v>116</x:v>
      </x:c>
      <x:c r="G46" s="8" t="s">
        <x:v>117</x:v>
      </x:c>
      <x:c r="H46" s="8" t="s">
        <x:v>118</x:v>
      </x:c>
      <x:c r="I46" s="8" t="s">
        <x:v>119</x:v>
      </x:c>
      <x:c r="J46" s="8" t="s">
        <x:v>119</x:v>
      </x:c>
      <x:c r="K46" s="8" t="s">
        <x:v>120</x:v>
      </x:c>
      <x:c r="L46" s="8" t="s">
        <x:v>120</x:v>
      </x:c>
    </x:row>
    <x:row r="47" ht="34" customHeight="1">
      <x:c r="A47" s="32" t="str">
        <x:f>IFERROR(IF(INDEX(技术_限价平仓明细!$A$2:$FA$41,MATCH($B$4,技术_限价平仓明细!$AC$2:$AC$41,0),MATCH("1|委托时间",技术_限价平仓明细!$A$1:$FA$1,0))="§无记录§","",INDEX(技术_限价平仓明细!$A$2:$FA$41,MATCH($B$4,技术_限价平仓明细!$AC$2:$AC$41,0),MATCH("1|委托时间",技术_限价平仓明细!$A$1:$FA$1,0))),"")</x:f>
        <x:v>2026-06-02 19:37:24</x:v>
      </x:c>
      <x:c r="B47" s="32"/>
      <x:c r="C47" s="31" t="str">
        <x:f>IFERROR(IF(INDEX(技术_限价平仓明细!$A$2:$FA$41,MATCH($B$4,技术_限价平仓明细!$AC$2:$AC$41,0),MATCH("1|中文意图",技术_限价平仓明细!$A$1:$FA$1,0))="§无记录§","",INDEX(技术_限价平仓明细!$A$2:$FA$41,MATCH($B$4,技术_限价平仓明细!$AC$2:$AC$41,0),MATCH("1|中文意图",技术_限价平仓明细!$A$1:$FA$1,0))),"")</x:f>
        <x:v>限价减多或平多尝试</x:v>
      </x:c>
      <x:c r="D47" s="33" t="n">
        <x:f>IFERROR(IF(INDEX(技术_限价平仓明细!$A$2:$FA$41,MATCH($B$4,技术_限价平仓明细!$AC$2:$AC$41,0),MATCH("1|委托价格",技术_限价平仓明细!$A$1:$FA$1,0))="§无记录§","",INDEX(技术_限价平仓明细!$A$2:$FA$41,MATCH($B$4,技术_限价平仓明细!$AC$2:$AC$41,0),MATCH("1|委托价格",技术_限价平仓明细!$A$1:$FA$1,0))),"")</x:f>
        <x:v>69598</x:v>
      </x:c>
      <x:c r="E47" s="33"/>
      <x:c r="F47" s="33" t="n">
        <x:f>IFERROR(IF(INDEX(技术_限价平仓明细!$A$2:$FA$41,MATCH($B$4,技术_限价平仓明细!$AC$2:$AC$41,0),MATCH("1|委托数量",技术_限价平仓明细!$A$1:$FA$1,0))="§无记录§","",INDEX(技术_限价平仓明细!$A$2:$FA$41,MATCH($B$4,技术_限价平仓明细!$AC$2:$AC$41,0),MATCH("1|委托数量",技术_限价平仓明细!$A$1:$FA$1,0))),"")</x:f>
        <x:v>4</x:v>
      </x:c>
      <x:c r="G47" s="33" t="n">
        <x:f>IFERROR(IF(INDEX(技术_限价平仓明细!$A$2:$FA$41,MATCH($B$4,技术_限价平仓明细!$AC$2:$AC$41,0),MATCH("1|实际成交数量",技术_限价平仓明细!$A$1:$FA$1,0))="§无记录§","",INDEX(技术_限价平仓明细!$A$2:$FA$41,MATCH($B$4,技术_限价平仓明细!$AC$2:$AC$41,0),MATCH("1|实际成交数量",技术_限价平仓明细!$A$1:$FA$1,0))),"")</x:f>
        <x:v>0</x:v>
      </x:c>
      <x:c r="H47" s="31" t="str">
        <x:f>IFERROR(IF(INDEX(技术_限价平仓明细!$A$2:$FA$41,MATCH($B$4,技术_限价平仓明细!$AC$2:$AC$41,0),MATCH("1|最终状态",技术_限价平仓明细!$A$1:$FA$1,0))="§无记录§","",INDEX(技术_限价平仓明细!$A$2:$FA$41,MATCH($B$4,技术_限价平仓明细!$AC$2:$AC$41,0),MATCH("1|最终状态",技术_限价平仓明细!$A$1:$FA$1,0))),"")</x:f>
        <x:v>已取消</x:v>
      </x:c>
      <x:c r="I47" s="31" t="str">
        <x:f>IFERROR(IF(INDEX(技术_限价平仓明细!$A$2:$FA$41,MATCH($B$4,技术_限价平仓明细!$AC$2:$AC$41,0),MATCH("1|仓位变化",技术_限价平仓明细!$A$1:$FA$1,0))="§无记录§","",INDEX(技术_限价平仓明细!$A$2:$FA$41,MATCH($B$4,技术_限价平仓明细!$AC$2:$AC$41,0),MATCH("1|仓位变化",技术_限价平仓明细!$A$1:$FA$1,0))),"")</x:f>
        <x:v>4 → 4</x:v>
      </x:c>
      <x:c r="J47" s="31"/>
      <x:c r="K47" s="46" t="str">
        <x:f>IFERROR(IF(INDEX(技术_限价平仓明细!$A$2:$FA$41,MATCH($B$4,技术_限价平仓明细!$AC$2:$AC$41,0),MATCH("1|中文事实说明",技术_限价平仓明细!$A$1:$FA$1,0))="§无记录§","",INDEX(技术_限价平仓明细!$A$2:$FA$41,MATCH($B$4,技术_限价平仓明细!$AC$2:$AC$41,0),MATCH("1|中文事实说明",技术_限价平仓明细!$A$1:$FA$1,0))),"")</x:f>
        <x:v>限价委托已挂出但成交数量为0，随后取消；仓位保持4。</x:v>
      </x:c>
      <x:c r="L47" s="46"/>
    </x:row>
    <x:row r="48" ht="34" customHeight="1">
      <x:c r="A48" s="36" t="str">
        <x:f>IFERROR(IF(INDEX(技术_限价平仓明细!$A$2:$FA$41,MATCH($B$4,技术_限价平仓明细!$AC$2:$AC$41,0),MATCH("2|委托时间",技术_限价平仓明细!$A$1:$FA$1,0))="§无记录§","",INDEX(技术_限价平仓明细!$A$2:$FA$41,MATCH($B$4,技术_限价平仓明细!$AC$2:$AC$41,0),MATCH("2|委托时间",技术_限价平仓明细!$A$1:$FA$1,0))),"")</x:f>
        <x:v>2026-06-02 19:49:25</x:v>
      </x:c>
      <x:c r="B48" s="36"/>
      <x:c r="C48" s="35" t="str">
        <x:f>IFERROR(IF(INDEX(技术_限价平仓明细!$A$2:$FA$41,MATCH($B$4,技术_限价平仓明细!$AC$2:$AC$41,0),MATCH("2|中文意图",技术_限价平仓明细!$A$1:$FA$1,0))="§无记录§","",INDEX(技术_限价平仓明细!$A$2:$FA$41,MATCH($B$4,技术_限价平仓明细!$AC$2:$AC$41,0),MATCH("2|中文意图",技术_限价平仓明细!$A$1:$FA$1,0))),"")</x:f>
        <x:v>限价减多或平多尝试</x:v>
      </x:c>
      <x:c r="D48" s="37" t="n">
        <x:f>IFERROR(IF(INDEX(技术_限价平仓明细!$A$2:$FA$41,MATCH($B$4,技术_限价平仓明细!$AC$2:$AC$41,0),MATCH("2|委托价格",技术_限价平仓明细!$A$1:$FA$1,0))="§无记录§","",INDEX(技术_限价平仓明细!$A$2:$FA$41,MATCH($B$4,技术_限价平仓明细!$AC$2:$AC$41,0),MATCH("2|委托价格",技术_限价平仓明细!$A$1:$FA$1,0))),"")</x:f>
        <x:v>69598</x:v>
      </x:c>
      <x:c r="E48" s="37"/>
      <x:c r="F48" s="37" t="n">
        <x:f>IFERROR(IF(INDEX(技术_限价平仓明细!$A$2:$FA$41,MATCH($B$4,技术_限价平仓明细!$AC$2:$AC$41,0),MATCH("2|委托数量",技术_限价平仓明细!$A$1:$FA$1,0))="§无记录§","",INDEX(技术_限价平仓明细!$A$2:$FA$41,MATCH($B$4,技术_限价平仓明细!$AC$2:$AC$41,0),MATCH("2|委托数量",技术_限价平仓明细!$A$1:$FA$1,0))),"")</x:f>
        <x:v>4</x:v>
      </x:c>
      <x:c r="G48" s="37" t="n">
        <x:f>IFERROR(IF(INDEX(技术_限价平仓明细!$A$2:$FA$41,MATCH($B$4,技术_限价平仓明细!$AC$2:$AC$41,0),MATCH("2|实际成交数量",技术_限价平仓明细!$A$1:$FA$1,0))="§无记录§","",INDEX(技术_限价平仓明细!$A$2:$FA$41,MATCH($B$4,技术_限价平仓明细!$AC$2:$AC$41,0),MATCH("2|实际成交数量",技术_限价平仓明细!$A$1:$FA$1,0))),"")</x:f>
        <x:v>0</x:v>
      </x:c>
      <x:c r="H48" s="35" t="str">
        <x:f>IFERROR(IF(INDEX(技术_限价平仓明细!$A$2:$FA$41,MATCH($B$4,技术_限价平仓明细!$AC$2:$AC$41,0),MATCH("2|最终状态",技术_限价平仓明细!$A$1:$FA$1,0))="§无记录§","",INDEX(技术_限价平仓明细!$A$2:$FA$41,MATCH($B$4,技术_限价平仓明细!$AC$2:$AC$41,0),MATCH("2|最终状态",技术_限价平仓明细!$A$1:$FA$1,0))),"")</x:f>
        <x:v>已取消</x:v>
      </x:c>
      <x:c r="I48" s="35" t="str">
        <x:f>IFERROR(IF(INDEX(技术_限价平仓明细!$A$2:$FA$41,MATCH($B$4,技术_限价平仓明细!$AC$2:$AC$41,0),MATCH("2|仓位变化",技术_限价平仓明细!$A$1:$FA$1,0))="§无记录§","",INDEX(技术_限价平仓明细!$A$2:$FA$41,MATCH($B$4,技术_限价平仓明细!$AC$2:$AC$41,0),MATCH("2|仓位变化",技术_限价平仓明细!$A$1:$FA$1,0))),"")</x:f>
        <x:v>4 → 4</x:v>
      </x:c>
      <x:c r="J48" s="35"/>
      <x:c r="K48" s="47" t="str">
        <x:f>IFERROR(IF(INDEX(技术_限价平仓明细!$A$2:$FA$41,MATCH($B$4,技术_限价平仓明细!$AC$2:$AC$41,0),MATCH("2|中文事实说明",技术_限价平仓明细!$A$1:$FA$1,0))="§无记录§","",INDEX(技术_限价平仓明细!$A$2:$FA$41,MATCH($B$4,技术_限价平仓明细!$AC$2:$AC$41,0),MATCH("2|中文事实说明",技术_限价平仓明细!$A$1:$FA$1,0))),"")</x:f>
        <x:v>限价委托已挂出但成交数量为0，随后取消；仓位保持4。</x:v>
      </x:c>
      <x:c r="L48" s="47"/>
    </x:row>
    <x:row r="49" ht="34" customHeight="1">
      <x:c r="A49" s="32" t="str">
        <x:f>IFERROR(IF(INDEX(技术_限价平仓明细!$A$2:$FA$41,MATCH($B$4,技术_限价平仓明细!$AC$2:$AC$41,0),MATCH("3|委托时间",技术_限价平仓明细!$A$1:$FA$1,0))="§无记录§","",INDEX(技术_限价平仓明细!$A$2:$FA$41,MATCH($B$4,技术_限价平仓明细!$AC$2:$AC$41,0),MATCH("3|委托时间",技术_限价平仓明细!$A$1:$FA$1,0))),"")</x:f>
        <x:v>2026-06-02 20:09:14</x:v>
      </x:c>
      <x:c r="B49" s="32"/>
      <x:c r="C49" s="31" t="str">
        <x:f>IFERROR(IF(INDEX(技术_限价平仓明细!$A$2:$FA$41,MATCH($B$4,技术_限价平仓明细!$AC$2:$AC$41,0),MATCH("3|中文意图",技术_限价平仓明细!$A$1:$FA$1,0))="§无记录§","",INDEX(技术_限价平仓明细!$A$2:$FA$41,MATCH($B$4,技术_限价平仓明细!$AC$2:$AC$41,0),MATCH("3|中文意图",技术_限价平仓明细!$A$1:$FA$1,0))),"")</x:f>
        <x:v>限价减多或平多尝试</x:v>
      </x:c>
      <x:c r="D49" s="33" t="n">
        <x:f>IFERROR(IF(INDEX(技术_限价平仓明细!$A$2:$FA$41,MATCH($B$4,技术_限价平仓明细!$AC$2:$AC$41,0),MATCH("3|委托价格",技术_限价平仓明细!$A$1:$FA$1,0))="§无记录§","",INDEX(技术_限价平仓明细!$A$2:$FA$41,MATCH($B$4,技术_限价平仓明细!$AC$2:$AC$41,0),MATCH("3|委托价格",技术_限价平仓明细!$A$1:$FA$1,0))),"")</x:f>
        <x:v>69698</x:v>
      </x:c>
      <x:c r="E49" s="33"/>
      <x:c r="F49" s="33" t="n">
        <x:f>IFERROR(IF(INDEX(技术_限价平仓明细!$A$2:$FA$41,MATCH($B$4,技术_限价平仓明细!$AC$2:$AC$41,0),MATCH("3|委托数量",技术_限价平仓明细!$A$1:$FA$1,0))="§无记录§","",INDEX(技术_限价平仓明细!$A$2:$FA$41,MATCH($B$4,技术_限价平仓明细!$AC$2:$AC$41,0),MATCH("3|委托数量",技术_限价平仓明细!$A$1:$FA$1,0))),"")</x:f>
        <x:v>4</x:v>
      </x:c>
      <x:c r="G49" s="33" t="n">
        <x:f>IFERROR(IF(INDEX(技术_限价平仓明细!$A$2:$FA$41,MATCH($B$4,技术_限价平仓明细!$AC$2:$AC$41,0),MATCH("3|实际成交数量",技术_限价平仓明细!$A$1:$FA$1,0))="§无记录§","",INDEX(技术_限价平仓明细!$A$2:$FA$41,MATCH($B$4,技术_限价平仓明细!$AC$2:$AC$41,0),MATCH("3|实际成交数量",技术_限价平仓明细!$A$1:$FA$1,0))),"")</x:f>
        <x:v>0</x:v>
      </x:c>
      <x:c r="H49" s="31" t="str">
        <x:f>IFERROR(IF(INDEX(技术_限价平仓明细!$A$2:$FA$41,MATCH($B$4,技术_限价平仓明细!$AC$2:$AC$41,0),MATCH("3|最终状态",技术_限价平仓明细!$A$1:$FA$1,0))="§无记录§","",INDEX(技术_限价平仓明细!$A$2:$FA$41,MATCH($B$4,技术_限价平仓明细!$AC$2:$AC$41,0),MATCH("3|最终状态",技术_限价平仓明细!$A$1:$FA$1,0))),"")</x:f>
        <x:v>已取消</x:v>
      </x:c>
      <x:c r="I49" s="31" t="str">
        <x:f>IFERROR(IF(INDEX(技术_限价平仓明细!$A$2:$FA$41,MATCH($B$4,技术_限价平仓明细!$AC$2:$AC$41,0),MATCH("3|仓位变化",技术_限价平仓明细!$A$1:$FA$1,0))="§无记录§","",INDEX(技术_限价平仓明细!$A$2:$FA$41,MATCH($B$4,技术_限价平仓明细!$AC$2:$AC$41,0),MATCH("3|仓位变化",技术_限价平仓明细!$A$1:$FA$1,0))),"")</x:f>
        <x:v>4 → 4</x:v>
      </x:c>
      <x:c r="J49" s="31"/>
      <x:c r="K49" s="46" t="str">
        <x:f>IFERROR(IF(INDEX(技术_限价平仓明细!$A$2:$FA$41,MATCH($B$4,技术_限价平仓明细!$AC$2:$AC$41,0),MATCH("3|中文事实说明",技术_限价平仓明细!$A$1:$FA$1,0))="§无记录§","",INDEX(技术_限价平仓明细!$A$2:$FA$41,MATCH($B$4,技术_限价平仓明细!$AC$2:$AC$41,0),MATCH("3|中文事实说明",技术_限价平仓明细!$A$1:$FA$1,0))),"")</x:f>
        <x:v>限价委托已挂出但成交数量为0，随后取消；仓位保持4。</x:v>
      </x:c>
      <x:c r="L49" s="46"/>
    </x:row>
    <x:row r="50" ht="34" customHeight="1">
      <x:c r="A50" s="36" t="str">
        <x:f>IFERROR(IF(INDEX(技术_限价平仓明细!$A$2:$FA$41,MATCH($B$4,技术_限价平仓明细!$AC$2:$AC$41,0),MATCH("4|委托时间",技术_限价平仓明细!$A$1:$FA$1,0))="§无记录§","",INDEX(技术_限价平仓明细!$A$2:$FA$41,MATCH($B$4,技术_限价平仓明细!$AC$2:$AC$41,0),MATCH("4|委托时间",技术_限价平仓明细!$A$1:$FA$1,0))),"")</x:f>
        <x:v>2026-06-02 20:12:53</x:v>
      </x:c>
      <x:c r="B50" s="36"/>
      <x:c r="C50" s="35" t="str">
        <x:f>IFERROR(IF(INDEX(技术_限价平仓明细!$A$2:$FA$41,MATCH($B$4,技术_限价平仓明细!$AC$2:$AC$41,0),MATCH("4|中文意图",技术_限价平仓明细!$A$1:$FA$1,0))="§无记录§","",INDEX(技术_限价平仓明细!$A$2:$FA$41,MATCH($B$4,技术_限价平仓明细!$AC$2:$AC$41,0),MATCH("4|中文意图",技术_限价平仓明细!$A$1:$FA$1,0))),"")</x:f>
        <x:v>限价减多或平多尝试</x:v>
      </x:c>
      <x:c r="D50" s="37" t="n">
        <x:f>IFERROR(IF(INDEX(技术_限价平仓明细!$A$2:$FA$41,MATCH($B$4,技术_限价平仓明细!$AC$2:$AC$41,0),MATCH("4|委托价格",技术_限价平仓明细!$A$1:$FA$1,0))="§无记录§","",INDEX(技术_限价平仓明细!$A$2:$FA$41,MATCH($B$4,技术_限价平仓明细!$AC$2:$AC$41,0),MATCH("4|委托价格",技术_限价平仓明细!$A$1:$FA$1,0))),"")</x:f>
        <x:v>69598</x:v>
      </x:c>
      <x:c r="E50" s="37"/>
      <x:c r="F50" s="37" t="n">
        <x:f>IFERROR(IF(INDEX(技术_限价平仓明细!$A$2:$FA$41,MATCH($B$4,技术_限价平仓明细!$AC$2:$AC$41,0),MATCH("4|委托数量",技术_限价平仓明细!$A$1:$FA$1,0))="§无记录§","",INDEX(技术_限价平仓明细!$A$2:$FA$41,MATCH($B$4,技术_限价平仓明细!$AC$2:$AC$41,0),MATCH("4|委托数量",技术_限价平仓明细!$A$1:$FA$1,0))),"")</x:f>
        <x:v>4</x:v>
      </x:c>
      <x:c r="G50" s="37" t="n">
        <x:f>IFERROR(IF(INDEX(技术_限价平仓明细!$A$2:$FA$41,MATCH($B$4,技术_限价平仓明细!$AC$2:$AC$41,0),MATCH("4|实际成交数量",技术_限价平仓明细!$A$1:$FA$1,0))="§无记录§","",INDEX(技术_限价平仓明细!$A$2:$FA$41,MATCH($B$4,技术_限价平仓明细!$AC$2:$AC$41,0),MATCH("4|实际成交数量",技术_限价平仓明细!$A$1:$FA$1,0))),"")</x:f>
        <x:v>0</x:v>
      </x:c>
      <x:c r="H50" s="35" t="str">
        <x:f>IFERROR(IF(INDEX(技术_限价平仓明细!$A$2:$FA$41,MATCH($B$4,技术_限价平仓明细!$AC$2:$AC$41,0),MATCH("4|最终状态",技术_限价平仓明细!$A$1:$FA$1,0))="§无记录§","",INDEX(技术_限价平仓明细!$A$2:$FA$41,MATCH($B$4,技术_限价平仓明细!$AC$2:$AC$41,0),MATCH("4|最终状态",技术_限价平仓明细!$A$1:$FA$1,0))),"")</x:f>
        <x:v>已过期</x:v>
      </x:c>
      <x:c r="I50" s="35" t="str">
        <x:f>IFERROR(IF(INDEX(技术_限价平仓明细!$A$2:$FA$41,MATCH($B$4,技术_限价平仓明细!$AC$2:$AC$41,0),MATCH("4|仓位变化",技术_限价平仓明细!$A$1:$FA$1,0))="§无记录§","",INDEX(技术_限价平仓明细!$A$2:$FA$41,MATCH($B$4,技术_限价平仓明细!$AC$2:$AC$41,0),MATCH("4|仓位变化",技术_限价平仓明细!$A$1:$FA$1,0))),"")</x:f>
        <x:v>4 → 4</x:v>
      </x:c>
      <x:c r="J50" s="35"/>
      <x:c r="K50" s="47" t="str">
        <x:f>IFERROR(IF(INDEX(技术_限价平仓明细!$A$2:$FA$41,MATCH($B$4,技术_限价平仓明细!$AC$2:$AC$41,0),MATCH("4|中文事实说明",技术_限价平仓明细!$A$1:$FA$1,0))="§无记录§","",INDEX(技术_限价平仓明细!$A$2:$FA$41,MATCH($B$4,技术_限价平仓明细!$AC$2:$AC$41,0),MATCH("4|中文事实说明",技术_限价平仓明细!$A$1:$FA$1,0))),"")</x:f>
        <x:v>限价委托已挂出但成交数量为0，随后过期；仓位保持4。</x:v>
      </x:c>
      <x:c r="L50" s="47"/>
    </x:row>
    <x:row r="51" ht="34" customHeight="1">
      <x:c r="A51" s="32" t="str">
        <x:f>IFERROR(IF(INDEX(技术_限价平仓明细!$A$2:$FA$41,MATCH($B$4,技术_限价平仓明细!$AC$2:$AC$41,0),MATCH("5|委托时间",技术_限价平仓明细!$A$1:$FA$1,0))="§无记录§","",INDEX(技术_限价平仓明细!$A$2:$FA$41,MATCH($B$4,技术_限价平仓明细!$AC$2:$AC$41,0),MATCH("5|委托时间",技术_限价平仓明细!$A$1:$FA$1,0))),"")</x:f>
        <x:v>2026-06-02 22:08:47</x:v>
      </x:c>
      <x:c r="B51" s="32"/>
      <x:c r="C51" s="31" t="str">
        <x:f>IFERROR(IF(INDEX(技术_限价平仓明细!$A$2:$FA$41,MATCH($B$4,技术_限价平仓明细!$AC$2:$AC$41,0),MATCH("5|中文意图",技术_限价平仓明细!$A$1:$FA$1,0))="§无记录§","",INDEX(技术_限价平仓明细!$A$2:$FA$41,MATCH($B$4,技术_限价平仓明细!$AC$2:$AC$41,0),MATCH("5|中文意图",技术_限价平仓明细!$A$1:$FA$1,0))),"")</x:f>
        <x:v>限价减多或平多尝试</x:v>
      </x:c>
      <x:c r="D51" s="33" t="n">
        <x:f>IFERROR(IF(INDEX(技术_限价平仓明细!$A$2:$FA$41,MATCH($B$4,技术_限价平仓明细!$AC$2:$AC$41,0),MATCH("5|委托价格",技术_限价平仓明细!$A$1:$FA$1,0))="§无记录§","",INDEX(技术_限价平仓明细!$A$2:$FA$41,MATCH($B$4,技术_限价平仓明细!$AC$2:$AC$41,0),MATCH("5|委托价格",技术_限价平仓明细!$A$1:$FA$1,0))),"")</x:f>
        <x:v>68922</x:v>
      </x:c>
      <x:c r="E51" s="33"/>
      <x:c r="F51" s="33" t="n">
        <x:f>IFERROR(IF(INDEX(技术_限价平仓明细!$A$2:$FA$41,MATCH($B$4,技术_限价平仓明细!$AC$2:$AC$41,0),MATCH("5|委托数量",技术_限价平仓明细!$A$1:$FA$1,0))="§无记录§","",INDEX(技术_限价平仓明细!$A$2:$FA$41,MATCH($B$4,技术_限价平仓明细!$AC$2:$AC$41,0),MATCH("5|委托数量",技术_限价平仓明细!$A$1:$FA$1,0))),"")</x:f>
        <x:v>9</x:v>
      </x:c>
      <x:c r="G51" s="33" t="n">
        <x:f>IFERROR(IF(INDEX(技术_限价平仓明细!$A$2:$FA$41,MATCH($B$4,技术_限价平仓明细!$AC$2:$AC$41,0),MATCH("5|实际成交数量",技术_限价平仓明细!$A$1:$FA$1,0))="§无记录§","",INDEX(技术_限价平仓明细!$A$2:$FA$41,MATCH($B$4,技术_限价平仓明细!$AC$2:$AC$41,0),MATCH("5|实际成交数量",技术_限价平仓明细!$A$1:$FA$1,0))),"")</x:f>
        <x:v>0</x:v>
      </x:c>
      <x:c r="H51" s="31" t="str">
        <x:f>IFERROR(IF(INDEX(技术_限价平仓明细!$A$2:$FA$41,MATCH($B$4,技术_限价平仓明细!$AC$2:$AC$41,0),MATCH("5|最终状态",技术_限价平仓明细!$A$1:$FA$1,0))="§无记录§","",INDEX(技术_限价平仓明细!$A$2:$FA$41,MATCH($B$4,技术_限价平仓明细!$AC$2:$AC$41,0),MATCH("5|最终状态",技术_限价平仓明细!$A$1:$FA$1,0))),"")</x:f>
        <x:v>已取消</x:v>
      </x:c>
      <x:c r="I51" s="31" t="str">
        <x:f>IFERROR(IF(INDEX(技术_限价平仓明细!$A$2:$FA$41,MATCH($B$4,技术_限价平仓明细!$AC$2:$AC$41,0),MATCH("5|仓位变化",技术_限价平仓明细!$A$1:$FA$1,0))="§无记录§","",INDEX(技术_限价平仓明细!$A$2:$FA$41,MATCH($B$4,技术_限价平仓明细!$AC$2:$AC$41,0),MATCH("5|仓位变化",技术_限价平仓明细!$A$1:$FA$1,0))),"")</x:f>
        <x:v>9 → 9</x:v>
      </x:c>
      <x:c r="J51" s="31"/>
      <x:c r="K51" s="46" t="str">
        <x:f>IFERROR(IF(INDEX(技术_限价平仓明细!$A$2:$FA$41,MATCH($B$4,技术_限价平仓明细!$AC$2:$AC$41,0),MATCH("5|中文事实说明",技术_限价平仓明细!$A$1:$FA$1,0))="§无记录§","",INDEX(技术_限价平仓明细!$A$2:$FA$41,MATCH($B$4,技术_限价平仓明细!$AC$2:$AC$41,0),MATCH("5|中文事实说明",技术_限价平仓明细!$A$1:$FA$1,0))),"")</x:f>
        <x:v>限价委托已挂出但成交数量为0，随后取消；仓位保持9。</x:v>
      </x:c>
      <x:c r="L51" s="46"/>
    </x:row>
    <x:row r="52" ht="34" customHeight="1">
      <x:c r="A52" s="36" t="str">
        <x:f>IFERROR(IF(INDEX(技术_限价平仓明细!$A$2:$FA$41,MATCH($B$4,技术_限价平仓明细!$AC$2:$AC$41,0),MATCH("6|委托时间",技术_限价平仓明细!$A$1:$FA$1,0))="§无记录§","",INDEX(技术_限价平仓明细!$A$2:$FA$41,MATCH($B$4,技术_限价平仓明细!$AC$2:$AC$41,0),MATCH("6|委托时间",技术_限价平仓明细!$A$1:$FA$1,0))),"")</x:f>
        <x:v>2026-06-02 22:25:58</x:v>
      </x:c>
      <x:c r="B52" s="36"/>
      <x:c r="C52" s="35" t="str">
        <x:f>IFERROR(IF(INDEX(技术_限价平仓明细!$A$2:$FA$41,MATCH($B$4,技术_限价平仓明细!$AC$2:$AC$41,0),MATCH("6|中文意图",技术_限价平仓明细!$A$1:$FA$1,0))="§无记录§","",INDEX(技术_限价平仓明细!$A$2:$FA$41,MATCH($B$4,技术_限价平仓明细!$AC$2:$AC$41,0),MATCH("6|中文意图",技术_限价平仓明细!$A$1:$FA$1,0))),"")</x:f>
        <x:v>限价减多或平多尝试</x:v>
      </x:c>
      <x:c r="D52" s="37" t="n">
        <x:f>IFERROR(IF(INDEX(技术_限价平仓明细!$A$2:$FA$41,MATCH($B$4,技术_限价平仓明细!$AC$2:$AC$41,0),MATCH("6|委托价格",技术_限价平仓明细!$A$1:$FA$1,0))="§无记录§","",INDEX(技术_限价平仓明细!$A$2:$FA$41,MATCH($B$4,技术_限价平仓明细!$AC$2:$AC$41,0),MATCH("6|委托价格",技术_限价平仓明细!$A$1:$FA$1,0))),"")</x:f>
        <x:v>68000</x:v>
      </x:c>
      <x:c r="E52" s="37"/>
      <x:c r="F52" s="37" t="n">
        <x:f>IFERROR(IF(INDEX(技术_限价平仓明细!$A$2:$FA$41,MATCH($B$4,技术_限价平仓明细!$AC$2:$AC$41,0),MATCH("6|委托数量",技术_限价平仓明细!$A$1:$FA$1,0))="§无记录§","",INDEX(技术_限价平仓明细!$A$2:$FA$41,MATCH($B$4,技术_限价平仓明细!$AC$2:$AC$41,0),MATCH("6|委托数量",技术_限价平仓明细!$A$1:$FA$1,0))),"")</x:f>
        <x:v>4</x:v>
      </x:c>
      <x:c r="G52" s="37" t="n">
        <x:f>IFERROR(IF(INDEX(技术_限价平仓明细!$A$2:$FA$41,MATCH($B$4,技术_限价平仓明细!$AC$2:$AC$41,0),MATCH("6|实际成交数量",技术_限价平仓明细!$A$1:$FA$1,0))="§无记录§","",INDEX(技术_限价平仓明细!$A$2:$FA$41,MATCH($B$4,技术_限价平仓明细!$AC$2:$AC$41,0),MATCH("6|实际成交数量",技术_限价平仓明细!$A$1:$FA$1,0))),"")</x:f>
        <x:v>4</x:v>
      </x:c>
      <x:c r="H52" s="35" t="str">
        <x:f>IFERROR(IF(INDEX(技术_限价平仓明细!$A$2:$FA$41,MATCH($B$4,技术_限价平仓明细!$AC$2:$AC$41,0),MATCH("6|最终状态",技术_限价平仓明细!$A$1:$FA$1,0))="§无记录§","",INDEX(技术_限价平仓明细!$A$2:$FA$41,MATCH($B$4,技术_限价平仓明细!$AC$2:$AC$41,0),MATCH("6|最终状态",技术_限价平仓明细!$A$1:$FA$1,0))),"")</x:f>
        <x:v>完全成交</x:v>
      </x:c>
      <x:c r="I52" s="35" t="str">
        <x:f>IFERROR(IF(INDEX(技术_限价平仓明细!$A$2:$FA$41,MATCH($B$4,技术_限价平仓明细!$AC$2:$AC$41,0),MATCH("6|仓位变化",技术_限价平仓明细!$A$1:$FA$1,0))="§无记录§","",INDEX(技术_限价平仓明细!$A$2:$FA$41,MATCH($B$4,技术_限价平仓明细!$AC$2:$AC$41,0),MATCH("6|仓位变化",技术_限价平仓明细!$A$1:$FA$1,0))),"")</x:f>
        <x:v>9 → 5</x:v>
      </x:c>
      <x:c r="J52" s="35"/>
      <x:c r="K52" s="47" t="str">
        <x:f>IFERROR(IF(INDEX(技术_限价平仓明细!$A$2:$FA$41,MATCH($B$4,技术_限价平仓明细!$AC$2:$AC$41,0),MATCH("6|中文事实说明",技术_限价平仓明细!$A$1:$FA$1,0))="§无记录§","",INDEX(技术_限价平仓明细!$A$2:$FA$41,MATCH($B$4,技术_限价平仓明细!$AC$2:$AC$41,0),MATCH("6|中文事实说明",技术_限价平仓明细!$A$1:$FA$1,0))),"")</x:f>
        <x:v>限价委托实际成交4，仓位由9降至5，构成实际限价部分减仓。</x:v>
      </x:c>
      <x:c r="L52" s="47"/>
    </x:row>
    <x:row r="53" ht="34" customHeight="1">
      <x:c r="A53" s="32" t="str">
        <x:f>IFERROR(IF(INDEX(技术_限价平仓明细!$A$2:$FA$41,MATCH($B$4,技术_限价平仓明细!$AC$2:$AC$41,0),MATCH("7|委托时间",技术_限价平仓明细!$A$1:$FA$1,0))="§无记录§","",INDEX(技术_限价平仓明细!$A$2:$FA$41,MATCH($B$4,技术_限价平仓明细!$AC$2:$AC$41,0),MATCH("7|委托时间",技术_限价平仓明细!$A$1:$FA$1,0))),"")</x:f>
        <x:v>2026-06-02 22:38:42</x:v>
      </x:c>
      <x:c r="B53" s="32"/>
      <x:c r="C53" s="31" t="str">
        <x:f>IFERROR(IF(INDEX(技术_限价平仓明细!$A$2:$FA$41,MATCH($B$4,技术_限价平仓明细!$AC$2:$AC$41,0),MATCH("7|中文意图",技术_限价平仓明细!$A$1:$FA$1,0))="§无记录§","",INDEX(技术_限价平仓明细!$A$2:$FA$41,MATCH($B$4,技术_限价平仓明细!$AC$2:$AC$41,0),MATCH("7|中文意图",技术_限价平仓明细!$A$1:$FA$1,0))),"")</x:f>
        <x:v>限价减多或平多尝试</x:v>
      </x:c>
      <x:c r="D53" s="33" t="n">
        <x:f>IFERROR(IF(INDEX(技术_限价平仓明细!$A$2:$FA$41,MATCH($B$4,技术_限价平仓明细!$AC$2:$AC$41,0),MATCH("7|委托价格",技术_限价平仓明细!$A$1:$FA$1,0))="§无记录§","",INDEX(技术_限价平仓明细!$A$2:$FA$41,MATCH($B$4,技术_限价平仓明细!$AC$2:$AC$41,0),MATCH("7|委托价格",技术_限价平仓明细!$A$1:$FA$1,0))),"")</x:f>
        <x:v>70200</x:v>
      </x:c>
      <x:c r="E53" s="33"/>
      <x:c r="F53" s="33" t="n">
        <x:f>IFERROR(IF(INDEX(技术_限价平仓明细!$A$2:$FA$41,MATCH($B$4,技术_限价平仓明细!$AC$2:$AC$41,0),MATCH("7|委托数量",技术_限价平仓明细!$A$1:$FA$1,0))="§无记录§","",INDEX(技术_限价平仓明细!$A$2:$FA$41,MATCH($B$4,技术_限价平仓明细!$AC$2:$AC$41,0),MATCH("7|委托数量",技术_限价平仓明细!$A$1:$FA$1,0))),"")</x:f>
        <x:v>5</x:v>
      </x:c>
      <x:c r="G53" s="33" t="n">
        <x:f>IFERROR(IF(INDEX(技术_限价平仓明细!$A$2:$FA$41,MATCH($B$4,技术_限价平仓明细!$AC$2:$AC$41,0),MATCH("7|实际成交数量",技术_限价平仓明细!$A$1:$FA$1,0))="§无记录§","",INDEX(技术_限价平仓明细!$A$2:$FA$41,MATCH($B$4,技术_限价平仓明细!$AC$2:$AC$41,0),MATCH("7|实际成交数量",技术_限价平仓明细!$A$1:$FA$1,0))),"")</x:f>
        <x:v>0</x:v>
      </x:c>
      <x:c r="H53" s="31" t="str">
        <x:f>IFERROR(IF(INDEX(技术_限价平仓明细!$A$2:$FA$41,MATCH($B$4,技术_限价平仓明细!$AC$2:$AC$41,0),MATCH("7|最终状态",技术_限价平仓明细!$A$1:$FA$1,0))="§无记录§","",INDEX(技术_限价平仓明细!$A$2:$FA$41,MATCH($B$4,技术_限价平仓明细!$AC$2:$AC$41,0),MATCH("7|最终状态",技术_限价平仓明细!$A$1:$FA$1,0))),"")</x:f>
        <x:v>已取消</x:v>
      </x:c>
      <x:c r="I53" s="31" t="str">
        <x:f>IFERROR(IF(INDEX(技术_限价平仓明细!$A$2:$FA$41,MATCH($B$4,技术_限价平仓明细!$AC$2:$AC$41,0),MATCH("7|仓位变化",技术_限价平仓明细!$A$1:$FA$1,0))="§无记录§","",INDEX(技术_限价平仓明细!$A$2:$FA$41,MATCH($B$4,技术_限价平仓明细!$AC$2:$AC$41,0),MATCH("7|仓位变化",技术_限价平仓明细!$A$1:$FA$1,0))),"")</x:f>
        <x:v>5 → 5</x:v>
      </x:c>
      <x:c r="J53" s="31"/>
      <x:c r="K53" s="46" t="str">
        <x:f>IFERROR(IF(INDEX(技术_限价平仓明细!$A$2:$FA$41,MATCH($B$4,技术_限价平仓明细!$AC$2:$AC$41,0),MATCH("7|中文事实说明",技术_限价平仓明细!$A$1:$FA$1,0))="§无记录§","",INDEX(技术_限价平仓明细!$A$2:$FA$41,MATCH($B$4,技术_限价平仓明细!$AC$2:$AC$41,0),MATCH("7|中文事实说明",技术_限价平仓明细!$A$1:$FA$1,0))),"")</x:f>
        <x:v>限价委托已挂出但成交数量为0，随后取消；仓位保持5。</x:v>
      </x:c>
      <x:c r="L53" s="46"/>
    </x:row>
    <x:row r="54" ht="34" customHeight="1">
      <x:c r="A54" s="36" t="str">
        <x:f>IFERROR(IF(INDEX(技术_限价平仓明细!$A$2:$FA$41,MATCH($B$4,技术_限价平仓明细!$AC$2:$AC$41,0),MATCH("8|委托时间",技术_限价平仓明细!$A$1:$FA$1,0))="§无记录§","",INDEX(技术_限价平仓明细!$A$2:$FA$41,MATCH($B$4,技术_限价平仓明细!$AC$2:$AC$41,0),MATCH("8|委托时间",技术_限价平仓明细!$A$1:$FA$1,0))),"")</x:f>
        <x:v>2026-06-02 22:47:51</x:v>
      </x:c>
      <x:c r="B54" s="36"/>
      <x:c r="C54" s="35" t="str">
        <x:f>IFERROR(IF(INDEX(技术_限价平仓明细!$A$2:$FA$41,MATCH($B$4,技术_限价平仓明细!$AC$2:$AC$41,0),MATCH("8|中文意图",技术_限价平仓明细!$A$1:$FA$1,0))="§无记录§","",INDEX(技术_限价平仓明细!$A$2:$FA$41,MATCH($B$4,技术_限价平仓明细!$AC$2:$AC$41,0),MATCH("8|中文意图",技术_限价平仓明细!$A$1:$FA$1,0))),"")</x:f>
        <x:v>限价减多或平多尝试</x:v>
      </x:c>
      <x:c r="D54" s="37" t="n">
        <x:f>IFERROR(IF(INDEX(技术_限价平仓明细!$A$2:$FA$41,MATCH($B$4,技术_限价平仓明细!$AC$2:$AC$41,0),MATCH("8|委托价格",技术_限价平仓明细!$A$1:$FA$1,0))="§无记录§","",INDEX(技术_限价平仓明细!$A$2:$FA$41,MATCH($B$4,技术_限价平仓明细!$AC$2:$AC$41,0),MATCH("8|委托价格",技术_限价平仓明细!$A$1:$FA$1,0))),"")</x:f>
        <x:v>69080</x:v>
      </x:c>
      <x:c r="E54" s="37"/>
      <x:c r="F54" s="37" t="n">
        <x:f>IFERROR(IF(INDEX(技术_限价平仓明细!$A$2:$FA$41,MATCH($B$4,技术_限价平仓明细!$AC$2:$AC$41,0),MATCH("8|委托数量",技术_限价平仓明细!$A$1:$FA$1,0))="§无记录§","",INDEX(技术_限价平仓明细!$A$2:$FA$41,MATCH($B$4,技术_限价平仓明细!$AC$2:$AC$41,0),MATCH("8|委托数量",技术_限价平仓明细!$A$1:$FA$1,0))),"")</x:f>
        <x:v>5</x:v>
      </x:c>
      <x:c r="G54" s="37" t="n">
        <x:f>IFERROR(IF(INDEX(技术_限价平仓明细!$A$2:$FA$41,MATCH($B$4,技术_限价平仓明细!$AC$2:$AC$41,0),MATCH("8|实际成交数量",技术_限价平仓明细!$A$1:$FA$1,0))="§无记录§","",INDEX(技术_限价平仓明细!$A$2:$FA$41,MATCH($B$4,技术_限价平仓明细!$AC$2:$AC$41,0),MATCH("8|实际成交数量",技术_限价平仓明细!$A$1:$FA$1,0))),"")</x:f>
        <x:v>0</x:v>
      </x:c>
      <x:c r="H54" s="35" t="str">
        <x:f>IFERROR(IF(INDEX(技术_限价平仓明细!$A$2:$FA$41,MATCH($B$4,技术_限价平仓明细!$AC$2:$AC$41,0),MATCH("8|最终状态",技术_限价平仓明细!$A$1:$FA$1,0))="§无记录§","",INDEX(技术_限价平仓明细!$A$2:$FA$41,MATCH($B$4,技术_限价平仓明细!$AC$2:$AC$41,0),MATCH("8|最终状态",技术_限价平仓明细!$A$1:$FA$1,0))),"")</x:f>
        <x:v>已取消</x:v>
      </x:c>
      <x:c r="I54" s="35" t="str">
        <x:f>IFERROR(IF(INDEX(技术_限价平仓明细!$A$2:$FA$41,MATCH($B$4,技术_限价平仓明细!$AC$2:$AC$41,0),MATCH("8|仓位变化",技术_限价平仓明细!$A$1:$FA$1,0))="§无记录§","",INDEX(技术_限价平仓明细!$A$2:$FA$41,MATCH($B$4,技术_限价平仓明细!$AC$2:$AC$41,0),MATCH("8|仓位变化",技术_限价平仓明细!$A$1:$FA$1,0))),"")</x:f>
        <x:v>5 → 5</x:v>
      </x:c>
      <x:c r="J54" s="35"/>
      <x:c r="K54" s="47" t="str">
        <x:f>IFERROR(IF(INDEX(技术_限价平仓明细!$A$2:$FA$41,MATCH($B$4,技术_限价平仓明细!$AC$2:$AC$41,0),MATCH("8|中文事实说明",技术_限价平仓明细!$A$1:$FA$1,0))="§无记录§","",INDEX(技术_限价平仓明细!$A$2:$FA$41,MATCH($B$4,技术_限价平仓明细!$AC$2:$AC$41,0),MATCH("8|中文事实说明",技术_限价平仓明细!$A$1:$FA$1,0))),"")</x:f>
        <x:v>限价委托已挂出但成交数量为0，随后取消；仓位保持5。</x:v>
      </x:c>
      <x:c r="L54" s="47"/>
    </x:row>
    <x:row r="55" ht="34" customHeight="1">
      <x:c r="A55" s="32" t="str">
        <x:f>IFERROR(IF(INDEX(技术_限价平仓明细!$A$2:$FA$41,MATCH($B$4,技术_限价平仓明细!$AC$2:$AC$41,0),MATCH("9|委托时间",技术_限价平仓明细!$A$1:$FA$1,0))="§无记录§","",INDEX(技术_限价平仓明细!$A$2:$FA$41,MATCH($B$4,技术_限价平仓明细!$AC$2:$AC$41,0),MATCH("9|委托时间",技术_限价平仓明细!$A$1:$FA$1,0))),"")</x:f>
        <x:v>2026-06-03 00:49:12</x:v>
      </x:c>
      <x:c r="B55" s="32"/>
      <x:c r="C55" s="31" t="str">
        <x:f>IFERROR(IF(INDEX(技术_限价平仓明细!$A$2:$FA$41,MATCH($B$4,技术_限价平仓明细!$AC$2:$AC$41,0),MATCH("9|中文意图",技术_限价平仓明细!$A$1:$FA$1,0))="§无记录§","",INDEX(技术_限价平仓明细!$A$2:$FA$41,MATCH($B$4,技术_限价平仓明细!$AC$2:$AC$41,0),MATCH("9|中文意图",技术_限价平仓明细!$A$1:$FA$1,0))),"")</x:f>
        <x:v>限价减多或平多尝试</x:v>
      </x:c>
      <x:c r="D55" s="33" t="n">
        <x:f>IFERROR(IF(INDEX(技术_限价平仓明细!$A$2:$FA$41,MATCH($B$4,技术_限价平仓明细!$AC$2:$AC$41,0),MATCH("9|委托价格",技术_限价平仓明细!$A$1:$FA$1,0))="§无记录§","",INDEX(技术_限价平仓明细!$A$2:$FA$41,MATCH($B$4,技术_限价平仓明细!$AC$2:$AC$41,0),MATCH("9|委托价格",技术_限价平仓明细!$A$1:$FA$1,0))),"")</x:f>
        <x:v>68577</x:v>
      </x:c>
      <x:c r="E55" s="33"/>
      <x:c r="F55" s="33" t="n">
        <x:f>IFERROR(IF(INDEX(技术_限价平仓明细!$A$2:$FA$41,MATCH($B$4,技术_限价平仓明细!$AC$2:$AC$41,0),MATCH("9|委托数量",技术_限价平仓明细!$A$1:$FA$1,0))="§无记录§","",INDEX(技术_限价平仓明细!$A$2:$FA$41,MATCH($B$4,技术_限价平仓明细!$AC$2:$AC$41,0),MATCH("9|委托数量",技术_限价平仓明细!$A$1:$FA$1,0))),"")</x:f>
        <x:v>7</x:v>
      </x:c>
      <x:c r="G55" s="33" t="n">
        <x:f>IFERROR(IF(INDEX(技术_限价平仓明细!$A$2:$FA$41,MATCH($B$4,技术_限价平仓明细!$AC$2:$AC$41,0),MATCH("9|实际成交数量",技术_限价平仓明细!$A$1:$FA$1,0))="§无记录§","",INDEX(技术_限价平仓明细!$A$2:$FA$41,MATCH($B$4,技术_限价平仓明细!$AC$2:$AC$41,0),MATCH("9|实际成交数量",技术_限价平仓明细!$A$1:$FA$1,0))),"")</x:f>
        <x:v>0</x:v>
      </x:c>
      <x:c r="H55" s="31" t="str">
        <x:f>IFERROR(IF(INDEX(技术_限价平仓明细!$A$2:$FA$41,MATCH($B$4,技术_限价平仓明细!$AC$2:$AC$41,0),MATCH("9|最终状态",技术_限价平仓明细!$A$1:$FA$1,0))="§无记录§","",INDEX(技术_限价平仓明细!$A$2:$FA$41,MATCH($B$4,技术_限价平仓明细!$AC$2:$AC$41,0),MATCH("9|最终状态",技术_限价平仓明细!$A$1:$FA$1,0))),"")</x:f>
        <x:v>已取消</x:v>
      </x:c>
      <x:c r="I55" s="31" t="str">
        <x:f>IFERROR(IF(INDEX(技术_限价平仓明细!$A$2:$FA$41,MATCH($B$4,技术_限价平仓明细!$AC$2:$AC$41,0),MATCH("9|仓位变化",技术_限价平仓明细!$A$1:$FA$1,0))="§无记录§","",INDEX(技术_限价平仓明细!$A$2:$FA$41,MATCH($B$4,技术_限价平仓明细!$AC$2:$AC$41,0),MATCH("9|仓位变化",技术_限价平仓明细!$A$1:$FA$1,0))),"")</x:f>
        <x:v>7 → 7</x:v>
      </x:c>
      <x:c r="J55" s="31"/>
      <x:c r="K55" s="46" t="str">
        <x:f>IFERROR(IF(INDEX(技术_限价平仓明细!$A$2:$FA$41,MATCH($B$4,技术_限价平仓明细!$AC$2:$AC$41,0),MATCH("9|中文事实说明",技术_限价平仓明细!$A$1:$FA$1,0))="§无记录§","",INDEX(技术_限价平仓明细!$A$2:$FA$41,MATCH($B$4,技术_限价平仓明细!$AC$2:$AC$41,0),MATCH("9|中文事实说明",技术_限价平仓明细!$A$1:$FA$1,0))),"")</x:f>
        <x:v>限价委托已挂出但成交数量为0，随后取消；仓位保持7。</x:v>
      </x:c>
      <x:c r="L55" s="46"/>
    </x:row>
    <x:row r="56" ht="34" customHeight="1">
      <x:c r="A56" s="36" t="str">
        <x:f>IFERROR(IF(INDEX(技术_限价平仓明细!$A$2:$FA$41,MATCH($B$4,技术_限价平仓明细!$AC$2:$AC$41,0),MATCH("10|委托时间",技术_限价平仓明细!$A$1:$FA$1,0))="§无记录§","",INDEX(技术_限价平仓明细!$A$2:$FA$41,MATCH($B$4,技术_限价平仓明细!$AC$2:$AC$41,0),MATCH("10|委托时间",技术_限价平仓明细!$A$1:$FA$1,0))),"")</x:f>
        <x:v>2026-06-03 00:50:02</x:v>
      </x:c>
      <x:c r="B56" s="36"/>
      <x:c r="C56" s="35" t="str">
        <x:f>IFERROR(IF(INDEX(技术_限价平仓明细!$A$2:$FA$41,MATCH($B$4,技术_限价平仓明细!$AC$2:$AC$41,0),MATCH("10|中文意图",技术_限价平仓明细!$A$1:$FA$1,0))="§无记录§","",INDEX(技术_限价平仓明细!$A$2:$FA$41,MATCH($B$4,技术_限价平仓明细!$AC$2:$AC$41,0),MATCH("10|中文意图",技术_限价平仓明细!$A$1:$FA$1,0))),"")</x:f>
        <x:v>限价减多或平多尝试</x:v>
      </x:c>
      <x:c r="D56" s="37" t="n">
        <x:f>IFERROR(IF(INDEX(技术_限价平仓明细!$A$2:$FA$41,MATCH($B$4,技术_限价平仓明细!$AC$2:$AC$41,0),MATCH("10|委托价格",技术_限价平仓明细!$A$1:$FA$1,0))="§无记录§","",INDEX(技术_限价平仓明细!$A$2:$FA$41,MATCH($B$4,技术_限价平仓明细!$AC$2:$AC$41,0),MATCH("10|委托价格",技术_限价平仓明细!$A$1:$FA$1,0))),"")</x:f>
        <x:v>68659</x:v>
      </x:c>
      <x:c r="E56" s="37"/>
      <x:c r="F56" s="37" t="n">
        <x:f>IFERROR(IF(INDEX(技术_限价平仓明细!$A$2:$FA$41,MATCH($B$4,技术_限价平仓明细!$AC$2:$AC$41,0),MATCH("10|委托数量",技术_限价平仓明细!$A$1:$FA$1,0))="§无记录§","",INDEX(技术_限价平仓明细!$A$2:$FA$41,MATCH($B$4,技术_限价平仓明细!$AC$2:$AC$41,0),MATCH("10|委托数量",技术_限价平仓明细!$A$1:$FA$1,0))),"")</x:f>
        <x:v>7</x:v>
      </x:c>
      <x:c r="G56" s="37" t="n">
        <x:f>IFERROR(IF(INDEX(技术_限价平仓明细!$A$2:$FA$41,MATCH($B$4,技术_限价平仓明细!$AC$2:$AC$41,0),MATCH("10|实际成交数量",技术_限价平仓明细!$A$1:$FA$1,0))="§无记录§","",INDEX(技术_限价平仓明细!$A$2:$FA$41,MATCH($B$4,技术_限价平仓明细!$AC$2:$AC$41,0),MATCH("10|实际成交数量",技术_限价平仓明细!$A$1:$FA$1,0))),"")</x:f>
        <x:v>0</x:v>
      </x:c>
      <x:c r="H56" s="35" t="str">
        <x:f>IFERROR(IF(INDEX(技术_限价平仓明细!$A$2:$FA$41,MATCH($B$4,技术_限价平仓明细!$AC$2:$AC$41,0),MATCH("10|最终状态",技术_限价平仓明细!$A$1:$FA$1,0))="§无记录§","",INDEX(技术_限价平仓明细!$A$2:$FA$41,MATCH($B$4,技术_限价平仓明细!$AC$2:$AC$41,0),MATCH("10|最终状态",技术_限价平仓明细!$A$1:$FA$1,0))),"")</x:f>
        <x:v>已取消</x:v>
      </x:c>
      <x:c r="I56" s="35" t="str">
        <x:f>IFERROR(IF(INDEX(技术_限价平仓明细!$A$2:$FA$41,MATCH($B$4,技术_限价平仓明细!$AC$2:$AC$41,0),MATCH("10|仓位变化",技术_限价平仓明细!$A$1:$FA$1,0))="§无记录§","",INDEX(技术_限价平仓明细!$A$2:$FA$41,MATCH($B$4,技术_限价平仓明细!$AC$2:$AC$41,0),MATCH("10|仓位变化",技术_限价平仓明细!$A$1:$FA$1,0))),"")</x:f>
        <x:v>7 → 7</x:v>
      </x:c>
      <x:c r="J56" s="35"/>
      <x:c r="K56" s="47" t="str">
        <x:f>IFERROR(IF(INDEX(技术_限价平仓明细!$A$2:$FA$41,MATCH($B$4,技术_限价平仓明细!$AC$2:$AC$41,0),MATCH("10|中文事实说明",技术_限价平仓明细!$A$1:$FA$1,0))="§无记录§","",INDEX(技术_限价平仓明细!$A$2:$FA$41,MATCH($B$4,技术_限价平仓明细!$AC$2:$AC$41,0),MATCH("10|中文事实说明",技术_限价平仓明细!$A$1:$FA$1,0))),"")</x:f>
        <x:v>限价委托已挂出但成交数量为0，随后取消；仓位保持7。</x:v>
      </x:c>
      <x:c r="L56" s="47"/>
    </x:row>
    <x:row r="57" ht="34" customHeight="1">
      <x:c r="A57" s="32" t="str">
        <x:f>IFERROR(IF(INDEX(技术_限价平仓明细!$A$2:$FA$41,MATCH($B$4,技术_限价平仓明细!$AC$2:$AC$41,0),MATCH("11|委托时间",技术_限价平仓明细!$A$1:$FA$1,0))="§无记录§","",INDEX(技术_限价平仓明细!$A$2:$FA$41,MATCH($B$4,技术_限价平仓明细!$AC$2:$AC$41,0),MATCH("11|委托时间",技术_限价平仓明细!$A$1:$FA$1,0))),"")</x:f>
        <x:v>2026-06-03 00:56:34</x:v>
      </x:c>
      <x:c r="B57" s="32"/>
      <x:c r="C57" s="31" t="str">
        <x:f>IFERROR(IF(INDEX(技术_限价平仓明细!$A$2:$FA$41,MATCH($B$4,技术_限价平仓明细!$AC$2:$AC$41,0),MATCH("11|中文意图",技术_限价平仓明细!$A$1:$FA$1,0))="§无记录§","",INDEX(技术_限价平仓明细!$A$2:$FA$41,MATCH($B$4,技术_限价平仓明细!$AC$2:$AC$41,0),MATCH("11|中文意图",技术_限价平仓明细!$A$1:$FA$1,0))),"")</x:f>
        <x:v>限价减多或平多尝试</x:v>
      </x:c>
      <x:c r="D57" s="33" t="n">
        <x:f>IFERROR(IF(INDEX(技术_限价平仓明细!$A$2:$FA$41,MATCH($B$4,技术_限价平仓明细!$AC$2:$AC$41,0),MATCH("11|委托价格",技术_限价平仓明细!$A$1:$FA$1,0))="§无记录§","",INDEX(技术_限价平仓明细!$A$2:$FA$41,MATCH($B$4,技术_限价平仓明细!$AC$2:$AC$41,0),MATCH("11|委托价格",技术_限价平仓明细!$A$1:$FA$1,0))),"")</x:f>
        <x:v>68000</x:v>
      </x:c>
      <x:c r="E57" s="33"/>
      <x:c r="F57" s="33" t="n">
        <x:f>IFERROR(IF(INDEX(技术_限价平仓明细!$A$2:$FA$41,MATCH($B$4,技术_限价平仓明细!$AC$2:$AC$41,0),MATCH("11|委托数量",技术_限价平仓明细!$A$1:$FA$1,0))="§无记录§","",INDEX(技术_限价平仓明细!$A$2:$FA$41,MATCH($B$4,技术_限价平仓明细!$AC$2:$AC$41,0),MATCH("11|委托数量",技术_限价平仓明细!$A$1:$FA$1,0))),"")</x:f>
        <x:v>10</x:v>
      </x:c>
      <x:c r="G57" s="33" t="n">
        <x:f>IFERROR(IF(INDEX(技术_限价平仓明细!$A$2:$FA$41,MATCH($B$4,技术_限价平仓明细!$AC$2:$AC$41,0),MATCH("11|实际成交数量",技术_限价平仓明细!$A$1:$FA$1,0))="§无记录§","",INDEX(技术_限价平仓明细!$A$2:$FA$41,MATCH($B$4,技术_限价平仓明细!$AC$2:$AC$41,0),MATCH("11|实际成交数量",技术_限价平仓明细!$A$1:$FA$1,0))),"")</x:f>
        <x:v>0</x:v>
      </x:c>
      <x:c r="H57" s="31" t="str">
        <x:f>IFERROR(IF(INDEX(技术_限价平仓明细!$A$2:$FA$41,MATCH($B$4,技术_限价平仓明细!$AC$2:$AC$41,0),MATCH("11|最终状态",技术_限价平仓明细!$A$1:$FA$1,0))="§无记录§","",INDEX(技术_限价平仓明细!$A$2:$FA$41,MATCH($B$4,技术_限价平仓明细!$AC$2:$AC$41,0),MATCH("11|最终状态",技术_限价平仓明细!$A$1:$FA$1,0))),"")</x:f>
        <x:v>已取消</x:v>
      </x:c>
      <x:c r="I57" s="31" t="str">
        <x:f>IFERROR(IF(INDEX(技术_限价平仓明细!$A$2:$FA$41,MATCH($B$4,技术_限价平仓明细!$AC$2:$AC$41,0),MATCH("11|仓位变化",技术_限价平仓明细!$A$1:$FA$1,0))="§无记录§","",INDEX(技术_限价平仓明细!$A$2:$FA$41,MATCH($B$4,技术_限价平仓明细!$AC$2:$AC$41,0),MATCH("11|仓位变化",技术_限价平仓明细!$A$1:$FA$1,0))),"")</x:f>
        <x:v>12 → 12</x:v>
      </x:c>
      <x:c r="J57" s="31"/>
      <x:c r="K57" s="46" t="str">
        <x:f>IFERROR(IF(INDEX(技术_限价平仓明细!$A$2:$FA$41,MATCH($B$4,技术_限价平仓明细!$AC$2:$AC$41,0),MATCH("11|中文事实说明",技术_限价平仓明细!$A$1:$FA$1,0))="§无记录§","",INDEX(技术_限价平仓明细!$A$2:$FA$41,MATCH($B$4,技术_限价平仓明细!$AC$2:$AC$41,0),MATCH("11|中文事实说明",技术_限价平仓明细!$A$1:$FA$1,0))),"")</x:f>
        <x:v>限价委托已挂出但成交数量为0，随后取消；仓位保持12。</x:v>
      </x:c>
      <x:c r="L57" s="46"/>
    </x:row>
    <x:row r="58" ht="34" customHeight="1">
      <x:c r="A58" s="36" t="str">
        <x:f>IFERROR(IF(INDEX(技术_限价平仓明细!$A$2:$FA$41,MATCH($B$4,技术_限价平仓明细!$AC$2:$AC$41,0),MATCH("12|委托时间",技术_限价平仓明细!$A$1:$FA$1,0))="§无记录§","",INDEX(技术_限价平仓明细!$A$2:$FA$41,MATCH($B$4,技术_限价平仓明细!$AC$2:$AC$41,0),MATCH("12|委托时间",技术_限价平仓明细!$A$1:$FA$1,0))),"")</x:f>
        <x:v>2026-06-03 01:02:08</x:v>
      </x:c>
      <x:c r="B58" s="36"/>
      <x:c r="C58" s="35" t="str">
        <x:f>IFERROR(IF(INDEX(技术_限价平仓明细!$A$2:$FA$41,MATCH($B$4,技术_限价平仓明细!$AC$2:$AC$41,0),MATCH("12|中文意图",技术_限价平仓明细!$A$1:$FA$1,0))="§无记录§","",INDEX(技术_限价平仓明细!$A$2:$FA$41,MATCH($B$4,技术_限价平仓明细!$AC$2:$AC$41,0),MATCH("12|中文意图",技术_限价平仓明细!$A$1:$FA$1,0))),"")</x:f>
        <x:v>限价减多或平多尝试</x:v>
      </x:c>
      <x:c r="D58" s="37" t="n">
        <x:f>IFERROR(IF(INDEX(技术_限价平仓明细!$A$2:$FA$41,MATCH($B$4,技术_限价平仓明细!$AC$2:$AC$41,0),MATCH("12|委托价格",技术_限价平仓明细!$A$1:$FA$1,0))="§无记录§","",INDEX(技术_限价平仓明细!$A$2:$FA$41,MATCH($B$4,技术_限价平仓明细!$AC$2:$AC$41,0),MATCH("12|委托价格",技术_限价平仓明细!$A$1:$FA$1,0))),"")</x:f>
        <x:v>68148</x:v>
      </x:c>
      <x:c r="E58" s="37"/>
      <x:c r="F58" s="37" t="n">
        <x:f>IFERROR(IF(INDEX(技术_限价平仓明细!$A$2:$FA$41,MATCH($B$4,技术_限价平仓明细!$AC$2:$AC$41,0),MATCH("12|委托数量",技术_限价平仓明细!$A$1:$FA$1,0))="§无记录§","",INDEX(技术_限价平仓明细!$A$2:$FA$41,MATCH($B$4,技术_限价平仓明细!$AC$2:$AC$41,0),MATCH("12|委托数量",技术_限价平仓明细!$A$1:$FA$1,0))),"")</x:f>
        <x:v>12</x:v>
      </x:c>
      <x:c r="G58" s="37" t="n">
        <x:f>IFERROR(IF(INDEX(技术_限价平仓明细!$A$2:$FA$41,MATCH($B$4,技术_限价平仓明细!$AC$2:$AC$41,0),MATCH("12|实际成交数量",技术_限价平仓明细!$A$1:$FA$1,0))="§无记录§","",INDEX(技术_限价平仓明细!$A$2:$FA$41,MATCH($B$4,技术_限价平仓明细!$AC$2:$AC$41,0),MATCH("12|实际成交数量",技术_限价平仓明细!$A$1:$FA$1,0))),"")</x:f>
        <x:v>0</x:v>
      </x:c>
      <x:c r="H58" s="35" t="str">
        <x:f>IFERROR(IF(INDEX(技术_限价平仓明细!$A$2:$FA$41,MATCH($B$4,技术_限价平仓明细!$AC$2:$AC$41,0),MATCH("12|最终状态",技术_限价平仓明细!$A$1:$FA$1,0))="§无记录§","",INDEX(技术_限价平仓明细!$A$2:$FA$41,MATCH($B$4,技术_限价平仓明细!$AC$2:$AC$41,0),MATCH("12|最终状态",技术_限价平仓明细!$A$1:$FA$1,0))),"")</x:f>
        <x:v>已取消</x:v>
      </x:c>
      <x:c r="I58" s="35" t="str">
        <x:f>IFERROR(IF(INDEX(技术_限价平仓明细!$A$2:$FA$41,MATCH($B$4,技术_限价平仓明细!$AC$2:$AC$41,0),MATCH("12|仓位变化",技术_限价平仓明细!$A$1:$FA$1,0))="§无记录§","",INDEX(技术_限价平仓明细!$A$2:$FA$41,MATCH($B$4,技术_限价平仓明细!$AC$2:$AC$41,0),MATCH("12|仓位变化",技术_限价平仓明细!$A$1:$FA$1,0))),"")</x:f>
        <x:v>12 → 12</x:v>
      </x:c>
      <x:c r="J58" s="35"/>
      <x:c r="K58" s="47" t="str">
        <x:f>IFERROR(IF(INDEX(技术_限价平仓明细!$A$2:$FA$41,MATCH($B$4,技术_限价平仓明细!$AC$2:$AC$41,0),MATCH("12|中文事实说明",技术_限价平仓明细!$A$1:$FA$1,0))="§无记录§","",INDEX(技术_限价平仓明细!$A$2:$FA$41,MATCH($B$4,技术_限价平仓明细!$AC$2:$AC$41,0),MATCH("12|中文事实说明",技术_限价平仓明细!$A$1:$FA$1,0))),"")</x:f>
        <x:v>限价委托已挂出但成交数量为0，随后取消；仓位保持12。</x:v>
      </x:c>
      <x:c r="L58" s="47"/>
    </x:row>
    <x:row r="59" ht="34" customHeight="1">
      <x:c r="A59" s="32" t="str">
        <x:f>IFERROR(IF(INDEX(技术_限价平仓明细!$A$2:$FA$41,MATCH($B$4,技术_限价平仓明细!$AC$2:$AC$41,0),MATCH("13|委托时间",技术_限价平仓明细!$A$1:$FA$1,0))="§无记录§","",INDEX(技术_限价平仓明细!$A$2:$FA$41,MATCH($B$4,技术_限价平仓明细!$AC$2:$AC$41,0),MATCH("13|委托时间",技术_限价平仓明细!$A$1:$FA$1,0))),"")</x:f>
        <x:v>2026-06-03 01:51:51</x:v>
      </x:c>
      <x:c r="B59" s="32"/>
      <x:c r="C59" s="31" t="str">
        <x:f>IFERROR(IF(INDEX(技术_限价平仓明细!$A$2:$FA$41,MATCH($B$4,技术_限价平仓明细!$AC$2:$AC$41,0),MATCH("13|中文意图",技术_限价平仓明细!$A$1:$FA$1,0))="§无记录§","",INDEX(技术_限价平仓明细!$A$2:$FA$41,MATCH($B$4,技术_限价平仓明细!$AC$2:$AC$41,0),MATCH("13|中文意图",技术_限价平仓明细!$A$1:$FA$1,0))),"")</x:f>
        <x:v>限价减多或平多尝试</x:v>
      </x:c>
      <x:c r="D59" s="33" t="n">
        <x:f>IFERROR(IF(INDEX(技术_限价平仓明细!$A$2:$FA$41,MATCH($B$4,技术_限价平仓明细!$AC$2:$AC$41,0),MATCH("13|委托价格",技术_限价平仓明细!$A$1:$FA$1,0))="§无记录§","",INDEX(技术_限价平仓明细!$A$2:$FA$41,MATCH($B$4,技术_限价平仓明细!$AC$2:$AC$41,0),MATCH("13|委托价格",技术_限价平仓明细!$A$1:$FA$1,0))),"")</x:f>
        <x:v>67921</x:v>
      </x:c>
      <x:c r="E59" s="33"/>
      <x:c r="F59" s="33" t="n">
        <x:f>IFERROR(IF(INDEX(技术_限价平仓明细!$A$2:$FA$41,MATCH($B$4,技术_限价平仓明细!$AC$2:$AC$41,0),MATCH("13|委托数量",技术_限价平仓明细!$A$1:$FA$1,0))="§无记录§","",INDEX(技术_限价平仓明细!$A$2:$FA$41,MATCH($B$4,技术_限价平仓明细!$AC$2:$AC$41,0),MATCH("13|委托数量",技术_限价平仓明细!$A$1:$FA$1,0))),"")</x:f>
        <x:v>17</x:v>
      </x:c>
      <x:c r="G59" s="33" t="n">
        <x:f>IFERROR(IF(INDEX(技术_限价平仓明细!$A$2:$FA$41,MATCH($B$4,技术_限价平仓明细!$AC$2:$AC$41,0),MATCH("13|实际成交数量",技术_限价平仓明细!$A$1:$FA$1,0))="§无记录§","",INDEX(技术_限价平仓明细!$A$2:$FA$41,MATCH($B$4,技术_限价平仓明细!$AC$2:$AC$41,0),MATCH("13|实际成交数量",技术_限价平仓明细!$A$1:$FA$1,0))),"")</x:f>
        <x:v>0</x:v>
      </x:c>
      <x:c r="H59" s="31" t="str">
        <x:f>IFERROR(IF(INDEX(技术_限价平仓明细!$A$2:$FA$41,MATCH($B$4,技术_限价平仓明细!$AC$2:$AC$41,0),MATCH("13|最终状态",技术_限价平仓明细!$A$1:$FA$1,0))="§无记录§","",INDEX(技术_限价平仓明细!$A$2:$FA$41,MATCH($B$4,技术_限价平仓明细!$AC$2:$AC$41,0),MATCH("13|最终状态",技术_限价平仓明细!$A$1:$FA$1,0))),"")</x:f>
        <x:v>已取消</x:v>
      </x:c>
      <x:c r="I59" s="31" t="str">
        <x:f>IFERROR(IF(INDEX(技术_限价平仓明细!$A$2:$FA$41,MATCH($B$4,技术_限价平仓明细!$AC$2:$AC$41,0),MATCH("13|仓位变化",技术_限价平仓明细!$A$1:$FA$1,0))="§无记录§","",INDEX(技术_限价平仓明细!$A$2:$FA$41,MATCH($B$4,技术_限价平仓明细!$AC$2:$AC$41,0),MATCH("13|仓位变化",技术_限价平仓明细!$A$1:$FA$1,0))),"")</x:f>
        <x:v>17 → 17</x:v>
      </x:c>
      <x:c r="J59" s="31"/>
      <x:c r="K59" s="46" t="str">
        <x:f>IFERROR(IF(INDEX(技术_限价平仓明细!$A$2:$FA$41,MATCH($B$4,技术_限价平仓明细!$AC$2:$AC$41,0),MATCH("13|中文事实说明",技术_限价平仓明细!$A$1:$FA$1,0))="§无记录§","",INDEX(技术_限价平仓明细!$A$2:$FA$41,MATCH($B$4,技术_限价平仓明细!$AC$2:$AC$41,0),MATCH("13|中文事实说明",技术_限价平仓明细!$A$1:$FA$1,0))),"")</x:f>
        <x:v>限价委托已挂出但成交数量为0，随后取消；仓位保持17。</x:v>
      </x:c>
      <x:c r="L59" s="46"/>
    </x:row>
    <x:row r="60" ht="34" customHeight="1">
      <x:c r="A60" s="36" t="str">
        <x:f>IFERROR(IF(INDEX(技术_限价平仓明细!$A$2:$FA$41,MATCH($B$4,技术_限价平仓明细!$AC$2:$AC$41,0),MATCH("14|委托时间",技术_限价平仓明细!$A$1:$FA$1,0))="§无记录§","",INDEX(技术_限价平仓明细!$A$2:$FA$41,MATCH($B$4,技术_限价平仓明细!$AC$2:$AC$41,0),MATCH("14|委托时间",技术_限价平仓明细!$A$1:$FA$1,0))),"")</x:f>
        <x:v>2026-06-03 01:54:27</x:v>
      </x:c>
      <x:c r="B60" s="36"/>
      <x:c r="C60" s="35" t="str">
        <x:f>IFERROR(IF(INDEX(技术_限价平仓明细!$A$2:$FA$41,MATCH($B$4,技术_限价平仓明细!$AC$2:$AC$41,0),MATCH("14|中文意图",技术_限价平仓明细!$A$1:$FA$1,0))="§无记录§","",INDEX(技术_限价平仓明细!$A$2:$FA$41,MATCH($B$4,技术_限价平仓明细!$AC$2:$AC$41,0),MATCH("14|中文意图",技术_限价平仓明细!$A$1:$FA$1,0))),"")</x:f>
        <x:v>限价减多或平多尝试</x:v>
      </x:c>
      <x:c r="D60" s="37" t="n">
        <x:f>IFERROR(IF(INDEX(技术_限价平仓明细!$A$2:$FA$41,MATCH($B$4,技术_限价平仓明细!$AC$2:$AC$41,0),MATCH("14|委托价格",技术_限价平仓明细!$A$1:$FA$1,0))="§无记录§","",INDEX(技术_限价平仓明细!$A$2:$FA$41,MATCH($B$4,技术_限价平仓明细!$AC$2:$AC$41,0),MATCH("14|委托价格",技术_限价平仓明细!$A$1:$FA$1,0))),"")</x:f>
        <x:v>68074</x:v>
      </x:c>
      <x:c r="E60" s="37"/>
      <x:c r="F60" s="37" t="n">
        <x:f>IFERROR(IF(INDEX(技术_限价平仓明细!$A$2:$FA$41,MATCH($B$4,技术_限价平仓明细!$AC$2:$AC$41,0),MATCH("14|委托数量",技术_限价平仓明细!$A$1:$FA$1,0))="§无记录§","",INDEX(技术_限价平仓明细!$A$2:$FA$41,MATCH($B$4,技术_限价平仓明细!$AC$2:$AC$41,0),MATCH("14|委托数量",技术_限价平仓明细!$A$1:$FA$1,0))),"")</x:f>
        <x:v>17</x:v>
      </x:c>
      <x:c r="G60" s="37" t="n">
        <x:f>IFERROR(IF(INDEX(技术_限价平仓明细!$A$2:$FA$41,MATCH($B$4,技术_限价平仓明细!$AC$2:$AC$41,0),MATCH("14|实际成交数量",技术_限价平仓明细!$A$1:$FA$1,0))="§无记录§","",INDEX(技术_限价平仓明细!$A$2:$FA$41,MATCH($B$4,技术_限价平仓明细!$AC$2:$AC$41,0),MATCH("14|实际成交数量",技术_限价平仓明细!$A$1:$FA$1,0))),"")</x:f>
        <x:v>0</x:v>
      </x:c>
      <x:c r="H60" s="35" t="str">
        <x:f>IFERROR(IF(INDEX(技术_限价平仓明细!$A$2:$FA$41,MATCH($B$4,技术_限价平仓明细!$AC$2:$AC$41,0),MATCH("14|最终状态",技术_限价平仓明细!$A$1:$FA$1,0))="§无记录§","",INDEX(技术_限价平仓明细!$A$2:$FA$41,MATCH($B$4,技术_限价平仓明细!$AC$2:$AC$41,0),MATCH("14|最终状态",技术_限价平仓明细!$A$1:$FA$1,0))),"")</x:f>
        <x:v>已取消</x:v>
      </x:c>
      <x:c r="I60" s="35" t="str">
        <x:f>IFERROR(IF(INDEX(技术_限价平仓明细!$A$2:$FA$41,MATCH($B$4,技术_限价平仓明细!$AC$2:$AC$41,0),MATCH("14|仓位变化",技术_限价平仓明细!$A$1:$FA$1,0))="§无记录§","",INDEX(技术_限价平仓明细!$A$2:$FA$41,MATCH($B$4,技术_限价平仓明细!$AC$2:$AC$41,0),MATCH("14|仓位变化",技术_限价平仓明细!$A$1:$FA$1,0))),"")</x:f>
        <x:v>17 → 17</x:v>
      </x:c>
      <x:c r="J60" s="35"/>
      <x:c r="K60" s="47" t="str">
        <x:f>IFERROR(IF(INDEX(技术_限价平仓明细!$A$2:$FA$41,MATCH($B$4,技术_限价平仓明细!$AC$2:$AC$41,0),MATCH("14|中文事实说明",技术_限价平仓明细!$A$1:$FA$1,0))="§无记录§","",INDEX(技术_限价平仓明细!$A$2:$FA$41,MATCH($B$4,技术_限价平仓明细!$AC$2:$AC$41,0),MATCH("14|中文事实说明",技术_限价平仓明细!$A$1:$FA$1,0))),"")</x:f>
        <x:v>限价委托已挂出但成交数量为0，随后取消；仓位保持17。</x:v>
      </x:c>
      <x:c r="L60" s="47"/>
    </x:row>
    <x:row r="61" ht="34" customHeight="1">
      <x:c r="A61" s="32" t="str">
        <x:f>IFERROR(IF(INDEX(技术_限价平仓明细!$A$2:$FA$41,MATCH($B$4,技术_限价平仓明细!$AC$2:$AC$41,0),MATCH("15|委托时间",技术_限价平仓明细!$A$1:$FA$1,0))="§无记录§","",INDEX(技术_限价平仓明细!$A$2:$FA$41,MATCH($B$4,技术_限价平仓明细!$AC$2:$AC$41,0),MATCH("15|委托时间",技术_限价平仓明细!$A$1:$FA$1,0))),"")</x:f>
        <x:v>2026-06-03 02:32:40</x:v>
      </x:c>
      <x:c r="B61" s="32"/>
      <x:c r="C61" s="31" t="str">
        <x:f>IFERROR(IF(INDEX(技术_限价平仓明细!$A$2:$FA$41,MATCH($B$4,技术_限价平仓明细!$AC$2:$AC$41,0),MATCH("15|中文意图",技术_限价平仓明细!$A$1:$FA$1,0))="§无记录§","",INDEX(技术_限价平仓明细!$A$2:$FA$41,MATCH($B$4,技术_限价平仓明细!$AC$2:$AC$41,0),MATCH("15|中文意图",技术_限价平仓明细!$A$1:$FA$1,0))),"")</x:f>
        <x:v>限价减多或平多尝试</x:v>
      </x:c>
      <x:c r="D61" s="33" t="n">
        <x:f>IFERROR(IF(INDEX(技术_限价平仓明细!$A$2:$FA$41,MATCH($B$4,技术_限价平仓明细!$AC$2:$AC$41,0),MATCH("15|委托价格",技术_限价平仓明细!$A$1:$FA$1,0))="§无记录§","",INDEX(技术_限价平仓明细!$A$2:$FA$41,MATCH($B$4,技术_限价平仓明细!$AC$2:$AC$41,0),MATCH("15|委托价格",技术_限价平仓明细!$A$1:$FA$1,0))),"")</x:f>
        <x:v>67640</x:v>
      </x:c>
      <x:c r="E61" s="33"/>
      <x:c r="F61" s="33" t="n">
        <x:f>IFERROR(IF(INDEX(技术_限价平仓明细!$A$2:$FA$41,MATCH($B$4,技术_限价平仓明细!$AC$2:$AC$41,0),MATCH("15|委托数量",技术_限价平仓明细!$A$1:$FA$1,0))="§无记录§","",INDEX(技术_限价平仓明细!$A$2:$FA$41,MATCH($B$4,技术_限价平仓明细!$AC$2:$AC$41,0),MATCH("15|委托数量",技术_限价平仓明细!$A$1:$FA$1,0))),"")</x:f>
        <x:v>27.852</x:v>
      </x:c>
      <x:c r="G61" s="33" t="n">
        <x:f>IFERROR(IF(INDEX(技术_限价平仓明细!$A$2:$FA$41,MATCH($B$4,技术_限价平仓明细!$AC$2:$AC$41,0),MATCH("15|实际成交数量",技术_限价平仓明细!$A$1:$FA$1,0))="§无记录§","",INDEX(技术_限价平仓明细!$A$2:$FA$41,MATCH($B$4,技术_限价平仓明细!$AC$2:$AC$41,0),MATCH("15|实际成交数量",技术_限价平仓明细!$A$1:$FA$1,0))),"")</x:f>
        <x:v>0</x:v>
      </x:c>
      <x:c r="H61" s="31" t="str">
        <x:f>IFERROR(IF(INDEX(技术_限价平仓明细!$A$2:$FA$41,MATCH($B$4,技术_限价平仓明细!$AC$2:$AC$41,0),MATCH("15|最终状态",技术_限价平仓明细!$A$1:$FA$1,0))="§无记录§","",INDEX(技术_限价平仓明细!$A$2:$FA$41,MATCH($B$4,技术_限价平仓明细!$AC$2:$AC$41,0),MATCH("15|最终状态",技术_限价平仓明细!$A$1:$FA$1,0))),"")</x:f>
        <x:v>已取消</x:v>
      </x:c>
      <x:c r="I61" s="31" t="str">
        <x:f>IFERROR(IF(INDEX(技术_限价平仓明细!$A$2:$FA$41,MATCH($B$4,技术_限价平仓明细!$AC$2:$AC$41,0),MATCH("15|仓位变化",技术_限价平仓明细!$A$1:$FA$1,0))="§无记录§","",INDEX(技术_限价平仓明细!$A$2:$FA$41,MATCH($B$4,技术_限价平仓明细!$AC$2:$AC$41,0),MATCH("15|仓位变化",技术_限价平仓明细!$A$1:$FA$1,0))),"")</x:f>
        <x:v>27.852 → 27.852</x:v>
      </x:c>
      <x:c r="J61" s="31"/>
      <x:c r="K61" s="46" t="str">
        <x:f>IFERROR(IF(INDEX(技术_限价平仓明细!$A$2:$FA$41,MATCH($B$4,技术_限价平仓明细!$AC$2:$AC$41,0),MATCH("15|中文事实说明",技术_限价平仓明细!$A$1:$FA$1,0))="§无记录§","",INDEX(技术_限价平仓明细!$A$2:$FA$41,MATCH($B$4,技术_限价平仓明细!$AC$2:$AC$41,0),MATCH("15|中文事实说明",技术_限价平仓明细!$A$1:$FA$1,0))),"")</x:f>
        <x:v>限价委托已挂出但成交数量为0，随后取消；仓位保持27.852。</x:v>
      </x:c>
      <x:c r="L61" s="46"/>
    </x:row>
    <x:row r="62" ht="34" customHeight="1">
      <x:c r="A62" s="36" t="str">
        <x:f>IFERROR(IF(INDEX(技术_限价平仓明细!$A$2:$FA$41,MATCH($B$4,技术_限价平仓明细!$AC$2:$AC$41,0),MATCH("16|委托时间",技术_限价平仓明细!$A$1:$FA$1,0))="§无记录§","",INDEX(技术_限价平仓明细!$A$2:$FA$41,MATCH($B$4,技术_限价平仓明细!$AC$2:$AC$41,0),MATCH("16|委托时间",技术_限价平仓明细!$A$1:$FA$1,0))),"")</x:f>
        <x:v>2026-06-03 02:33:48</x:v>
      </x:c>
      <x:c r="B62" s="36"/>
      <x:c r="C62" s="35" t="str">
        <x:f>IFERROR(IF(INDEX(技术_限价平仓明细!$A$2:$FA$41,MATCH($B$4,技术_限价平仓明细!$AC$2:$AC$41,0),MATCH("16|中文意图",技术_限价平仓明细!$A$1:$FA$1,0))="§无记录§","",INDEX(技术_限价平仓明细!$A$2:$FA$41,MATCH($B$4,技术_限价平仓明细!$AC$2:$AC$41,0),MATCH("16|中文意图",技术_限价平仓明细!$A$1:$FA$1,0))),"")</x:f>
        <x:v>限价减多或平多尝试</x:v>
      </x:c>
      <x:c r="D62" s="37" t="n">
        <x:f>IFERROR(IF(INDEX(技术_限价平仓明细!$A$2:$FA$41,MATCH($B$4,技术_限价平仓明细!$AC$2:$AC$41,0),MATCH("16|委托价格",技术_限价平仓明细!$A$1:$FA$1,0))="§无记录§","",INDEX(技术_限价平仓明细!$A$2:$FA$41,MATCH($B$4,技术_限价平仓明细!$AC$2:$AC$41,0),MATCH("16|委托价格",技术_限价平仓明细!$A$1:$FA$1,0))),"")</x:f>
        <x:v>67598</x:v>
      </x:c>
      <x:c r="E62" s="37"/>
      <x:c r="F62" s="37" t="n">
        <x:f>IFERROR(IF(INDEX(技术_限价平仓明细!$A$2:$FA$41,MATCH($B$4,技术_限价平仓明细!$AC$2:$AC$41,0),MATCH("16|委托数量",技术_限价平仓明细!$A$1:$FA$1,0))="§无记录§","",INDEX(技术_限价平仓明细!$A$2:$FA$41,MATCH($B$4,技术_限价平仓明细!$AC$2:$AC$41,0),MATCH("16|委托数量",技术_限价平仓明细!$A$1:$FA$1,0))),"")</x:f>
        <x:v>27.852</x:v>
      </x:c>
      <x:c r="G62" s="37" t="n">
        <x:f>IFERROR(IF(INDEX(技术_限价平仓明细!$A$2:$FA$41,MATCH($B$4,技术_限价平仓明细!$AC$2:$AC$41,0),MATCH("16|实际成交数量",技术_限价平仓明细!$A$1:$FA$1,0))="§无记录§","",INDEX(技术_限价平仓明细!$A$2:$FA$41,MATCH($B$4,技术_限价平仓明细!$AC$2:$AC$41,0),MATCH("16|实际成交数量",技术_限价平仓明细!$A$1:$FA$1,0))),"")</x:f>
        <x:v>0</x:v>
      </x:c>
      <x:c r="H62" s="35" t="str">
        <x:f>IFERROR(IF(INDEX(技术_限价平仓明细!$A$2:$FA$41,MATCH($B$4,技术_限价平仓明细!$AC$2:$AC$41,0),MATCH("16|最终状态",技术_限价平仓明细!$A$1:$FA$1,0))="§无记录§","",INDEX(技术_限价平仓明细!$A$2:$FA$41,MATCH($B$4,技术_限价平仓明细!$AC$2:$AC$41,0),MATCH("16|最终状态",技术_限价平仓明细!$A$1:$FA$1,0))),"")</x:f>
        <x:v>已过期</x:v>
      </x:c>
      <x:c r="I62" s="35" t="str">
        <x:f>IFERROR(IF(INDEX(技术_限价平仓明细!$A$2:$FA$41,MATCH($B$4,技术_限价平仓明细!$AC$2:$AC$41,0),MATCH("16|仓位变化",技术_限价平仓明细!$A$1:$FA$1,0))="§无记录§","",INDEX(技术_限价平仓明细!$A$2:$FA$41,MATCH($B$4,技术_限价平仓明细!$AC$2:$AC$41,0),MATCH("16|仓位变化",技术_限价平仓明细!$A$1:$FA$1,0))),"")</x:f>
        <x:v>27.852 → 27.852</x:v>
      </x:c>
      <x:c r="J62" s="35"/>
      <x:c r="K62" s="47" t="str">
        <x:f>IFERROR(IF(INDEX(技术_限价平仓明细!$A$2:$FA$41,MATCH($B$4,技术_限价平仓明细!$AC$2:$AC$41,0),MATCH("16|中文事实说明",技术_限价平仓明细!$A$1:$FA$1,0))="§无记录§","",INDEX(技术_限价平仓明细!$A$2:$FA$41,MATCH($B$4,技术_限价平仓明细!$AC$2:$AC$41,0),MATCH("16|中文事实说明",技术_限价平仓明细!$A$1:$FA$1,0))),"")</x:f>
        <x:v>限价委托已挂出但成交数量为0，随后过期；仓位保持27.852。</x:v>
      </x:c>
      <x:c r="L62" s="47"/>
    </x:row>
    <x:row r="63" ht="52" customHeight="1"/>
    <x:row r="64" ht="54" customHeight="1">
      <x:c r="A64" s="24" t="s">
        <x:v>121</x:v>
      </x:c>
      <x:c r="B64" s="24" t="s">
        <x:v>121</x:v>
      </x:c>
      <x:c r="C64" s="24" t="s">
        <x:v>121</x:v>
      </x:c>
      <x:c r="D64" s="24" t="s">
        <x:v>121</x:v>
      </x:c>
      <x:c r="E64" s="24" t="s">
        <x:v>121</x:v>
      </x:c>
      <x:c r="F64" s="24" t="s">
        <x:v>121</x:v>
      </x:c>
      <x:c r="G64" s="24" t="s">
        <x:v>121</x:v>
      </x:c>
      <x:c r="H64" s="24" t="s">
        <x:v>121</x:v>
      </x:c>
      <x:c r="I64" s="24" t="s">
        <x:v>121</x:v>
      </x:c>
      <x:c r="J64" s="24" t="s">
        <x:v>121</x:v>
      </x:c>
      <x:c r="K64" s="24" t="s">
        <x:v>121</x:v>
      </x:c>
      <x:c r="L64" s="24" t="s">
        <x:v>121</x:v>
      </x:c>
    </x:row>
    <x:row r="65" ht="26" customHeight="1">
      <x:c r="A65" s="22" t="s">
        <x:v>18</x:v>
      </x:c>
      <x:c r="B65" s="29" t="str">
        <x:f>IF(COUNTIF(技术_逐笔复盘汇总!$A$2:$A$11,$B$4)=0,"",INDEX(技术_逐笔复盘汇总!$A$2:$ES$11,MATCH($B$4,技术_逐笔复盘汇总!$A$2:$A$11,0),MATCH("止损设置次数",技术_逐笔复盘汇总!$A$1:$ES$1,0)))</x:f>
        <x:v>14</x:v>
      </x:c>
      <x:c r="C65" s="29"/>
      <x:c r="D65" s="22" t="s">
        <x:v>53</x:v>
      </x:c>
      <x:c r="E65" s="29" t="str">
        <x:f>IF(COUNTIF(技术_逐笔复盘汇总!$A$2:$A$11,$B$4)=0,"",INDEX(技术_逐笔复盘汇总!$A$2:$ES$11,MATCH($B$4,技术_逐笔复盘汇总!$A$2:$A$11,0),MATCH("止损取消次数",技术_逐笔复盘汇总!$A$1:$ES$1,0)))</x:f>
        <x:v>13</x:v>
      </x:c>
      <x:c r="F65" s="29"/>
      <x:c r="G65" s="22" t="s">
        <x:v>54</x:v>
      </x:c>
      <x:c r="H65" s="29" t="str">
        <x:f>IF(COUNTIF(技术_逐笔复盘汇总!$A$2:$A$11,$B$4)=0,"",INDEX(技术_逐笔复盘汇总!$A$2:$ES$11,MATCH($B$4,技术_逐笔复盘汇总!$A$2:$A$11,0),MATCH("疑似止损调整次数",技术_逐笔复盘汇总!$A$1:$ES$1,0)))</x:f>
        <x:v>10</x:v>
      </x:c>
      <x:c r="I65" s="29"/>
      <x:c r="J65" s="22" t="s">
        <x:v>122</x:v>
      </x:c>
      <x:c r="K65" s="29" t="str">
        <x:f>IF(COUNTIF(技术_逐笔复盘汇总!$A$2:$A$11,$B$4)=0,"",INDEX(技术_逐笔复盘汇总!$A$2:$ES$11,MATCH($B$4,技术_逐笔复盘汇总!$A$2:$A$11,0),MATCH("止损实际成交次数",技术_逐笔复盘汇总!$A$1:$ES$1,0)))</x:f>
        <x:v>1</x:v>
      </x:c>
      <x:c r="L65" s="29"/>
    </x:row>
    <x:row r="66" ht="26" customHeight="1">
      <x:c r="A66" s="22" t="s">
        <x:v>19</x:v>
      </x:c>
      <x:c r="B66" s="29" t="str">
        <x:f>IF(COUNTIF(技术_逐笔复盘汇总!$A$2:$A$11,$B$4)=0,"",INDEX(技术_逐笔复盘汇总!$A$2:$ES$11,MATCH($B$4,技术_逐笔复盘汇总!$A$2:$A$11,0),MATCH("止盈设置次数",技术_逐笔复盘汇总!$A$1:$ES$1,0)))</x:f>
        <x:v>8</x:v>
      </x:c>
      <x:c r="C66" s="29"/>
      <x:c r="D66" s="22" t="s">
        <x:v>55</x:v>
      </x:c>
      <x:c r="E66" s="29" t="str">
        <x:f>IF(COUNTIF(技术_逐笔复盘汇总!$A$2:$A$11,$B$4)=0,"",INDEX(技术_逐笔复盘汇总!$A$2:$ES$11,MATCH($B$4,技术_逐笔复盘汇总!$A$2:$A$11,0),MATCH("止盈取消次数",技术_逐笔复盘汇总!$A$1:$ES$1,0)))</x:f>
        <x:v>8</x:v>
      </x:c>
      <x:c r="F66" s="29"/>
      <x:c r="G66" s="22" t="s">
        <x:v>56</x:v>
      </x:c>
      <x:c r="H66" s="29" t="str">
        <x:f>IF(COUNTIF(技术_逐笔复盘汇总!$A$2:$A$11,$B$4)=0,"",INDEX(技术_逐笔复盘汇总!$A$2:$ES$11,MATCH($B$4,技术_逐笔复盘汇总!$A$2:$A$11,0),MATCH("疑似止盈调整次数",技术_逐笔复盘汇总!$A$1:$ES$1,0)))</x:f>
        <x:v>7</x:v>
      </x:c>
      <x:c r="I66" s="29"/>
      <x:c r="J66" s="22" t="s">
        <x:v>123</x:v>
      </x:c>
      <x:c r="K66" s="29" t="str">
        <x:f>IF(COUNTIF(技术_逐笔复盘汇总!$A$2:$A$11,$B$4)=0,"",INDEX(技术_逐笔复盘汇总!$A$2:$ES$11,MATCH($B$4,技术_逐笔复盘汇总!$A$2:$A$11,0),MATCH("止盈实际成交次数",技术_逐笔复盘汇总!$A$1:$ES$1,0)))</x:f>
        <x:v>0</x:v>
      </x:c>
      <x:c r="L66" s="29"/>
    </x:row>
    <x:row r="67" ht="34" customHeight="1">
      <x:c r="A67" s="22" t="s">
        <x:v>124</x:v>
      </x:c>
      <x:c r="B67" s="22" t="s">
        <x:v>124</x:v>
      </x:c>
      <x:c r="C67" s="22" t="s">
        <x:v>124</x:v>
      </x:c>
      <x:c r="D67" s="25" t="str">
        <x:f>IF($B$4="T001","阶段A—E行为链证据不可得；当前仅有D2-C正式首仓、平仓、仓位与资金事实。相关行为字段留空，不代表未发生。",SUBSTITUTE(SUBSTITUTE(INDEX(技术_逐笔复盘汇总!$A$2:$ES$11,MATCH($B$4,技术_逐笔复盘汇总!$A$2:$A$11,0),MATCH("条件演变中文摘要",技术_逐笔复盘汇总!$A$1:$ES$1,0)),"基础Order和真实Fill","基础委托和实际成交"),"Fill","成交"))</x:f>
        <x:v>持仓相关止损设置14次，其中取消13次、过期0次，识别出10次高置信度疑似调整；止盈设置8次，其中取消8次、过期0次，识别出7次高置信度疑似调整；共有1张条件委托经生成基础委托和实际成交后使仓位归零。</x:v>
      </x:c>
      <x:c r="E67" s="25"/>
      <x:c r="F67" s="25"/>
      <x:c r="G67" s="25"/>
      <x:c r="H67" s="25"/>
      <x:c r="I67" s="25"/>
      <x:c r="J67" s="25"/>
      <x:c r="K67" s="25"/>
      <x:c r="L67" s="25"/>
    </x:row>
    <x:row r="68" ht="34" customHeight="1">
      <x:c r="A68" s="22" t="s">
        <x:v>124</x:v>
      </x:c>
      <x:c r="B68" s="22" t="s">
        <x:v>124</x:v>
      </x:c>
      <x:c r="C68" s="22" t="s">
        <x:v>124</x:v>
      </x:c>
      <x:c r="D68" s="25"/>
      <x:c r="E68" s="25"/>
      <x:c r="F68" s="25"/>
      <x:c r="G68" s="25"/>
      <x:c r="H68" s="25"/>
      <x:c r="I68" s="25"/>
      <x:c r="J68" s="25"/>
      <x:c r="K68" s="25"/>
      <x:c r="L68" s="25"/>
    </x:row>
    <x:row r="69" ht="34" customHeight="1">
      <x:c r="A69" s="22" t="s">
        <x:v>124</x:v>
      </x:c>
      <x:c r="B69" s="22" t="s">
        <x:v>124</x:v>
      </x:c>
      <x:c r="C69" s="22" t="s">
        <x:v>124</x:v>
      </x:c>
      <x:c r="D69" s="25"/>
      <x:c r="E69" s="25"/>
      <x:c r="F69" s="25"/>
      <x:c r="G69" s="25"/>
      <x:c r="H69" s="25"/>
      <x:c r="I69" s="25"/>
      <x:c r="J69" s="25"/>
      <x:c r="K69" s="25"/>
      <x:c r="L69" s="25"/>
    </x:row>
    <x:row r="71">
      <x:c r="A71" s="24" t="s">
        <x:v>125</x:v>
      </x:c>
      <x:c r="B71" s="24" t="s">
        <x:v>125</x:v>
      </x:c>
      <x:c r="C71" s="24" t="s">
        <x:v>125</x:v>
      </x:c>
      <x:c r="D71" s="24" t="s">
        <x:v>125</x:v>
      </x:c>
      <x:c r="E71" s="24" t="s">
        <x:v>125</x:v>
      </x:c>
      <x:c r="F71" s="24" t="s">
        <x:v>125</x:v>
      </x:c>
      <x:c r="G71" s="24" t="s">
        <x:v>125</x:v>
      </x:c>
      <x:c r="H71" s="24" t="s">
        <x:v>125</x:v>
      </x:c>
      <x:c r="I71" s="24" t="s">
        <x:v>125</x:v>
      </x:c>
      <x:c r="J71" s="24" t="s">
        <x:v>125</x:v>
      </x:c>
      <x:c r="K71" s="24" t="s">
        <x:v>125</x:v>
      </x:c>
      <x:c r="L71" s="24" t="s">
        <x:v>125</x:v>
      </x:c>
    </x:row>
    <x:row r="72">
      <x:c r="A72" s="48" t="s">
        <x:v>126</x:v>
      </x:c>
      <x:c r="B72" s="48" t="s">
        <x:v>126</x:v>
      </x:c>
      <x:c r="C72" s="48" t="s">
        <x:v>126</x:v>
      </x:c>
      <x:c r="D72" s="48" t="s">
        <x:v>126</x:v>
      </x:c>
      <x:c r="E72" s="48" t="s">
        <x:v>126</x:v>
      </x:c>
      <x:c r="F72" s="48" t="s">
        <x:v>126</x:v>
      </x:c>
      <x:c r="G72" s="48" t="s">
        <x:v>126</x:v>
      </x:c>
      <x:c r="H72" s="48" t="s">
        <x:v>126</x:v>
      </x:c>
      <x:c r="I72" s="48" t="s">
        <x:v>126</x:v>
      </x:c>
      <x:c r="J72" s="48" t="s">
        <x:v>126</x:v>
      </x:c>
      <x:c r="K72" s="48" t="s">
        <x:v>126</x:v>
      </x:c>
      <x:c r="L72" s="48" t="s">
        <x:v>126</x:v>
      </x:c>
    </x:row>
    <x:row r="73" ht="26" customHeight="1">
      <x:c r="A73" s="22" t="s">
        <x:v>127</x:v>
      </x:c>
      <x:c r="B73" s="28" t="str">
        <x:f>IF(COUNTIF(技术_资金展示结果!$A$2:$A$11,$B$4)=0,"",TEXT(INDEX(技术_资金展示结果!$A$2:$AB$11,MATCH($B$4,技术_资金展示结果!$A$2:$A$11,0),MATCH("前一张08:00实际总资产",技术_资金展示结果!$A$1:$AB$1,0)),"#,##0.00")&amp;" USDT")</x:f>
        <x:v>3,139.14 USDT</x:v>
      </x:c>
      <x:c r="C73" s="28"/>
      <x:c r="D73" s="22" t="s">
        <x:v>57</x:v>
      </x:c>
      <x:c r="E73" s="28" t="str">
        <x:f>IF(COUNTIF(技术_资金展示结果!$A$2:$A$11,$B$4)=0,"",TEXT(INDEX(技术_资金展示结果!$A$2:$AB$11,MATCH($B$4,技术_资金展示结果!$A$2:$A$11,0),MATCH("开仓前已确认资金事件滚动值",技术_资金展示结果!$A$1:$AB$1,0)),"#,##0.00")&amp;" USDT")</x:f>
        <x:v>3,315.44 USDT</x:v>
      </x:c>
      <x:c r="F73" s="28"/>
      <x:c r="G73" s="22" t="s">
        <x:v>128</x:v>
      </x:c>
      <x:c r="H73" s="28" t="str">
        <x:f>IF(COUNTIF(技术_资金展示结果!$A$2:$A$11,$B$4)=0,"",TEXT(INDEX(技术_资金展示结果!$A$2:$AB$11,MATCH($B$4,技术_资金展示结果!$A$2:$A$11,0),MATCH("持仓期间外部入金",技术_资金展示结果!$A$1:$AB$1,0)),"#,##0.00")&amp;" USDT")</x:f>
        <x:v>29,000.00 USDT</x:v>
      </x:c>
      <x:c r="I73" s="28"/>
      <x:c r="J73" s="22" t="s">
        <x:v>129</x:v>
      </x:c>
      <x:c r="K73" s="28" t="str">
        <x:f>IF(COUNTIF(技术_资金展示结果!$A$2:$A$11,$B$4)=0,"",TEXT(INDEX(技术_资金展示结果!$A$2:$AB$11,MATCH($B$4,技术_资金展示结果!$A$2:$A$11,0),MATCH("持仓期间外部出金",技术_资金展示结果!$A$1:$AB$1,0)),"#,##0.00")&amp;" USDT")</x:f>
        <x:v>0.00 USDT</x:v>
      </x:c>
      <x:c r="L73" s="28"/>
    </x:row>
    <x:row r="74" ht="26" customHeight="1">
      <x:c r="A74" s="22" t="s">
        <x:v>130</x:v>
      </x:c>
      <x:c r="B74" s="28" t="str">
        <x:f>IF(COUNTIF(技术_资金展示结果!$A$2:$A$11,$B$4)=0,"",TEXT(INDEX(技术_资金展示结果!$A$2:$AB$11,MATCH($B$4,技术_资金展示结果!$A$2:$A$11,0),MATCH("当前交易正式净结果",技术_资金展示结果!$A$1:$AB$1,0)),"#,##0.00")&amp;" USDT")</x:f>
        <x:v>-38,141.93 USDT</x:v>
      </x:c>
      <x:c r="C74" s="28"/>
      <x:c r="D74" s="22" t="s">
        <x:v>131</x:v>
      </x:c>
      <x:c r="E74" s="28" t="str">
        <x:f>IF(COUNTIF(技术_资金展示结果!$A$2:$A$11,$B$4)=0,"",TEXT(INDEX(技术_资金展示结果!$A$2:$AB$11,MATCH($B$4,技术_资金展示结果!$A$2:$A$11,0),MATCH("其他个人主动交易影响",技术_资金展示结果!$A$1:$AB$1,0)),"#,##0.00")&amp;" USDT")</x:f>
        <x:v>0.00 USDT</x:v>
      </x:c>
      <x:c r="F74" s="28"/>
      <x:c r="G74" s="22" t="s">
        <x:v>132</x:v>
      </x:c>
      <x:c r="H74" s="28" t="str">
        <x:f>IF(COUNTIF(技术_资金展示结果!$A$2:$A$11,$B$4)=0,"",TEXT(INDEX(技术_资金展示结果!$A$2:$AB$11,MATCH($B$4,技术_资金展示结果!$A$2:$A$11,0),MATCH("自动跟单影响",技术_资金展示结果!$A$1:$AB$1,0)),"#,##0.00")&amp;" USDT")</x:f>
        <x:v>0.00 USDT</x:v>
      </x:c>
      <x:c r="I74" s="28"/>
      <x:c r="J74" s="22" t="s">
        <x:v>133</x:v>
      </x:c>
      <x:c r="K74" s="28" t="str">
        <x:f>IF(COUNTIF(技术_资金展示结果!$A$2:$A$11,$B$4)=0,"",TEXT(INDEX(技术_资金展示结果!$A$2:$AB$11,MATCH($B$4,技术_资金展示结果!$A$2:$A$11,0),MATCH("返佣及其他账户事件",技术_资金展示结果!$A$1:$AB$1,0)),"#,##0.00")&amp;" USDT")</x:f>
        <x:v>97.27 USDT</x:v>
      </x:c>
      <x:c r="L74" s="28"/>
    </x:row>
    <x:row r="75" ht="26" customHeight="1">
      <x:c r="A75" s="22" t="s">
        <x:v>58</x:v>
      </x:c>
      <x:c r="B75" s="28" t="str">
        <x:f>IF(COUNTIF(技术_资金展示结果!$A$2:$A$11,$B$4)=0,"",TEXT(INDEX(技术_资金展示结果!$A$2:$AB$11,MATCH($B$4,技术_资金展示结果!$A$2:$A$11,0),MATCH("平仓后已确认资金事件滚动值",技术_资金展示结果!$A$1:$AB$1,0)),"#,##0.00")&amp;" USDT")</x:f>
        <x:v>-5,729.22 USDT</x:v>
      </x:c>
      <x:c r="C75" s="28"/>
      <x:c r="D75" s="22" t="s">
        <x:v>134</x:v>
      </x:c>
      <x:c r="E75" s="28" t="str">
        <x:f>IF(COUNTIF(技术_资金展示结果!$A$2:$A$11,$B$4)=0,"",TEXT(INDEX(技术_资金展示结果!$A$2:$AB$11,MATCH($B$4,技术_资金展示结果!$A$2:$A$11,0),MATCH("后一张08:00实际总资产",技术_资金展示结果!$A$1:$AB$1,0)),"#,##0.00")&amp;" USDT")</x:f>
        <x:v>33,920.31 USDT</x:v>
      </x:c>
      <x:c r="F75" s="28"/>
      <x:c r="G75" s="22" t="s">
        <x:v>59</x:v>
      </x:c>
      <x:c r="H75" s="28" t="str">
        <x:f>IF(COUNTIF(技术_资金展示结果!$A$2:$A$11,$B$4)=0,"",TEXT(INDEX(技术_资金展示结果!$A$2:$AB$11,MATCH($B$4,技术_资金展示结果!$A$2:$A$11,0),MATCH("未分配快照差额",技术_资金展示结果!$A$1:$AB$1,0)),"#,##0.00")&amp;" USDT")</x:f>
        <x:v>43,918.85 USDT</x:v>
      </x:c>
      <x:c r="I75" s="28"/>
      <x:c r="J75" s="22" t="s">
        <x:v>135</x:v>
      </x:c>
      <x:c r="K75" s="51" t="str">
        <x:f>IF(COUNTIF(技术_资金展示结果!$A$2:$A$11,$B$4)=0,"",TEXT(INDEX(技术_资金展示结果!$A$2:$AB$11,MATCH($B$4,技术_资金展示结果!$A$2:$A$11,0),MATCH("差额比例",技术_资金展示结果!$A$1:$AB$1,0)),"#,##0.00%"))</x:f>
        <x:v>1,399.07%</x:v>
      </x:c>
      <x:c r="L75" s="51"/>
    </x:row>
    <x:row r="76" ht="26" customHeight="1">
      <x:c r="A76" s="22" t="s">
        <x:v>136</x:v>
      </x:c>
      <x:c r="B76" s="28" t="str">
        <x:f>IF(COUNTIF(技术_资金展示结果!$A$2:$A$11,$B$4)=0,"",TEXT(INDEX(技术_资金展示结果!$A$2:$AB$11,MATCH($B$4,技术_资金展示结果!$A$2:$A$11,0),MATCH("最大持仓时已确认资金事件滚动值",技术_资金展示结果!$A$1:$AB$1,0)),"#,##0.00")&amp;" USDT")</x:f>
        <x:v>27,857.89 USDT</x:v>
      </x:c>
      <x:c r="C76" s="28"/>
      <x:c r="D76" s="22" t="s">
        <x:v>35</x:v>
      </x:c>
      <x:c r="E76" s="25" t="str">
        <x:f>IF(COUNTIF(技术_资金展示结果!$A$2:$A$11,$B$4)=0,"",INDEX(技术_资金展示结果!$A$2:$AB$11,MATCH($B$4,技术_资金展示结果!$A$2:$A$11,0),MATCH("资金闭环等级",技术_资金展示结果!$A$1:$AB$1,0)))</x:f>
        <x:v>B｜大部分闭环，剩余差额有明确类别但无法精确分配</x:v>
      </x:c>
      <x:c r="F76" s="25"/>
      <x:c r="G76" s="22" t="s">
        <x:v>107</x:v>
      </x:c>
      <x:c r="H76" s="25" t="str">
        <x:f>""</x:f>
        <x:v/>
      </x:c>
      <x:c r="I76" s="25"/>
      <x:c r="J76" s="22" t="s">
        <x:v>107</x:v>
      </x:c>
      <x:c r="K76" s="25" t="str">
        <x:f>""</x:f>
        <x:v/>
      </x:c>
      <x:c r="L76" s="25"/>
    </x:row>
    <x:row r="77" ht="34" customHeight="1">
      <x:c r="A77" s="22" t="s">
        <x:v>60</x:v>
      </x:c>
      <x:c r="B77" s="22" t="s">
        <x:v>60</x:v>
      </x:c>
      <x:c r="C77" s="22" t="s">
        <x:v>60</x:v>
      </x:c>
      <x:c r="D77" s="49" t="str">
        <x:f>IF($B$4="T049","平仓后已确认资金事件滚动值为负，不能解释为真实账户总资产。实际快照与已确认事件之间仍存在43,918.85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B$4)=0,"",INDEX(技术_资金展示结果!$A$2:$AB$11,MATCH($B$4,技术_资金展示结果!$A$2:$A$11,0),MATCH("资金展示限制说明",技术_资金展示结果!$A$1:$AB$1,0))&amp;IF($B$4="T069",CHAR(10)&amp;"T069正式首仓前存在10笔已确认账户费用，合计-21.43 USDT；该费用已进入开仓前已确认资金事件滚动值，但不属于T069正式周期净结果，也不得计入周期内手续费。","")))</x:f>
        <x:v>平仓后已确认资金事件滚动值为负，不能解释为真实账户总资产。实际快照与已确认事件之间仍存在43,918.85 USDT未分配差额，可能涉及不可得的未实现盈亏、快照口径或多资产估值，不归因于T049本身。</x:v>
      </x:c>
      <x:c r="E77" s="49"/>
      <x:c r="F77" s="49"/>
      <x:c r="G77" s="49"/>
      <x:c r="H77" s="49"/>
      <x:c r="I77" s="49"/>
      <x:c r="J77" s="49"/>
      <x:c r="K77" s="49"/>
      <x:c r="L77" s="49"/>
    </x:row>
    <x:row r="78" ht="34" customHeight="1">
      <x:c r="A78" s="22" t="s">
        <x:v>60</x:v>
      </x:c>
      <x:c r="B78" s="22" t="s">
        <x:v>60</x:v>
      </x:c>
      <x:c r="C78" s="22" t="s">
        <x:v>60</x:v>
      </x:c>
      <x:c r="D78" s="49"/>
      <x:c r="E78" s="49"/>
      <x:c r="F78" s="49"/>
      <x:c r="G78" s="49"/>
      <x:c r="H78" s="49"/>
      <x:c r="I78" s="49"/>
      <x:c r="J78" s="49"/>
      <x:c r="K78" s="49"/>
      <x:c r="L78" s="49"/>
    </x:row>
    <x:row r="79" ht="34" customHeight="1">
      <x:c r="A79" s="22" t="s">
        <x:v>60</x:v>
      </x:c>
      <x:c r="B79" s="22" t="s">
        <x:v>60</x:v>
      </x:c>
      <x:c r="C79" s="22" t="s">
        <x:v>60</x:v>
      </x:c>
      <x:c r="D79" s="49"/>
      <x:c r="E79" s="49"/>
      <x:c r="F79" s="49"/>
      <x:c r="G79" s="49"/>
      <x:c r="H79" s="49"/>
      <x:c r="I79" s="49"/>
      <x:c r="J79" s="49"/>
      <x:c r="K79" s="49"/>
      <x:c r="L79" s="49"/>
    </x:row>
    <x:row r="80" ht="34" customHeight="1">
      <x:c r="A80" s="22" t="s">
        <x:v>60</x:v>
      </x:c>
      <x:c r="B80" s="22" t="s">
        <x:v>60</x:v>
      </x:c>
      <x:c r="C80" s="22" t="s">
        <x:v>60</x:v>
      </x:c>
      <x:c r="D80" s="49"/>
      <x:c r="E80" s="49"/>
      <x:c r="F80" s="49"/>
      <x:c r="G80" s="49"/>
      <x:c r="H80" s="49"/>
      <x:c r="I80" s="49"/>
      <x:c r="J80" s="49"/>
      <x:c r="K80" s="49"/>
      <x:c r="L80" s="49"/>
    </x:row>
    <x:row r="82">
      <x:c r="A82" s="24" t="str">
        <x:f>IF($B$4="T043","T043反手三节点（仅选择T043时显示）","")</x:f>
        <x:v/>
      </x:c>
      <x:c r="B82" s="24"/>
      <x:c r="C82" s="24"/>
      <x:c r="D82" s="24"/>
      <x:c r="E82" s="24"/>
      <x:c r="F82" s="24"/>
      <x:c r="G82" s="24"/>
      <x:c r="H82" s="24"/>
      <x:c r="I82" s="24"/>
      <x:c r="J82" s="24"/>
      <x:c r="K82" s="24"/>
      <x:c r="L82" s="24"/>
    </x:row>
    <x:row r="83">
      <x:c r="A83" s="22" t="str">
        <x:f>IF($B$4="T043","反手操作前滚动值","")</x:f>
        <x:v/>
      </x:c>
      <x:c r="B83" s="22"/>
      <x:c r="C83" s="28" t="str">
        <x:f>IF($B$4="T043",INDEX(技术_资金展示结果!$A$2:$AB$11,MATCH($B$4,技术_资金展示结果!$A$2:$A$11,0),MATCH("反手操作前已确认资金事件滚动值",技术_资金展示结果!$A$1:$AB$1,0)),"")</x:f>
        <x:v/>
      </x:c>
      <x:c r="D83" s="28"/>
      <x:c r="E83" s="22" t="str">
        <x:f>IF($B$4="T043","T042平仓完成后滚动值","")</x:f>
        <x:v/>
      </x:c>
      <x:c r="F83" s="22"/>
      <x:c r="G83" s="28" t="str">
        <x:f>IF($B$4="T043",INDEX(技术_资金展示结果!$A$2:$AB$11,MATCH($B$4,技术_资金展示结果!$A$2:$A$11,0),MATCH("T042平仓完成后已确认资金事件滚动值",技术_资金展示结果!$A$1:$AB$1,0)),"")</x:f>
        <x:v/>
      </x:c>
      <x:c r="H83" s="28"/>
      <x:c r="I83" s="22" t="str">
        <x:f>IF($B$4="T043","T043首仓完成后滚动值","")</x:f>
        <x:v/>
      </x:c>
      <x:c r="J83" s="22"/>
      <x:c r="K83" s="28" t="str">
        <x:f>IF($B$4="T043",INDEX(技术_资金展示结果!$A$2:$AB$11,MATCH($B$4,技术_资金展示结果!$A$2:$A$11,0),MATCH("T043首仓完成后已确认资金事件滚动值",技术_资金展示结果!$A$1:$AB$1,0)),"")</x:f>
        <x:v/>
      </x:c>
      <x:c r="L83" s="28"/>
    </x:row>
    <x:row r="85">
      <x:c r="A85" s="24" t="s">
        <x:v>137</x:v>
      </x:c>
      <x:c r="B85" s="24" t="s">
        <x:v>137</x:v>
      </x:c>
      <x:c r="C85" s="24" t="s">
        <x:v>137</x:v>
      </x:c>
      <x:c r="D85" s="24" t="s">
        <x:v>137</x:v>
      </x:c>
      <x:c r="E85" s="24" t="s">
        <x:v>137</x:v>
      </x:c>
      <x:c r="F85" s="24" t="s">
        <x:v>137</x:v>
      </x:c>
      <x:c r="G85" s="24" t="s">
        <x:v>137</x:v>
      </x:c>
      <x:c r="H85" s="24" t="s">
        <x:v>137</x:v>
      </x:c>
      <x:c r="I85" s="24" t="s">
        <x:v>137</x:v>
      </x:c>
      <x:c r="J85" s="24" t="s">
        <x:v>137</x:v>
      </x:c>
      <x:c r="K85" s="24" t="s">
        <x:v>137</x:v>
      </x:c>
      <x:c r="L85" s="24" t="s">
        <x:v>137</x:v>
      </x:c>
    </x:row>
    <x:row r="86" ht="26" customHeight="1">
      <x:c r="A86" s="22" t="s">
        <x:v>62</x:v>
      </x:c>
      <x:c r="B86" s="25" t="str">
        <x:f>IFERROR(IF(INDEX(人工复盘完成清单!$B$6:$B$15,MATCH($B$4,人工复盘完成清单!$A$6:$A$15,0))="","待填写",INDEX(人工复盘完成清单!$B$6:$B$15,MATCH($B$4,人工复盘完成清单!$A$6:$A$15,0))),"待填写")</x:f>
        <x:v>待填写</x:v>
      </x:c>
      <x:c r="C86" s="25"/>
      <x:c r="D86" s="22" t="s">
        <x:v>63</x:v>
      </x:c>
      <x:c r="E86" s="25" t="str">
        <x:f>IFERROR(IF(INDEX(人工复盘完成清单!$H$6:$H$15,MATCH($B$4,人工复盘完成清单!$A$6:$A$15,0))="","待填写",INDEX(人工复盘完成清单!$H$6:$H$15,MATCH($B$4,人工复盘完成清单!$A$6:$A$15,0))),"待填写")</x:f>
        <x:v>待填写</x:v>
      </x:c>
      <x:c r="F86" s="25"/>
      <x:c r="G86" s="22" t="s">
        <x:v>138</x:v>
      </x:c>
      <x:c r="H86" s="25" t="str">
        <x:f>IFERROR(IF(INDEX(人工复盘完成清单!$I$6:$I$15,MATCH($B$4,人工复盘完成清单!$A$6:$A$15,0))="","待填写",INDEX(人工复盘完成清单!$I$6:$I$15,MATCH($B$4,人工复盘完成清单!$A$6:$A$15,0))),"待填写")</x:f>
        <x:v>待填写</x:v>
      </x:c>
      <x:c r="I86" s="25"/>
      <x:c r="J86" s="22" t="s">
        <x:v>139</x:v>
      </x:c>
      <x:c r="K86" s="25" t="str">
        <x:f>IFERROR(IF(INDEX(人工复盘完成清单!$J$6:$J$15,MATCH($B$4,人工复盘完成清单!$A$6:$A$15,0))="","待填写",INDEX(人工复盘完成清单!$J$6:$J$15,MATCH($B$4,人工复盘完成清单!$A$6:$A$15,0))),"待填写")</x:f>
        <x:v>待填写</x:v>
      </x:c>
      <x:c r="L86" s="25"/>
    </x:row>
    <x:row r="87" ht="26" customHeight="1">
      <x:c r="A87" s="22" t="s">
        <x:v>140</x:v>
      </x:c>
      <x:c r="B87" s="25" t="str">
        <x:f>IFERROR(IF(INDEX(人工复盘完成清单!$K$6:$K$15,MATCH($B$4,人工复盘完成清单!$A$6:$A$15,0))="","待填写",INDEX(人工复盘完成清单!$K$6:$K$15,MATCH($B$4,人工复盘完成清单!$A$6:$A$15,0))),"待填写")</x:f>
        <x:v>待填写</x:v>
      </x:c>
      <x:c r="C87" s="25"/>
      <x:c r="D87" s="22" t="s">
        <x:v>64</x:v>
      </x:c>
      <x:c r="E87" s="25" t="str">
        <x:f>IFERROR(IF(INDEX(人工复盘完成清单!$L$6:$L$15,MATCH($B$4,人工复盘完成清单!$A$6:$A$15,0))="","待填写",INDEX(人工复盘完成清单!$L$6:$L$15,MATCH($B$4,人工复盘完成清单!$A$6:$A$15,0))),"待填写")</x:f>
        <x:v>待填写</x:v>
      </x:c>
      <x:c r="F87" s="25"/>
      <x:c r="G87" s="22" t="s">
        <x:v>141</x:v>
      </x:c>
      <x:c r="H87" s="25" t="str">
        <x:f>IFERROR(IF(INDEX(人工复盘完成清单!$O$6:$O$15,MATCH($B$4,人工复盘完成清单!$A$6:$A$15,0))="","待填写",INDEX(人工复盘完成清单!$O$6:$O$15,MATCH($B$4,人工复盘完成清单!$A$6:$A$15,0))),"待填写")</x:f>
        <x:v>待填写</x:v>
      </x:c>
      <x:c r="I87" s="25"/>
      <x:c r="J87" s="22" t="s">
        <x:v>65</x:v>
      </x:c>
      <x:c r="K87" s="25" t="str">
        <x:f>IFERROR(IF(INDEX(人工复盘完成清单!$P$6:$P$15,MATCH($B$4,人工复盘完成清单!$A$6:$A$15,0))="","待填写",INDEX(人工复盘完成清单!$P$6:$P$15,MATCH($B$4,人工复盘完成清单!$A$6:$A$15,0))),"待填写")</x:f>
        <x:v>待填写</x:v>
      </x:c>
      <x:c r="L87" s="25"/>
    </x:row>
    <x:row r="89" ht="28" customHeight="1">
      <x:c r="A89" s="50" t="str">
        <x:f>HYPERLINK("#'完整操作过程'!A1","前往该笔完整操作过程｜到表后按T/U编号筛选")</x:f>
        <x:v>前往该笔完整操作过程｜到表后按T/U编号筛选</x:v>
      </x:c>
      <x:c r="B89" s="50"/>
      <x:c r="C89" s="50"/>
      <x:c r="D89" s="50"/>
      <x:c r="E89" s="50"/>
      <x:c r="F89" s="50"/>
      <x:c r="G89" s="50" t="str">
        <x:f>HYPERLINK("#'人工复盘完成清单'!A1","前往该笔人工填写｜到表后按T/U编号定位")</x:f>
        <x:v>前往该笔人工填写｜到表后按T/U编号定位</x:v>
      </x:c>
      <x:c r="H89" s="50"/>
      <x:c r="I89" s="50"/>
      <x:c r="J89" s="50"/>
      <x:c r="K89" s="50"/>
      <x:c r="L89" s="50"/>
    </x:row>
  </x:sheetData>
  <x:mergeCells>
    <x:mergeCell ref="A1:L1"/>
    <x:mergeCell ref="A2:B2"/>
    <x:mergeCell ref="C2:D2"/>
    <x:mergeCell ref="E2:F2"/>
    <x:mergeCell ref="G2:H2"/>
    <x:mergeCell ref="I2:J2"/>
    <x:mergeCell ref="A3:L3"/>
    <x:mergeCell ref="B4:D4"/>
    <x:mergeCell ref="A6:L6"/>
    <x:mergeCell ref="B7:C7"/>
    <x:mergeCell ref="E7:F7"/>
    <x:mergeCell ref="H7:I7"/>
    <x:mergeCell ref="K7:L7"/>
    <x:mergeCell ref="B8:C8"/>
    <x:mergeCell ref="E8:F8"/>
    <x:mergeCell ref="H8:I8"/>
    <x:mergeCell ref="K8:L8"/>
    <x:mergeCell ref="B9:C9"/>
    <x:mergeCell ref="E9:F9"/>
    <x:mergeCell ref="H9:I9"/>
    <x:mergeCell ref="K9:L9"/>
    <x:mergeCell ref="B10:C10"/>
    <x:mergeCell ref="E10:F10"/>
    <x:mergeCell ref="H10:I10"/>
    <x:mergeCell ref="K10:L10"/>
    <x:mergeCell ref="A11:L11"/>
    <x:mergeCell ref="A11:C11"/>
    <x:mergeCell ref="D11:L11"/>
    <x:mergeCell ref="A13:L13"/>
    <x:mergeCell ref="B14:C14"/>
    <x:mergeCell ref="E14:F14"/>
    <x:mergeCell ref="H14:I14"/>
    <x:mergeCell ref="K14:L14"/>
    <x:mergeCell ref="A19:L19"/>
    <x:mergeCell ref="A31:B31"/>
    <x:mergeCell ref="C31:E31"/>
    <x:mergeCell ref="F31:G31"/>
    <x:mergeCell ref="H31:J31"/>
    <x:mergeCell ref="K31:L31"/>
    <x:mergeCell ref="A34:L34"/>
    <x:mergeCell ref="B35:C35"/>
    <x:mergeCell ref="E35:F35"/>
    <x:mergeCell ref="H35:I35"/>
    <x:mergeCell ref="K35:L35"/>
    <x:mergeCell ref="B36:C36"/>
    <x:mergeCell ref="E36:F36"/>
    <x:mergeCell ref="H36:I36"/>
    <x:mergeCell ref="K36:L36"/>
    <x:mergeCell ref="A41:L41"/>
    <x:mergeCell ref="B42:C42"/>
    <x:mergeCell ref="E42:F42"/>
    <x:mergeCell ref="H42:I42"/>
    <x:mergeCell ref="K42:L42"/>
    <x:mergeCell ref="B43:C43"/>
    <x:mergeCell ref="E43:F43"/>
    <x:mergeCell ref="H43:I43"/>
    <x:mergeCell ref="K43:L43"/>
    <x:mergeCell ref="A46:B46"/>
    <x:mergeCell ref="D46:E46"/>
    <x:mergeCell ref="I46:J46"/>
    <x:mergeCell ref="K46:L46"/>
    <x:mergeCell ref="A47:B47"/>
    <x:mergeCell ref="D47:E47"/>
    <x:mergeCell ref="I47:J47"/>
    <x:mergeCell ref="K47:L47"/>
    <x:mergeCell ref="A48:B48"/>
    <x:mergeCell ref="D48:E48"/>
    <x:mergeCell ref="I48:J48"/>
    <x:mergeCell ref="K48:L48"/>
    <x:mergeCell ref="A49:B49"/>
    <x:mergeCell ref="D49:E49"/>
    <x:mergeCell ref="I49:J49"/>
    <x:mergeCell ref="K49:L49"/>
    <x:mergeCell ref="A50:B50"/>
    <x:mergeCell ref="D50:E50"/>
    <x:mergeCell ref="I50:J50"/>
    <x:mergeCell ref="K50:L50"/>
    <x:mergeCell ref="A51:B51"/>
    <x:mergeCell ref="D51:E51"/>
    <x:mergeCell ref="I51:J51"/>
    <x:mergeCell ref="K51:L51"/>
    <x:mergeCell ref="A52:B52"/>
    <x:mergeCell ref="D52:E52"/>
    <x:mergeCell ref="I52:J52"/>
    <x:mergeCell ref="K52:L52"/>
    <x:mergeCell ref="A53:B53"/>
    <x:mergeCell ref="D53:E53"/>
    <x:mergeCell ref="I53:J53"/>
    <x:mergeCell ref="K53:L53"/>
    <x:mergeCell ref="A54:B54"/>
    <x:mergeCell ref="D54:E54"/>
    <x:mergeCell ref="I54:J54"/>
    <x:mergeCell ref="K54:L54"/>
    <x:mergeCell ref="A55:B55"/>
    <x:mergeCell ref="D55:E55"/>
    <x:mergeCell ref="I55:J55"/>
    <x:mergeCell ref="K55:L55"/>
    <x:mergeCell ref="A56:B56"/>
    <x:mergeCell ref="D56:E56"/>
    <x:mergeCell ref="I56:J56"/>
    <x:mergeCell ref="K56:L56"/>
    <x:mergeCell ref="A57:B57"/>
    <x:mergeCell ref="D57:E57"/>
    <x:mergeCell ref="I57:J57"/>
    <x:mergeCell ref="K57:L57"/>
    <x:mergeCell ref="A58:B58"/>
    <x:mergeCell ref="D58:E58"/>
    <x:mergeCell ref="I58:J58"/>
    <x:mergeCell ref="K58:L58"/>
    <x:mergeCell ref="A59:B59"/>
    <x:mergeCell ref="D59:E59"/>
    <x:mergeCell ref="I59:J59"/>
    <x:mergeCell ref="K59:L59"/>
    <x:mergeCell ref="A60:B60"/>
    <x:mergeCell ref="D60:E60"/>
    <x:mergeCell ref="I60:J60"/>
    <x:mergeCell ref="K60:L60"/>
    <x:mergeCell ref="A61:B61"/>
    <x:mergeCell ref="D61:E61"/>
    <x:mergeCell ref="I61:J61"/>
    <x:mergeCell ref="K61:L61"/>
    <x:mergeCell ref="A62:B62"/>
    <x:mergeCell ref="D62:E62"/>
    <x:mergeCell ref="I62:J62"/>
    <x:mergeCell ref="K62:L62"/>
    <x:mergeCell ref="A63:L63"/>
    <x:mergeCell ref="A64:L64"/>
    <x:mergeCell ref="A65:L65"/>
    <x:mergeCell ref="B65:C65"/>
    <x:mergeCell ref="E65:F65"/>
    <x:mergeCell ref="H65:I65"/>
    <x:mergeCell ref="K65:L65"/>
    <x:mergeCell ref="B66:C66"/>
    <x:mergeCell ref="E66:F66"/>
    <x:mergeCell ref="H66:I66"/>
    <x:mergeCell ref="K66:L66"/>
    <x:mergeCell ref="B67:C67"/>
    <x:mergeCell ref="E67:F67"/>
    <x:mergeCell ref="H67:I67"/>
    <x:mergeCell ref="K67:L67"/>
    <x:mergeCell ref="A69:F69"/>
    <x:mergeCell ref="G69:L69"/>
    <x:mergeCell ref="A71:L71"/>
    <x:mergeCell ref="A72:L72"/>
    <x:mergeCell ref="B73:C73"/>
    <x:mergeCell ref="E73:F73"/>
    <x:mergeCell ref="H73:I73"/>
    <x:mergeCell ref="K73:L73"/>
    <x:mergeCell ref="B74:C74"/>
    <x:mergeCell ref="E74:F74"/>
    <x:mergeCell ref="H74:I74"/>
    <x:mergeCell ref="K74:L74"/>
    <x:mergeCell ref="B75:C75"/>
    <x:mergeCell ref="E75:F75"/>
    <x:mergeCell ref="H75:I75"/>
    <x:mergeCell ref="K75:L75"/>
    <x:mergeCell ref="B76:C76"/>
    <x:mergeCell ref="E76:F76"/>
    <x:mergeCell ref="H76:I76"/>
    <x:mergeCell ref="K76:L76"/>
    <x:mergeCell ref="A82:L82"/>
    <x:mergeCell ref="A83:B83"/>
    <x:mergeCell ref="C83:D83"/>
    <x:mergeCell ref="E83:F83"/>
    <x:mergeCell ref="G83:H83"/>
    <x:mergeCell ref="I83:J83"/>
    <x:mergeCell ref="K83:L83"/>
    <x:mergeCell ref="A85:L85"/>
    <x:mergeCell ref="B86:C86"/>
    <x:mergeCell ref="E86:F86"/>
    <x:mergeCell ref="H86:I86"/>
    <x:mergeCell ref="K86:L86"/>
    <x:mergeCell ref="B87:C87"/>
    <x:mergeCell ref="E87:F87"/>
    <x:mergeCell ref="H87:I87"/>
    <x:mergeCell ref="K87:L87"/>
    <x:mergeCell ref="A89:F89"/>
    <x:mergeCell ref="G89:L89"/>
    <x:mergeCell ref="A15:C17"/>
    <x:mergeCell ref="D15:L17"/>
    <x:mergeCell ref="A37:C39"/>
    <x:mergeCell ref="D37:L39"/>
    <x:mergeCell ref="A44:C45"/>
    <x:mergeCell ref="D44:L45"/>
    <x:mergeCell ref="A67:C69"/>
    <x:mergeCell ref="D67:L69"/>
    <x:mergeCell ref="A77:C80"/>
    <x:mergeCell ref="D77:L80"/>
  </x:mergeCells>
  <x:dataValidations count="1">
    <x:dataValidation type="list" sqref="B4">
      <x:formula1>技术_辅助列表!$A$2:$A$11</x:formula1>
    </x:dataValidation>
  </x:dataValidation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 ref="A69" location="'完整操作过程'!A5"/>
    <x:hyperlink ref="G69" location="'人工复盘完成清单'!A5"/>
  </x:hyperlink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2" width="21" customWidth="1"/>
    <x:col min="3" max="6" width="15" customWidth="1"/>
    <x:col min="7" max="7" width="16" customWidth="1"/>
    <x:col min="8" max="9" width="13" customWidth="1"/>
    <x:col min="10" max="10" width="14" customWidth="1"/>
    <x:col min="11" max="17" width="12" customWidth="1"/>
    <x:col min="18" max="18" width="28" customWidth="1"/>
    <x:col min="19" max="19" width="15" customWidth="1"/>
    <x:col min="20" max="20" width="58" customWidth="1"/>
    <x:col min="21" max="22" width="15" customWidth="1"/>
    <x:col min="23" max="23" width="35" customWidth="1"/>
  </x:cols>
  <x:sheetData>
    <x:row r="1" ht="28" customHeight="1">
      <x:c r="A1" s="5" t="s">
        <x:v>142</x:v>
      </x:c>
      <x:c r="B1" s="5" t="s">
        <x:v>142</x:v>
      </x:c>
      <x:c r="C1" s="5" t="s">
        <x:v>142</x:v>
      </x:c>
      <x:c r="D1" s="5" t="s">
        <x:v>142</x:v>
      </x:c>
      <x:c r="E1" s="5" t="s">
        <x:v>142</x:v>
      </x:c>
      <x:c r="F1" s="5" t="s">
        <x:v>142</x:v>
      </x:c>
      <x:c r="G1" s="5" t="s">
        <x:v>142</x:v>
      </x:c>
      <x:c r="H1" s="5" t="s">
        <x:v>142</x:v>
      </x:c>
      <x:c r="I1" s="5" t="s">
        <x:v>142</x:v>
      </x:c>
      <x:c r="J1" s="5" t="s">
        <x:v>142</x:v>
      </x:c>
      <x:c r="K1" s="5" t="s">
        <x:v>142</x:v>
      </x:c>
      <x:c r="L1" s="5" t="s">
        <x:v>142</x:v>
      </x:c>
      <x:c r="M1" s="5" t="s">
        <x:v>142</x:v>
      </x:c>
      <x:c r="N1" s="5" t="s">
        <x:v>142</x:v>
      </x:c>
      <x:c r="O1" s="5" t="s">
        <x:v>142</x:v>
      </x:c>
      <x:c r="P1" s="5" t="s">
        <x:v>142</x:v>
      </x:c>
      <x:c r="Q1" s="5" t="s">
        <x:v>142</x:v>
      </x:c>
      <x:c r="R1" s="5" t="s">
        <x:v>142</x:v>
      </x:c>
      <x:c r="S1" s="5" t="s">
        <x:v>142</x:v>
      </x:c>
      <x:c r="T1" s="5" t="s">
        <x:v>142</x:v>
      </x:c>
      <x:c r="U1" s="5" t="s">
        <x:v>142</x:v>
      </x:c>
      <x:c r="V1" s="5" t="s">
        <x:v>142</x:v>
      </x:c>
      <x:c r="W1" s="5" t="s">
        <x:v>142</x:v>
      </x:c>
    </x:row>
    <x:row r="2" ht="24" customHeight="1">
      <x:c r="A2" s="6" t="str">
        <x:f>HYPERLINK("#'账户与交易总览'!A1","总览")</x:f>
        <x:v>总览</x:v>
      </x:c>
      <x:c r="B2" s="6"/>
      <x:c r="C2" s="6"/>
      <x:c r="D2" s="6" t="str">
        <x:f>HYPERLINK("#'逐笔人工复盘总表'!A1","逐笔总表")</x:f>
        <x:v>逐笔总表</x:v>
      </x:c>
      <x:c r="E2" s="6"/>
      <x:c r="F2" s="6"/>
      <x:c r="G2" s="6" t="str">
        <x:f>HYPERLINK("#'单笔交易复盘卡'!A1","单笔卡")</x:f>
        <x:v>单笔卡</x:v>
      </x:c>
      <x:c r="H2" s="6"/>
      <x:c r="I2" s="6"/>
      <x:c r="J2" s="6" t="str">
        <x:f>HYPERLINK("#'完整操作过程'!A1","完整过程")</x:f>
        <x:v>完整过程</x:v>
      </x:c>
      <x:c r="K2" s="6"/>
      <x:c r="L2" s="6"/>
      <x:c r="M2" s="6" t="str">
        <x:f>HYPERLINK("#'账户资金轨迹'!A1","资金轨迹")</x:f>
        <x:v>资金轨迹</x:v>
      </x:c>
      <x:c r="N2" s="6"/>
      <x:c r="O2" s="6"/>
      <x:c r="P2" s="6" t="str">
        <x:f>HYPERLINK("#'人工复盘完成清单'!A1","人工填写")</x:f>
        <x:v>人工填写</x:v>
      </x:c>
      <x:c r="Q2" s="6"/>
      <x:c r="R2" s="6"/>
      <x:c r="S2" s="6" t="str">
        <x:f>HYPERLINK("#'字段与口径说明'!A1","字段口径")</x:f>
        <x:v>字段口径</x:v>
      </x:c>
      <x:c r="T2" s="6"/>
      <x:c r="U2" s="6"/>
      <x:c r="V2" s="6"/>
      <x:c r="W2" s="6"/>
    </x:row>
    <x:row r="3" ht="46" customHeight="1">
      <x:c r="A3" s="7" t="str">
        <x:v>共221条用户可见事件；固定10笔个人主动样本不变。现有条件委托事件已原位补入algorithm_id、正式终态时间、终态类型和是否触发；未新增重复事件，未推断撤销、过期、替换或心理原因。</x:v>
      </x:c>
      <x:c r="B3" s="7" t="s">
        <x:v>143</x:v>
      </x:c>
      <x:c r="C3" s="7" t="s">
        <x:v>143</x:v>
      </x:c>
      <x:c r="D3" s="7" t="s">
        <x:v>143</x:v>
      </x:c>
      <x:c r="E3" s="7" t="s">
        <x:v>143</x:v>
      </x:c>
      <x:c r="F3" s="7" t="s">
        <x:v>143</x:v>
      </x:c>
      <x:c r="G3" s="7" t="s">
        <x:v>143</x:v>
      </x:c>
      <x:c r="H3" s="7" t="s">
        <x:v>143</x:v>
      </x:c>
      <x:c r="I3" s="7" t="s">
        <x:v>143</x:v>
      </x:c>
      <x:c r="J3" s="7" t="s">
        <x:v>143</x:v>
      </x:c>
      <x:c r="K3" s="7" t="s">
        <x:v>143</x:v>
      </x:c>
      <x:c r="L3" s="7" t="s">
        <x:v>143</x:v>
      </x:c>
      <x:c r="M3" s="7" t="s">
        <x:v>143</x:v>
      </x:c>
      <x:c r="N3" s="7" t="s">
        <x:v>143</x:v>
      </x:c>
      <x:c r="O3" s="7" t="s">
        <x:v>143</x:v>
      </x:c>
      <x:c r="P3" s="7" t="s">
        <x:v>143</x:v>
      </x:c>
      <x:c r="Q3" s="7" t="s">
        <x:v>143</x:v>
      </x:c>
      <x:c r="R3" s="7" t="s">
        <x:v>143</x:v>
      </x:c>
      <x:c r="S3" s="7" t="s">
        <x:v>143</x:v>
      </x:c>
      <x:c r="T3" s="7" t="s">
        <x:v>143</x:v>
      </x:c>
      <x:c r="U3" s="7" t="s">
        <x:v>143</x:v>
      </x:c>
      <x:c r="V3" s="7" t="s">
        <x:v>143</x:v>
      </x:c>
      <x:c r="W3" s="7" t="s">
        <x:v>143</x:v>
      </x:c>
    </x:row>
    <x:row r="5" ht="50" customHeight="1">
      <x:c r="A5" s="11" t="s">
        <x:v>23</x:v>
      </x:c>
      <x:c r="B5" s="11" t="s">
        <x:v>144</x:v>
      </x:c>
      <x:c r="C5" s="11" t="s">
        <x:v>145</x:v>
      </x:c>
      <x:c r="D5" s="11" t="s">
        <x:v>146</x:v>
      </x:c>
      <x:c r="E5" s="11" t="s">
        <x:v>147</x:v>
      </x:c>
      <x:c r="F5" s="11" t="s">
        <x:v>148</x:v>
      </x:c>
      <x:c r="G5" s="11" t="s">
        <x:v>149</x:v>
      </x:c>
      <x:c r="H5" s="11" t="s">
        <x:v>116</x:v>
      </x:c>
      <x:c r="I5" s="11" t="s">
        <x:v>117</x:v>
      </x:c>
      <x:c r="J5" s="11" t="s">
        <x:v>118</x:v>
      </x:c>
      <x:c r="K5" s="11" t="s">
        <x:v>150</x:v>
      </x:c>
      <x:c r="L5" s="11" t="s">
        <x:v>151</x:v>
      </x:c>
      <x:c r="M5" s="11" t="s">
        <x:v>152</x:v>
      </x:c>
      <x:c r="N5" s="11" t="s">
        <x:v>153</x:v>
      </x:c>
      <x:c r="O5" s="11" t="s">
        <x:v>154</x:v>
      </x:c>
      <x:c r="P5" s="11" t="s">
        <x:v>155</x:v>
      </x:c>
      <x:c r="Q5" s="11" t="s">
        <x:v>156</x:v>
      </x:c>
      <x:c r="R5" s="11" t="s">
        <x:v>157</x:v>
      </x:c>
      <x:c r="S5" s="11" t="s">
        <x:v>158</x:v>
      </x:c>
      <x:c r="T5" s="11" t="s">
        <x:v>159</x:v>
      </x:c>
      <x:c r="U5" s="11" t="s">
        <x:v>160</x:v>
      </x:c>
      <x:c r="V5" s="11" t="s">
        <x:v>161</x:v>
      </x:c>
      <x:c r="W5" s="11" t="s">
        <x:v>162</x:v>
      </x:c>
    </x:row>
    <x:row r="6" ht="58" customHeight="1">
      <x:c r="A6" s="12" t="s">
        <x:v>67</x:v>
      </x:c>
      <x:c r="B6" s="12" t="s">
        <x:v>163</x:v>
      </x:c>
      <x:c r="C6" s="12" t="s">
        <x:v>164</x:v>
      </x:c>
      <x:c r="D6" s="12" t="s">
        <x:v>165</x:v>
      </x:c>
      <x:c r="E6" s="12" t="s">
        <x:v>3</x:v>
      </x:c>
      <x:c r="F6" s="12" t="s">
        <x:v>166</x:v>
      </x:c>
      <x:c r="G6" s="12" t="s">
        <x:v>167</x:v>
      </x:c>
      <x:c r="H6" s="12">
        <x:v>0.5</x:v>
      </x:c>
      <x:c r="I6" s="12">
        <x:v>0.5</x:v>
      </x:c>
      <x:c r="J6" s="12" t="s">
        <x:v>168</x:v>
      </x:c>
      <x:c r="K6" s="12" t="s">
        <x:v>169</x:v>
      </x:c>
      <x:c r="L6" s="12" t="s">
        <x:v>170</x:v>
      </x:c>
      <x:c r="M6" s="12" t="s">
        <x:v>171</x:v>
      </x:c>
      <x:c r="N6" s="12" t="s">
        <x:v>171</x:v>
      </x:c>
      <x:c r="O6" s="12" t="s">
        <x:v>172</x:v>
      </x:c>
      <x:c r="P6" s="12" t="s">
        <x:v>172</x:v>
      </x:c>
      <x:c r="Q6" s="12" t="s">
        <x:v>172</x:v>
      </x:c>
      <x:c r="R6" s="12" t="s">
        <x:v>173</x:v>
      </x:c>
      <x:c r="S6" s="12" t="s">
        <x:v>174</x:v>
      </x:c>
      <x:c r="T6" s="12" t="s">
        <x:v>175</x:v>
      </x:c>
      <x:c r="U6" s="12" t="s">
        <x:v>172</x:v>
      </x:c>
      <x:c r="V6" s="21" t="s">
        <x:v>176</x:v>
      </x:c>
      <x:c r="W6" s="12" t="str">
        <x:v>来自06C首仓与逐次加仓阶梯；未重新识别委托。</x:v>
      </x:c>
    </x:row>
    <x:row r="7" ht="58" customHeight="1">
      <x:c r="A7" s="14" t="s">
        <x:v>67</x:v>
      </x:c>
      <x:c r="B7" s="14" t="s">
        <x:v>177</x:v>
      </x:c>
      <x:c r="C7" s="14" t="s">
        <x:v>178</x:v>
      </x:c>
      <x:c r="D7" s="14" t="s">
        <x:v>165</x:v>
      </x:c>
      <x:c r="E7" s="14" t="s">
        <x:v>179</x:v>
      </x:c>
      <x:c r="F7" s="14" t="s">
        <x:v>180</x:v>
      </x:c>
      <x:c r="G7" s="14" t="s">
        <x:v>107</x:v>
      </x:c>
      <x:c r="H7" s="14">
        <x:v>0.5</x:v>
      </x:c>
      <x:c r="I7" s="14">
        <x:v>0.5</x:v>
      </x:c>
      <x:c r="J7" s="14" t="s">
        <x:v>168</x:v>
      </x:c>
      <x:c r="K7" s="14" t="s">
        <x:v>170</x:v>
      </x:c>
      <x:c r="L7" s="14" t="s">
        <x:v>169</x:v>
      </x:c>
      <x:c r="M7" s="14" t="s">
        <x:v>171</x:v>
      </x:c>
      <x:c r="N7" s="14" t="s">
        <x:v>172</x:v>
      </x:c>
      <x:c r="O7" s="14" t="s">
        <x:v>172</x:v>
      </x:c>
      <x:c r="P7" s="14" t="s">
        <x:v>172</x:v>
      </x:c>
      <x:c r="Q7" s="14" t="s">
        <x:v>171</x:v>
      </x:c>
      <x:c r="R7" s="14" t="s">
        <x:v>181</x:v>
      </x:c>
      <x:c r="S7" s="14" t="s">
        <x:v>174</x:v>
      </x:c>
      <x:c r="T7" s="14" t="s">
        <x:v>182</x:v>
      </x:c>
      <x:c r="U7" s="14" t="s">
        <x:v>172</x:v>
      </x:c>
      <x:c r="V7" s="21" t="s">
        <x:v>176</x:v>
      </x:c>
      <x:c r="W7" s="14" t="str">
        <x:v>来自06C主动交易用户汇总与逐笔平仓意图汇总；未重新识别委托。</x:v>
      </x:c>
    </x:row>
    <x:row r="8" ht="58" customHeight="1">
      <x:c r="A8" s="12" t="s">
        <x:v>68</x:v>
      </x:c>
      <x:c r="B8" s="12" t="s">
        <x:v>183</x:v>
      </x:c>
      <x:c r="C8" s="12" t="s">
        <x:v>164</x:v>
      </x:c>
      <x:c r="D8" s="12" t="s">
        <x:v>184</x:v>
      </x:c>
      <x:c r="E8" s="12" t="s">
        <x:v>14</x:v>
      </x:c>
      <x:c r="F8" s="12" t="s">
        <x:v>185</x:v>
      </x:c>
      <x:c r="G8" s="12" t="s">
        <x:v>186</x:v>
      </x:c>
      <x:c r="H8" s="12">
        <x:v>2</x:v>
      </x:c>
      <x:c r="I8" s="12">
        <x:v>0</x:v>
      </x:c>
      <x:c r="J8" s="12" t="s">
        <x:v>187</x:v>
      </x:c>
      <x:c r="K8" s="12" t="s">
        <x:v>169</x:v>
      </x:c>
      <x:c r="L8" s="12" t="s">
        <x:v>169</x:v>
      </x:c>
      <x:c r="M8" s="12" t="s">
        <x:v>172</x:v>
      </x:c>
      <x:c r="N8" s="12" t="s">
        <x:v>172</x:v>
      </x:c>
      <x:c r="O8" s="12" t="s">
        <x:v>172</x:v>
      </x:c>
      <x:c r="P8" s="12" t="s">
        <x:v>172</x:v>
      </x:c>
      <x:c r="Q8" s="12" t="s">
        <x:v>172</x:v>
      </x:c>
      <x:c r="R8" s="12" t="s">
        <x:v>188</x:v>
      </x:c>
      <x:c r="S8" s="12" t="s">
        <x:v>189</x:v>
      </x:c>
      <x:c r="T8" s="12" t="s">
        <x:v>190</x:v>
      </x:c>
      <x:c r="U8" s="12" t="s">
        <x:v>172</x:v>
      </x:c>
      <x:c r="V8" s="21" t="s">
        <x:v>176</x:v>
      </x:c>
      <x:c r="W8" s="12" t="str">
        <x:v>独立事件；按本行事实口径计数。</x:v>
      </x:c>
    </x:row>
    <x:row r="9" ht="58" customHeight="1">
      <x:c r="A9" s="14" t="s">
        <x:v>68</x:v>
      </x:c>
      <x:c r="B9" s="14" t="s">
        <x:v>191</x:v>
      </x:c>
      <x:c r="C9" s="14" t="s">
        <x:v>164</x:v>
      </x:c>
      <x:c r="D9" s="14" t="s">
        <x:v>184</x:v>
      </x:c>
      <x:c r="E9" s="14" t="s">
        <x:v>14</x:v>
      </x:c>
      <x:c r="F9" s="14" t="s">
        <x:v>185</x:v>
      </x:c>
      <x:c r="G9" s="14" t="s">
        <x:v>192</x:v>
      </x:c>
      <x:c r="H9" s="14">
        <x:v>3</x:v>
      </x:c>
      <x:c r="I9" s="14">
        <x:v>0</x:v>
      </x:c>
      <x:c r="J9" s="14" t="s">
        <x:v>187</x:v>
      </x:c>
      <x:c r="K9" s="14" t="s">
        <x:v>169</x:v>
      </x:c>
      <x:c r="L9" s="14" t="s">
        <x:v>169</x:v>
      </x:c>
      <x:c r="M9" s="14" t="s">
        <x:v>172</x:v>
      </x:c>
      <x:c r="N9" s="14" t="s">
        <x:v>172</x:v>
      </x:c>
      <x:c r="O9" s="14" t="s">
        <x:v>172</x:v>
      </x:c>
      <x:c r="P9" s="14" t="s">
        <x:v>172</x:v>
      </x:c>
      <x:c r="Q9" s="14" t="s">
        <x:v>172</x:v>
      </x:c>
      <x:c r="R9" s="14" t="s">
        <x:v>193</x:v>
      </x:c>
      <x:c r="S9" s="14" t="s">
        <x:v>189</x:v>
      </x:c>
      <x:c r="T9" s="14" t="s">
        <x:v>190</x:v>
      </x:c>
      <x:c r="U9" s="14" t="s">
        <x:v>172</x:v>
      </x:c>
      <x:c r="V9" s="21" t="s">
        <x:v>176</x:v>
      </x:c>
      <x:c r="W9" s="14" t="str">
        <x:v>独立事件；按本行事实口径计数。</x:v>
      </x:c>
    </x:row>
    <x:row r="10" ht="58" customHeight="1">
      <x:c r="A10" s="12" t="s">
        <x:v>68</x:v>
      </x:c>
      <x:c r="B10" s="12" t="s">
        <x:v>194</x:v>
      </x:c>
      <x:c r="C10" s="12" t="s">
        <x:v>164</x:v>
      </x:c>
      <x:c r="D10" s="12" t="s">
        <x:v>184</x:v>
      </x:c>
      <x:c r="E10" s="12" t="s">
        <x:v>14</x:v>
      </x:c>
      <x:c r="F10" s="12" t="s">
        <x:v>185</x:v>
      </x:c>
      <x:c r="G10" s="12" t="s">
        <x:v>192</x:v>
      </x:c>
      <x:c r="H10" s="12">
        <x:v>3</x:v>
      </x:c>
      <x:c r="I10" s="12">
        <x:v>0</x:v>
      </x:c>
      <x:c r="J10" s="12" t="s">
        <x:v>187</x:v>
      </x:c>
      <x:c r="K10" s="12" t="s">
        <x:v>169</x:v>
      </x:c>
      <x:c r="L10" s="12" t="s">
        <x:v>169</x:v>
      </x:c>
      <x:c r="M10" s="12" t="s">
        <x:v>172</x:v>
      </x:c>
      <x:c r="N10" s="12" t="s">
        <x:v>172</x:v>
      </x:c>
      <x:c r="O10" s="12" t="s">
        <x:v>172</x:v>
      </x:c>
      <x:c r="P10" s="12" t="s">
        <x:v>172</x:v>
      </x:c>
      <x:c r="Q10" s="12" t="s">
        <x:v>172</x:v>
      </x:c>
      <x:c r="R10" s="12" t="s">
        <x:v>195</x:v>
      </x:c>
      <x:c r="S10" s="12" t="s">
        <x:v>20</x:v>
      </x:c>
      <x:c r="T10" s="12" t="s">
        <x:v>196</x:v>
      </x:c>
      <x:c r="U10" s="12" t="s">
        <x:v>171</x:v>
      </x:c>
      <x:c r="V10" s="21" t="s">
        <x:v>176</x:v>
      </x:c>
      <x:c r="W10" s="12" t="str">
        <x:v>独立事件；按本行事实口径计数。</x:v>
      </x:c>
    </x:row>
    <x:row r="11" ht="58" customHeight="1">
      <x:c r="A11" s="14" t="s">
        <x:v>68</x:v>
      </x:c>
      <x:c r="B11" s="14" t="s">
        <x:v>197</x:v>
      </x:c>
      <x:c r="C11" s="14" t="s">
        <x:v>164</x:v>
      </x:c>
      <x:c r="D11" s="14" t="s">
        <x:v>165</x:v>
      </x:c>
      <x:c r="E11" s="14" t="s">
        <x:v>198</x:v>
      </x:c>
      <x:c r="F11" s="14" t="s">
        <x:v>199</x:v>
      </x:c>
      <x:c r="G11" s="14" t="s">
        <x:v>192</x:v>
      </x:c>
      <x:c r="H11" s="14">
        <x:v>1</x:v>
      </x:c>
      <x:c r="I11" s="14">
        <x:v>1</x:v>
      </x:c>
      <x:c r="J11" s="14" t="s">
        <x:v>168</x:v>
      </x:c>
      <x:c r="K11" s="14" t="s">
        <x:v>169</x:v>
      </x:c>
      <x:c r="L11" s="14" t="s">
        <x:v>200</x:v>
      </x:c>
      <x:c r="M11" s="14" t="s">
        <x:v>171</x:v>
      </x:c>
      <x:c r="N11" s="14" t="s">
        <x:v>171</x:v>
      </x:c>
      <x:c r="O11" s="14" t="s">
        <x:v>172</x:v>
      </x:c>
      <x:c r="P11" s="14" t="s">
        <x:v>172</x:v>
      </x:c>
      <x:c r="Q11" s="14" t="s">
        <x:v>172</x:v>
      </x:c>
      <x:c r="R11" s="14" t="s">
        <x:v>193</x:v>
      </x:c>
      <x:c r="S11" s="14" t="s">
        <x:v>189</x:v>
      </x:c>
      <x:c r="T11" s="14" t="s">
        <x:v>201</x:v>
      </x:c>
      <x:c r="U11" s="14" t="s">
        <x:v>172</x:v>
      </x:c>
      <x:c r="V11" s="21" t="s">
        <x:v>176</x:v>
      </x:c>
      <x:c r="W11" s="14" t="str">
        <x:v>独立事件；按本行事实口径计数。</x:v>
      </x:c>
    </x:row>
    <x:row r="12" ht="58" customHeight="1">
      <x:c r="A12" s="12" t="s">
        <x:v>68</x:v>
      </x:c>
      <x:c r="B12" s="12" t="s">
        <x:v>197</x:v>
      </x:c>
      <x:c r="C12" s="12" t="s">
        <x:v>178</x:v>
      </x:c>
      <x:c r="D12" s="12" t="s">
        <x:v>202</x:v>
      </x:c>
      <x:c r="E12" s="12" t="s">
        <x:v>203</x:v>
      </x:c>
      <x:c r="F12" s="12" t="s">
        <x:v>203</x:v>
      </x:c>
      <x:c r="G12" s="12" t="s">
        <x:v>204</x:v>
      </x:c>
      <x:c r="H12" s="12">
        <x:v>1</x:v>
      </x:c>
      <x:c r="I12" s="12">
        <x:v>0</x:v>
      </x:c>
      <x:c r="J12" s="12" t="str">
        <x:v>已过期</x:v>
      </x:c>
      <x:c r="K12" s="12"/>
      <x:c r="L12" s="12"/>
      <x:c r="M12" s="12" t="s">
        <x:v>172</x:v>
      </x:c>
      <x:c r="N12" s="12" t="s">
        <x:v>172</x:v>
      </x:c>
      <x:c r="O12" s="12" t="s">
        <x:v>172</x:v>
      </x:c>
      <x:c r="P12" s="12" t="s">
        <x:v>172</x:v>
      </x:c>
      <x:c r="Q12" s="12" t="s">
        <x:v>172</x:v>
      </x:c>
      <x:c r="R12" s="12" t="str">
        <x:v>相邻记录</x:v>
      </x:c>
      <x:c r="S12" s="12" t="str">
        <x:v>平台直接字段</x:v>
      </x:c>
      <x:c r="T12" s="12" t="str">
        <x:v>条件委托已过期；算法编号1000001813322745；创建时间2026-06-01 07:03:48；过期时间2026-06-01 09:31:04；是否触发否；周期关联等级STRONG_CONTEXT；取消/过期原因无法确认（已完成为不适用）。</x:v>
      </x:c>
      <x:c r="U12" s="12" t="s">
        <x:v>171</x:v>
      </x:c>
      <x:c r="V12" s="21" t="s">
        <x:v>176</x:v>
      </x:c>
      <x:c r="W12" s="12" t="str">
        <x:v>algorithm_id=1000001813322745；terminal_at=2026-06-01 09:31:04；关联=STRONG_CONTEXT</x:v>
      </x:c>
    </x:row>
    <x:row r="13" ht="58" customHeight="1">
      <x:c r="A13" s="14" t="s">
        <x:v>68</x:v>
      </x:c>
      <x:c r="B13" s="14" t="s">
        <x:v>197</x:v>
      </x:c>
      <x:c r="C13" s="14" t="s">
        <x:v>178</x:v>
      </x:c>
      <x:c r="D13" s="14" t="s">
        <x:v>202</x:v>
      </x:c>
      <x:c r="E13" s="14" t="s">
        <x:v>205</x:v>
      </x:c>
      <x:c r="F13" s="14" t="s">
        <x:v>205</x:v>
      </x:c>
      <x:c r="G13" s="14" t="s">
        <x:v>206</x:v>
      </x:c>
      <x:c r="H13" s="14">
        <x:v>1</x:v>
      </x:c>
      <x:c r="I13" s="14">
        <x:v>0</x:v>
      </x:c>
      <x:c r="J13" s="14" t="str">
        <x:v>已过期</x:v>
      </x:c>
      <x:c r="K13" s="14"/>
      <x:c r="L13" s="14"/>
      <x:c r="M13" s="14" t="s">
        <x:v>172</x:v>
      </x:c>
      <x:c r="N13" s="14" t="s">
        <x:v>172</x:v>
      </x:c>
      <x:c r="O13" s="14" t="s">
        <x:v>172</x:v>
      </x:c>
      <x:c r="P13" s="14" t="s">
        <x:v>172</x:v>
      </x:c>
      <x:c r="Q13" s="14" t="s">
        <x:v>172</x:v>
      </x:c>
      <x:c r="R13" s="14" t="str">
        <x:v>相邻记录</x:v>
      </x:c>
      <x:c r="S13" s="14" t="str">
        <x:v>平台直接字段</x:v>
      </x:c>
      <x:c r="T13" s="14" t="str">
        <x:v>条件委托已过期；算法编号1000001813322745；创建时间2026-06-01 07:03:48；过期时间2026-06-01 09:31:04；是否触发否；周期关联等级STRONG_CONTEXT；取消/过期原因无法确认（已完成为不适用）。</x:v>
      </x:c>
      <x:c r="U13" s="14" t="s">
        <x:v>171</x:v>
      </x:c>
      <x:c r="V13" s="21" t="s">
        <x:v>176</x:v>
      </x:c>
      <x:c r="W13" s="14" t="str">
        <x:v>algorithm_id=1000001813322745；terminal_at=2026-06-01 09:31:04；关联=STRONG_CONTEXT</x:v>
      </x:c>
    </x:row>
    <x:row r="14" ht="58" customHeight="1">
      <x:c r="A14" s="12" t="s">
        <x:v>68</x:v>
      </x:c>
      <x:c r="B14" s="12" t="s">
        <x:v>207</x:v>
      </x:c>
      <x:c r="C14" s="12" t="s">
        <x:v>178</x:v>
      </x:c>
      <x:c r="D14" s="12" t="s">
        <x:v>165</x:v>
      </x:c>
      <x:c r="E14" s="12" t="s">
        <x:v>208</x:v>
      </x:c>
      <x:c r="F14" s="12" t="s">
        <x:v>199</x:v>
      </x:c>
      <x:c r="G14" s="12" t="s">
        <x:v>209</x:v>
      </x:c>
      <x:c r="H14" s="12">
        <x:v>1</x:v>
      </x:c>
      <x:c r="I14" s="12">
        <x:v>1</x:v>
      </x:c>
      <x:c r="J14" s="12" t="s">
        <x:v>168</x:v>
      </x:c>
      <x:c r="K14" s="12" t="s">
        <x:v>200</x:v>
      </x:c>
      <x:c r="L14" s="12" t="s">
        <x:v>169</x:v>
      </x:c>
      <x:c r="M14" s="12" t="s">
        <x:v>171</x:v>
      </x:c>
      <x:c r="N14" s="12" t="s">
        <x:v>172</x:v>
      </x:c>
      <x:c r="O14" s="12" t="s">
        <x:v>172</x:v>
      </x:c>
      <x:c r="P14" s="12" t="s">
        <x:v>172</x:v>
      </x:c>
      <x:c r="Q14" s="12" t="s">
        <x:v>171</x:v>
      </x:c>
      <x:c r="R14" s="12" t="s">
        <x:v>188</x:v>
      </x:c>
      <x:c r="S14" s="12" t="s">
        <x:v>174</x:v>
      </x:c>
      <x:c r="T14" s="12" t="s">
        <x:v>210</x:v>
      </x:c>
      <x:c r="U14" s="12" t="s">
        <x:v>172</x:v>
      </x:c>
      <x:c r="V14" s="21" t="s">
        <x:v>176</x:v>
      </x:c>
      <x:c r="W14" s="12" t="str">
        <x:v>独立事件；按本行事实口径计数。</x:v>
      </x:c>
    </x:row>
    <x:row r="15" ht="58" customHeight="1">
      <x:c r="A15" s="14" t="s">
        <x:v>68</x:v>
      </x:c>
      <x:c r="B15" s="14" t="s">
        <x:v>207</x:v>
      </x:c>
      <x:c r="C15" s="14" t="s">
        <x:v>211</x:v>
      </x:c>
      <x:c r="D15" s="14" t="s">
        <x:v>212</x:v>
      </x:c>
      <x:c r="E15" s="14" t="s">
        <x:v>213</x:v>
      </x:c>
      <x:c r="F15" s="14"/>
      <x:c r="G15" s="14"/>
      <x:c r="H15" s="14"/>
      <x:c r="I15" s="14"/>
      <x:c r="J15" s="14"/>
      <x:c r="K15" s="14"/>
      <x:c r="L15" s="14"/>
      <x:c r="M15" s="14" t="s">
        <x:v>172</x:v>
      </x:c>
      <x:c r="N15" s="14" t="s">
        <x:v>172</x:v>
      </x:c>
      <x:c r="O15" s="14" t="s">
        <x:v>172</x:v>
      </x:c>
      <x:c r="P15" s="14" t="s">
        <x:v>172</x:v>
      </x:c>
      <x:c r="Q15" s="14" t="s">
        <x:v>172</x:v>
      </x:c>
      <x:c r="R15" s="14"/>
      <x:c r="S15" s="14" t="s">
        <x:v>214</x:v>
      </x:c>
      <x:c r="T15" s="14" t="s">
        <x:v>215</x:v>
      </x:c>
      <x:c r="U15" s="14" t="s">
        <x:v>172</x:v>
      </x:c>
      <x:c r="V15" s="21" t="s">
        <x:v>176</x:v>
      </x:c>
      <x:c r="W15" s="14" t="str">
        <x:v>独立事件；按本行事实口径计数。</x:v>
      </x:c>
    </x:row>
    <x:row r="16" ht="58" customHeight="1">
      <x:c r="A16" s="12" t="s">
        <x:v>69</x:v>
      </x:c>
      <x:c r="B16" s="12" t="s">
        <x:v>216</x:v>
      </x:c>
      <x:c r="C16" s="12" t="s">
        <x:v>164</x:v>
      </x:c>
      <x:c r="D16" s="12" t="s">
        <x:v>165</x:v>
      </x:c>
      <x:c r="E16" s="12" t="s">
        <x:v>198</x:v>
      </x:c>
      <x:c r="F16" s="12" t="s">
        <x:v>199</x:v>
      </x:c>
      <x:c r="G16" s="12" t="s">
        <x:v>217</x:v>
      </x:c>
      <x:c r="H16" s="12">
        <x:v>4</x:v>
      </x:c>
      <x:c r="I16" s="12">
        <x:v>4</x:v>
      </x:c>
      <x:c r="J16" s="12" t="s">
        <x:v>168</x:v>
      </x:c>
      <x:c r="K16" s="12" t="s">
        <x:v>169</x:v>
      </x:c>
      <x:c r="L16" s="12" t="s">
        <x:v>218</x:v>
      </x:c>
      <x:c r="M16" s="12" t="s">
        <x:v>171</x:v>
      </x:c>
      <x:c r="N16" s="12" t="s">
        <x:v>171</x:v>
      </x:c>
      <x:c r="O16" s="12" t="s">
        <x:v>172</x:v>
      </x:c>
      <x:c r="P16" s="12" t="s">
        <x:v>172</x:v>
      </x:c>
      <x:c r="Q16" s="12" t="s">
        <x:v>172</x:v>
      </x:c>
      <x:c r="R16" s="12" t="s">
        <x:v>188</x:v>
      </x:c>
      <x:c r="S16" s="12" t="s">
        <x:v>174</x:v>
      </x:c>
      <x:c r="T16" s="12" t="s">
        <x:v>219</x:v>
      </x:c>
      <x:c r="U16" s="12" t="s">
        <x:v>172</x:v>
      </x:c>
      <x:c r="V16" s="21" t="s">
        <x:v>176</x:v>
      </x:c>
      <x:c r="W16" s="12" t="str">
        <x:v>独立事件；按本行事实口径计数。</x:v>
      </x:c>
    </x:row>
    <x:row r="17" ht="58" customHeight="1">
      <x:c r="A17" s="14" t="s">
        <x:v>69</x:v>
      </x:c>
      <x:c r="B17" s="14" t="s">
        <x:v>220</x:v>
      </x:c>
      <x:c r="C17" s="14" t="s">
        <x:v>178</x:v>
      </x:c>
      <x:c r="D17" s="14" t="s">
        <x:v>202</x:v>
      </x:c>
      <x:c r="E17" s="14" t="s">
        <x:v>205</x:v>
      </x:c>
      <x:c r="F17" s="14" t="s">
        <x:v>205</x:v>
      </x:c>
      <x:c r="G17" s="14" t="s">
        <x:v>221</x:v>
      </x:c>
      <x:c r="H17" s="14">
        <x:v>0</x:v>
      </x:c>
      <x:c r="I17" s="14">
        <x:v>0</x:v>
      </x:c>
      <x:c r="J17" s="14" t="str">
        <x:v>已取消</x:v>
      </x:c>
      <x:c r="K17" s="14"/>
      <x:c r="L17" s="14"/>
      <x:c r="M17" s="14" t="s">
        <x:v>172</x:v>
      </x:c>
      <x:c r="N17" s="14" t="s">
        <x:v>172</x:v>
      </x:c>
      <x:c r="O17" s="14" t="s">
        <x:v>172</x:v>
      </x:c>
      <x:c r="P17" s="14" t="s">
        <x:v>172</x:v>
      </x:c>
      <x:c r="Q17" s="14" t="s">
        <x:v>172</x:v>
      </x:c>
      <x:c r="R17" s="14" t="str">
        <x:v>疑似连续调整</x:v>
      </x:c>
      <x:c r="S17" s="14" t="str">
        <x:v>平台直接字段</x:v>
      </x:c>
      <x:c r="T17" s="14" t="str">
        <x:v>条件委托已取消；算法编号1000001820819619；创建时间2026-06-02 00:27:00；撤销时间2026-06-02 00:56:39；是否触发否；周期关联等级STRONG_CONTEXT；取消/过期原因无法确认（已完成为不适用）。</x:v>
      </x:c>
      <x:c r="U17" s="14" t="s">
        <x:v>172</x:v>
      </x:c>
      <x:c r="V17" s="21" t="s">
        <x:v>176</x:v>
      </x:c>
      <x:c r="W17" s="14" t="str">
        <x:v>algorithm_id=1000001820819619；terminal_at=2026-06-02 00:56:39；关联=STRONG_CONTEXT</x:v>
      </x:c>
    </x:row>
    <x:row r="18" ht="58" customHeight="1">
      <x:c r="A18" s="12" t="s">
        <x:v>69</x:v>
      </x:c>
      <x:c r="B18" s="12" t="s">
        <x:v>222</x:v>
      </x:c>
      <x:c r="C18" s="12" t="s">
        <x:v>178</x:v>
      </x:c>
      <x:c r="D18" s="12" t="s">
        <x:v>184</x:v>
      </x:c>
      <x:c r="E18" s="12" t="s">
        <x:v>223</x:v>
      </x:c>
      <x:c r="F18" s="12" t="s">
        <x:v>185</x:v>
      </x:c>
      <x:c r="G18" s="12" t="s">
        <x:v>224</x:v>
      </x:c>
      <x:c r="H18" s="12">
        <x:v>4</x:v>
      </x:c>
      <x:c r="I18" s="12">
        <x:v>0</x:v>
      </x:c>
      <x:c r="J18" s="12" t="s">
        <x:v>187</x:v>
      </x:c>
      <x:c r="K18" s="12" t="s">
        <x:v>218</x:v>
      </x:c>
      <x:c r="L18" s="12" t="s">
        <x:v>218</x:v>
      </x:c>
      <x:c r="M18" s="12" t="s">
        <x:v>172</x:v>
      </x:c>
      <x:c r="N18" s="12" t="s">
        <x:v>172</x:v>
      </x:c>
      <x:c r="O18" s="12" t="s">
        <x:v>172</x:v>
      </x:c>
      <x:c r="P18" s="12" t="s">
        <x:v>172</x:v>
      </x:c>
      <x:c r="Q18" s="12" t="s">
        <x:v>172</x:v>
      </x:c>
      <x:c r="R18" s="12" t="s">
        <x:v>188</x:v>
      </x:c>
      <x:c r="S18" s="12" t="s">
        <x:v>189</x:v>
      </x:c>
      <x:c r="T18" s="12" t="s">
        <x:v>225</x:v>
      </x:c>
      <x:c r="U18" s="12" t="s">
        <x:v>172</x:v>
      </x:c>
      <x:c r="V18" s="21" t="s">
        <x:v>176</x:v>
      </x:c>
      <x:c r="W18" s="12" t="str">
        <x:v>独立事件；按本行事实口径计数。</x:v>
      </x:c>
    </x:row>
    <x:row r="19" ht="58" customHeight="1">
      <x:c r="A19" s="14" t="s">
        <x:v>69</x:v>
      </x:c>
      <x:c r="B19" s="14" t="s">
        <x:v>226</x:v>
      </x:c>
      <x:c r="C19" s="14" t="s">
        <x:v>178</x:v>
      </x:c>
      <x:c r="D19" s="14" t="s">
        <x:v>165</x:v>
      </x:c>
      <x:c r="E19" s="14" t="s">
        <x:v>227</x:v>
      </x:c>
      <x:c r="F19" s="14" t="s">
        <x:v>199</x:v>
      </x:c>
      <x:c r="G19" s="14" t="s">
        <x:v>228</x:v>
      </x:c>
      <x:c r="H19" s="14">
        <x:v>4</x:v>
      </x:c>
      <x:c r="I19" s="14">
        <x:v>4</x:v>
      </x:c>
      <x:c r="J19" s="14" t="s">
        <x:v>168</x:v>
      </x:c>
      <x:c r="K19" s="14" t="s">
        <x:v>218</x:v>
      </x:c>
      <x:c r="L19" s="14" t="s">
        <x:v>229</x:v>
      </x:c>
      <x:c r="M19" s="14" t="s">
        <x:v>171</x:v>
      </x:c>
      <x:c r="N19" s="14" t="s">
        <x:v>172</x:v>
      </x:c>
      <x:c r="O19" s="14" t="s">
        <x:v>171</x:v>
      </x:c>
      <x:c r="P19" s="14" t="s">
        <x:v>172</x:v>
      </x:c>
      <x:c r="Q19" s="14" t="s">
        <x:v>172</x:v>
      </x:c>
      <x:c r="R19" s="14" t="s">
        <x:v>193</x:v>
      </x:c>
      <x:c r="S19" s="14" t="s">
        <x:v>189</x:v>
      </x:c>
      <x:c r="T19" s="14" t="s">
        <x:v>230</x:v>
      </x:c>
      <x:c r="U19" s="14" t="s">
        <x:v>172</x:v>
      </x:c>
      <x:c r="V19" s="21" t="s">
        <x:v>176</x:v>
      </x:c>
      <x:c r="W19" s="14" t="str">
        <x:v>独立事件；按本行事实口径计数。</x:v>
      </x:c>
    </x:row>
    <x:row r="20" ht="58" customHeight="1">
      <x:c r="A20" s="12" t="s">
        <x:v>69</x:v>
      </x:c>
      <x:c r="B20" s="12" t="s">
        <x:v>231</x:v>
      </x:c>
      <x:c r="C20" s="12" t="s">
        <x:v>178</x:v>
      </x:c>
      <x:c r="D20" s="12" t="s">
        <x:v>202</x:v>
      </x:c>
      <x:c r="E20" s="12" t="s">
        <x:v>205</x:v>
      </x:c>
      <x:c r="F20" s="12" t="s">
        <x:v>205</x:v>
      </x:c>
      <x:c r="G20" s="12" t="s">
        <x:v>232</x:v>
      </x:c>
      <x:c r="H20" s="12">
        <x:v>0</x:v>
      </x:c>
      <x:c r="I20" s="12">
        <x:v>0</x:v>
      </x:c>
      <x:c r="J20" s="12" t="str">
        <x:v>已过期</x:v>
      </x:c>
      <x:c r="K20" s="12"/>
      <x:c r="L20" s="12"/>
      <x:c r="M20" s="12" t="s">
        <x:v>172</x:v>
      </x:c>
      <x:c r="N20" s="12" t="s">
        <x:v>172</x:v>
      </x:c>
      <x:c r="O20" s="12" t="s">
        <x:v>172</x:v>
      </x:c>
      <x:c r="P20" s="12" t="s">
        <x:v>172</x:v>
      </x:c>
      <x:c r="Q20" s="12" t="s">
        <x:v>172</x:v>
      </x:c>
      <x:c r="R20" s="12" t="str">
        <x:v>疑似连续调整</x:v>
      </x:c>
      <x:c r="S20" s="12" t="str">
        <x:v>平台直接字段</x:v>
      </x:c>
      <x:c r="T20" s="12" t="str">
        <x:v>条件委托已过期；算法编号1000001821052253；创建时间2026-06-02 00:56:40；过期时间2026-06-02 02:26:09；是否触发否；周期关联等级STRONG_CONTEXT；取消/过期原因无法确认（已完成为不适用）。</x:v>
      </x:c>
      <x:c r="U20" s="12" t="s">
        <x:v>172</x:v>
      </x:c>
      <x:c r="V20" s="21" t="s">
        <x:v>176</x:v>
      </x:c>
      <x:c r="W20" s="12" t="str">
        <x:v>algorithm_id=1000001821052253；terminal_at=2026-06-02 02:26:09；关联=STRONG_CONTEXT</x:v>
      </x:c>
    </x:row>
    <x:row r="21" ht="58" customHeight="1">
      <x:c r="A21" s="14" t="s">
        <x:v>69</x:v>
      </x:c>
      <x:c r="B21" s="14" t="s">
        <x:v>233</x:v>
      </x:c>
      <x:c r="C21" s="14" t="s">
        <x:v>178</x:v>
      </x:c>
      <x:c r="D21" s="14" t="s">
        <x:v>184</x:v>
      </x:c>
      <x:c r="E21" s="14" t="s">
        <x:v>234</x:v>
      </x:c>
      <x:c r="F21" s="14" t="s">
        <x:v>185</x:v>
      </x:c>
      <x:c r="G21" s="14" t="s">
        <x:v>235</x:v>
      </x:c>
      <x:c r="H21" s="14">
        <x:v>8</x:v>
      </x:c>
      <x:c r="I21" s="14">
        <x:v>0</x:v>
      </x:c>
      <x:c r="J21" s="14" t="s">
        <x:v>236</x:v>
      </x:c>
      <x:c r="K21" s="14" t="s">
        <x:v>229</x:v>
      </x:c>
      <x:c r="L21" s="14" t="s">
        <x:v>229</x:v>
      </x:c>
      <x:c r="M21" s="14" t="s">
        <x:v>172</x:v>
      </x:c>
      <x:c r="N21" s="14" t="s">
        <x:v>172</x:v>
      </x:c>
      <x:c r="O21" s="14" t="s">
        <x:v>172</x:v>
      </x:c>
      <x:c r="P21" s="14" t="s">
        <x:v>172</x:v>
      </x:c>
      <x:c r="Q21" s="14" t="s">
        <x:v>172</x:v>
      </x:c>
      <x:c r="R21" s="14" t="s">
        <x:v>195</x:v>
      </x:c>
      <x:c r="S21" s="14" t="s">
        <x:v>20</x:v>
      </x:c>
      <x:c r="T21" s="14" t="s">
        <x:v>237</x:v>
      </x:c>
      <x:c r="U21" s="14" t="s">
        <x:v>171</x:v>
      </x:c>
      <x:c r="V21" s="21" t="s">
        <x:v>176</x:v>
      </x:c>
      <x:c r="W21" s="14" t="str">
        <x:v>独立事件；按本行事实口径计数。</x:v>
      </x:c>
    </x:row>
    <x:row r="22" ht="58" customHeight="1">
      <x:c r="A22" s="12" t="s">
        <x:v>69</x:v>
      </x:c>
      <x:c r="B22" s="12" t="s">
        <x:v>238</x:v>
      </x:c>
      <x:c r="C22" s="12" t="s">
        <x:v>178</x:v>
      </x:c>
      <x:c r="D22" s="12" t="s">
        <x:v>165</x:v>
      </x:c>
      <x:c r="E22" s="12" t="s">
        <x:v>239</x:v>
      </x:c>
      <x:c r="F22" s="12" t="s">
        <x:v>240</x:v>
      </x:c>
      <x:c r="G22" s="12"/>
      <x:c r="H22" s="12">
        <x:v>8</x:v>
      </x:c>
      <x:c r="I22" s="12">
        <x:v>8</x:v>
      </x:c>
      <x:c r="J22" s="12" t="s">
        <x:v>168</x:v>
      </x:c>
      <x:c r="K22" s="12" t="s">
        <x:v>229</x:v>
      </x:c>
      <x:c r="L22" s="12" t="s">
        <x:v>169</x:v>
      </x:c>
      <x:c r="M22" s="12" t="s">
        <x:v>171</x:v>
      </x:c>
      <x:c r="N22" s="12" t="s">
        <x:v>172</x:v>
      </x:c>
      <x:c r="O22" s="12" t="s">
        <x:v>172</x:v>
      </x:c>
      <x:c r="P22" s="12" t="s">
        <x:v>172</x:v>
      </x:c>
      <x:c r="Q22" s="12" t="s">
        <x:v>171</x:v>
      </x:c>
      <x:c r="R22" s="12" t="s">
        <x:v>193</x:v>
      </x:c>
      <x:c r="S22" s="12" t="s">
        <x:v>189</x:v>
      </x:c>
      <x:c r="T22" s="12" t="s">
        <x:v>241</x:v>
      </x:c>
      <x:c r="U22" s="12" t="s">
        <x:v>172</x:v>
      </x:c>
      <x:c r="V22" s="21" t="s">
        <x:v>176</x:v>
      </x:c>
      <x:c r="W22" s="12" t="str">
        <x:v>独立事件；按本行事实口径计数。</x:v>
      </x:c>
    </x:row>
    <x:row r="23" ht="58" customHeight="1">
      <x:c r="A23" s="14" t="s">
        <x:v>69</x:v>
      </x:c>
      <x:c r="B23" s="14" t="s">
        <x:v>238</x:v>
      </x:c>
      <x:c r="C23" s="14" t="s">
        <x:v>211</x:v>
      </x:c>
      <x:c r="D23" s="14" t="s">
        <x:v>212</x:v>
      </x:c>
      <x:c r="E23" s="14" t="s">
        <x:v>213</x:v>
      </x:c>
      <x:c r="F23" s="14"/>
      <x:c r="G23" s="14"/>
      <x:c r="H23" s="14"/>
      <x:c r="I23" s="14"/>
      <x:c r="J23" s="14"/>
      <x:c r="K23" s="14"/>
      <x:c r="L23" s="14"/>
      <x:c r="M23" s="14" t="s">
        <x:v>172</x:v>
      </x:c>
      <x:c r="N23" s="14" t="s">
        <x:v>172</x:v>
      </x:c>
      <x:c r="O23" s="14" t="s">
        <x:v>172</x:v>
      </x:c>
      <x:c r="P23" s="14" t="s">
        <x:v>172</x:v>
      </x:c>
      <x:c r="Q23" s="14" t="s">
        <x:v>172</x:v>
      </x:c>
      <x:c r="R23" s="14"/>
      <x:c r="S23" s="14" t="s">
        <x:v>214</x:v>
      </x:c>
      <x:c r="T23" s="14" t="s">
        <x:v>242</x:v>
      </x:c>
      <x:c r="U23" s="14" t="s">
        <x:v>172</x:v>
      </x:c>
      <x:c r="V23" s="21" t="s">
        <x:v>176</x:v>
      </x:c>
      <x:c r="W23" s="14" t="str">
        <x:v>独立事件；按本行事实口径计数。</x:v>
      </x:c>
    </x:row>
    <x:row r="24" ht="58" customHeight="1">
      <x:c r="A24" s="12" t="s">
        <x:v>70</x:v>
      </x:c>
      <x:c r="B24" s="12" t="s">
        <x:v>238</x:v>
      </x:c>
      <x:c r="C24" s="12" t="s">
        <x:v>164</x:v>
      </x:c>
      <x:c r="D24" s="12" t="s">
        <x:v>165</x:v>
      </x:c>
      <x:c r="E24" s="12" t="s">
        <x:v>243</x:v>
      </x:c>
      <x:c r="F24" s="12" t="s">
        <x:v>240</x:v>
      </x:c>
      <x:c r="G24" s="12"/>
      <x:c r="H24" s="12">
        <x:v>8</x:v>
      </x:c>
      <x:c r="I24" s="12">
        <x:v>8</x:v>
      </x:c>
      <x:c r="J24" s="12" t="s">
        <x:v>168</x:v>
      </x:c>
      <x:c r="K24" s="12" t="s">
        <x:v>169</x:v>
      </x:c>
      <x:c r="L24" s="12" t="s">
        <x:v>229</x:v>
      </x:c>
      <x:c r="M24" s="12" t="s">
        <x:v>171</x:v>
      </x:c>
      <x:c r="N24" s="12" t="s">
        <x:v>171</x:v>
      </x:c>
      <x:c r="O24" s="12" t="s">
        <x:v>172</x:v>
      </x:c>
      <x:c r="P24" s="12" t="s">
        <x:v>172</x:v>
      </x:c>
      <x:c r="Q24" s="12" t="s">
        <x:v>172</x:v>
      </x:c>
      <x:c r="R24" s="12" t="s">
        <x:v>188</x:v>
      </x:c>
      <x:c r="S24" s="12" t="s">
        <x:v>174</x:v>
      </x:c>
      <x:c r="T24" s="12" t="s">
        <x:v>244</x:v>
      </x:c>
      <x:c r="U24" s="12" t="s">
        <x:v>172</x:v>
      </x:c>
      <x:c r="V24" s="21" t="s">
        <x:v>176</x:v>
      </x:c>
      <x:c r="W24" s="12" t="str">
        <x:v>独立事件；按本行事实口径计数。</x:v>
      </x:c>
    </x:row>
    <x:row r="25" ht="58" customHeight="1">
      <x:c r="A25" s="14" t="s">
        <x:v>70</x:v>
      </x:c>
      <x:c r="B25" s="14" t="s">
        <x:v>245</x:v>
      </x:c>
      <x:c r="C25" s="14" t="s">
        <x:v>178</x:v>
      </x:c>
      <x:c r="D25" s="14" t="s">
        <x:v>165</x:v>
      </x:c>
      <x:c r="E25" s="14" t="s">
        <x:v>246</x:v>
      </x:c>
      <x:c r="F25" s="14" t="s">
        <x:v>240</x:v>
      </x:c>
      <x:c r="G25" s="14"/>
      <x:c r="H25" s="14">
        <x:v>8</x:v>
      </x:c>
      <x:c r="I25" s="14">
        <x:v>8</x:v>
      </x:c>
      <x:c r="J25" s="14" t="s">
        <x:v>168</x:v>
      </x:c>
      <x:c r="K25" s="14" t="s">
        <x:v>229</x:v>
      </x:c>
      <x:c r="L25" s="14" t="s">
        <x:v>169</x:v>
      </x:c>
      <x:c r="M25" s="14" t="s">
        <x:v>171</x:v>
      </x:c>
      <x:c r="N25" s="14" t="s">
        <x:v>172</x:v>
      </x:c>
      <x:c r="O25" s="14" t="s">
        <x:v>172</x:v>
      </x:c>
      <x:c r="P25" s="14" t="s">
        <x:v>172</x:v>
      </x:c>
      <x:c r="Q25" s="14" t="s">
        <x:v>171</x:v>
      </x:c>
      <x:c r="R25" s="14" t="s">
        <x:v>188</x:v>
      </x:c>
      <x:c r="S25" s="14" t="s">
        <x:v>174</x:v>
      </x:c>
      <x:c r="T25" s="14" t="s">
        <x:v>247</x:v>
      </x:c>
      <x:c r="U25" s="14" t="s">
        <x:v>172</x:v>
      </x:c>
      <x:c r="V25" s="21" t="s">
        <x:v>176</x:v>
      </x:c>
      <x:c r="W25" s="14" t="str">
        <x:v>独立事件；按本行事实口径计数。</x:v>
      </x:c>
    </x:row>
    <x:row r="26" ht="58" customHeight="1">
      <x:c r="A26" s="12" t="s">
        <x:v>70</x:v>
      </x:c>
      <x:c r="B26" s="12" t="s">
        <x:v>245</x:v>
      </x:c>
      <x:c r="C26" s="12" t="s">
        <x:v>211</x:v>
      </x:c>
      <x:c r="D26" s="12" t="s">
        <x:v>212</x:v>
      </x:c>
      <x:c r="E26" s="12" t="s">
        <x:v>213</x:v>
      </x:c>
      <x:c r="F26" s="12"/>
      <x:c r="G26" s="12"/>
      <x:c r="H26" s="12"/>
      <x:c r="I26" s="12"/>
      <x:c r="J26" s="12"/>
      <x:c r="K26" s="12"/>
      <x:c r="L26" s="12"/>
      <x:c r="M26" s="12" t="s">
        <x:v>172</x:v>
      </x:c>
      <x:c r="N26" s="12" t="s">
        <x:v>172</x:v>
      </x:c>
      <x:c r="O26" s="12" t="s">
        <x:v>172</x:v>
      </x:c>
      <x:c r="P26" s="12" t="s">
        <x:v>172</x:v>
      </x:c>
      <x:c r="Q26" s="12" t="s">
        <x:v>172</x:v>
      </x:c>
      <x:c r="R26" s="12"/>
      <x:c r="S26" s="12" t="s">
        <x:v>214</x:v>
      </x:c>
      <x:c r="T26" s="12" t="s">
        <x:v>242</x:v>
      </x:c>
      <x:c r="U26" s="12" t="s">
        <x:v>172</x:v>
      </x:c>
      <x:c r="V26" s="21" t="s">
        <x:v>176</x:v>
      </x:c>
      <x:c r="W26" s="12" t="str">
        <x:v>独立事件；按本行事实口径计数。</x:v>
      </x:c>
    </x:row>
    <x:row r="27" ht="58" customHeight="1">
      <x:c r="A27" s="14" t="s">
        <x:v>71</x:v>
      </x:c>
      <x:c r="B27" s="14" t="s">
        <x:v>248</x:v>
      </x:c>
      <x:c r="C27" s="14" t="s">
        <x:v>164</x:v>
      </x:c>
      <x:c r="D27" s="14" t="s">
        <x:v>184</x:v>
      </x:c>
      <x:c r="E27" s="14" t="s">
        <x:v>14</x:v>
      </x:c>
      <x:c r="F27" s="14" t="s">
        <x:v>185</x:v>
      </x:c>
      <x:c r="G27" s="14" t="s">
        <x:v>249</x:v>
      </x:c>
      <x:c r="H27" s="14">
        <x:v>2.676</x:v>
      </x:c>
      <x:c r="I27" s="14">
        <x:v>0</x:v>
      </x:c>
      <x:c r="J27" s="14" t="s">
        <x:v>187</x:v>
      </x:c>
      <x:c r="K27" s="14" t="s">
        <x:v>169</x:v>
      </x:c>
      <x:c r="L27" s="14" t="s">
        <x:v>169</x:v>
      </x:c>
      <x:c r="M27" s="14" t="s">
        <x:v>172</x:v>
      </x:c>
      <x:c r="N27" s="14" t="s">
        <x:v>172</x:v>
      </x:c>
      <x:c r="O27" s="14" t="s">
        <x:v>172</x:v>
      </x:c>
      <x:c r="P27" s="14" t="s">
        <x:v>172</x:v>
      </x:c>
      <x:c r="Q27" s="14" t="s">
        <x:v>172</x:v>
      </x:c>
      <x:c r="R27" s="14" t="s">
        <x:v>188</x:v>
      </x:c>
      <x:c r="S27" s="14" t="s">
        <x:v>189</x:v>
      </x:c>
      <x:c r="T27" s="14" t="s">
        <x:v>190</x:v>
      </x:c>
      <x:c r="U27" s="14" t="s">
        <x:v>172</x:v>
      </x:c>
      <x:c r="V27" s="21" t="s">
        <x:v>176</x:v>
      </x:c>
      <x:c r="W27" s="14" t="str">
        <x:v>独立事件；按本行事实口径计数。</x:v>
      </x:c>
    </x:row>
    <x:row r="28" ht="58" customHeight="1">
      <x:c r="A28" s="12" t="s">
        <x:v>71</x:v>
      </x:c>
      <x:c r="B28" s="12" t="s">
        <x:v>250</x:v>
      </x:c>
      <x:c r="C28" s="12" t="s">
        <x:v>164</x:v>
      </x:c>
      <x:c r="D28" s="12" t="s">
        <x:v>184</x:v>
      </x:c>
      <x:c r="E28" s="12" t="s">
        <x:v>251</x:v>
      </x:c>
      <x:c r="F28" s="12" t="s">
        <x:v>185</x:v>
      </x:c>
      <x:c r="G28" s="12" t="s">
        <x:v>252</x:v>
      </x:c>
      <x:c r="H28" s="12">
        <x:v>4.746</x:v>
      </x:c>
      <x:c r="I28" s="12">
        <x:v>0</x:v>
      </x:c>
      <x:c r="J28" s="12" t="s">
        <x:v>187</x:v>
      </x:c>
      <x:c r="K28" s="12" t="s">
        <x:v>169</x:v>
      </x:c>
      <x:c r="L28" s="12" t="s">
        <x:v>169</x:v>
      </x:c>
      <x:c r="M28" s="12" t="s">
        <x:v>172</x:v>
      </x:c>
      <x:c r="N28" s="12" t="s">
        <x:v>172</x:v>
      </x:c>
      <x:c r="O28" s="12" t="s">
        <x:v>172</x:v>
      </x:c>
      <x:c r="P28" s="12" t="s">
        <x:v>172</x:v>
      </x:c>
      <x:c r="Q28" s="12" t="s">
        <x:v>172</x:v>
      </x:c>
      <x:c r="R28" s="12" t="s">
        <x:v>16</x:v>
      </x:c>
      <x:c r="S28" s="12" t="s">
        <x:v>189</x:v>
      </x:c>
      <x:c r="T28" s="12" t="s">
        <x:v>253</x:v>
      </x:c>
      <x:c r="U28" s="12" t="s">
        <x:v>172</x:v>
      </x:c>
      <x:c r="V28" s="21" t="s">
        <x:v>176</x:v>
      </x:c>
      <x:c r="W28" s="12" t="str">
        <x:v>独立事件；按本行事实口径计数。</x:v>
      </x:c>
    </x:row>
    <x:row r="29" ht="58" customHeight="1">
      <x:c r="A29" s="14" t="s">
        <x:v>71</x:v>
      </x:c>
      <x:c r="B29" s="14" t="s">
        <x:v>254</x:v>
      </x:c>
      <x:c r="C29" s="14" t="s">
        <x:v>164</x:v>
      </x:c>
      <x:c r="D29" s="14" t="s">
        <x:v>184</x:v>
      </x:c>
      <x:c r="E29" s="14" t="s">
        <x:v>14</x:v>
      </x:c>
      <x:c r="F29" s="14" t="s">
        <x:v>185</x:v>
      </x:c>
      <x:c r="G29" s="14" t="s">
        <x:v>255</x:v>
      </x:c>
      <x:c r="H29" s="14">
        <x:v>3.706</x:v>
      </x:c>
      <x:c r="I29" s="14">
        <x:v>0</x:v>
      </x:c>
      <x:c r="J29" s="14" t="s">
        <x:v>187</x:v>
      </x:c>
      <x:c r="K29" s="14" t="s">
        <x:v>169</x:v>
      </x:c>
      <x:c r="L29" s="14" t="s">
        <x:v>169</x:v>
      </x:c>
      <x:c r="M29" s="14" t="s">
        <x:v>172</x:v>
      </x:c>
      <x:c r="N29" s="14" t="s">
        <x:v>172</x:v>
      </x:c>
      <x:c r="O29" s="14" t="s">
        <x:v>172</x:v>
      </x:c>
      <x:c r="P29" s="14" t="s">
        <x:v>172</x:v>
      </x:c>
      <x:c r="Q29" s="14" t="s">
        <x:v>172</x:v>
      </x:c>
      <x:c r="R29" s="14" t="s">
        <x:v>16</x:v>
      </x:c>
      <x:c r="S29" s="14" t="s">
        <x:v>189</x:v>
      </x:c>
      <x:c r="T29" s="14" t="s">
        <x:v>190</x:v>
      </x:c>
      <x:c r="U29" s="14" t="s">
        <x:v>172</x:v>
      </x:c>
      <x:c r="V29" s="21" t="s">
        <x:v>176</x:v>
      </x:c>
      <x:c r="W29" s="14" t="str">
        <x:v>独立事件；按本行事实口径计数。</x:v>
      </x:c>
    </x:row>
    <x:row r="30" ht="58" customHeight="1">
      <x:c r="A30" s="12" t="s">
        <x:v>71</x:v>
      </x:c>
      <x:c r="B30" s="12" t="s">
        <x:v>256</x:v>
      </x:c>
      <x:c r="C30" s="12" t="s">
        <x:v>164</x:v>
      </x:c>
      <x:c r="D30" s="12" t="s">
        <x:v>184</x:v>
      </x:c>
      <x:c r="E30" s="12" t="s">
        <x:v>251</x:v>
      </x:c>
      <x:c r="F30" s="12" t="s">
        <x:v>185</x:v>
      </x:c>
      <x:c r="G30" s="12" t="s">
        <x:v>257</x:v>
      </x:c>
      <x:c r="H30" s="12">
        <x:v>4.85</x:v>
      </x:c>
      <x:c r="I30" s="12">
        <x:v>0</x:v>
      </x:c>
      <x:c r="J30" s="12" t="s">
        <x:v>187</x:v>
      </x:c>
      <x:c r="K30" s="12" t="s">
        <x:v>169</x:v>
      </x:c>
      <x:c r="L30" s="12" t="s">
        <x:v>169</x:v>
      </x:c>
      <x:c r="M30" s="12" t="s">
        <x:v>172</x:v>
      </x:c>
      <x:c r="N30" s="12" t="s">
        <x:v>172</x:v>
      </x:c>
      <x:c r="O30" s="12" t="s">
        <x:v>172</x:v>
      </x:c>
      <x:c r="P30" s="12" t="s">
        <x:v>172</x:v>
      </x:c>
      <x:c r="Q30" s="12" t="s">
        <x:v>172</x:v>
      </x:c>
      <x:c r="R30" s="12" t="s">
        <x:v>16</x:v>
      </x:c>
      <x:c r="S30" s="12" t="s">
        <x:v>189</x:v>
      </x:c>
      <x:c r="T30" s="12" t="s">
        <x:v>253</x:v>
      </x:c>
      <x:c r="U30" s="12" t="s">
        <x:v>172</x:v>
      </x:c>
      <x:c r="V30" s="21" t="s">
        <x:v>176</x:v>
      </x:c>
      <x:c r="W30" s="12" t="str">
        <x:v>独立事件；按本行事实口径计数。</x:v>
      </x:c>
    </x:row>
    <x:row r="31" ht="58" customHeight="1">
      <x:c r="A31" s="14" t="s">
        <x:v>71</x:v>
      </x:c>
      <x:c r="B31" s="14" t="s">
        <x:v>258</x:v>
      </x:c>
      <x:c r="C31" s="14" t="s">
        <x:v>164</x:v>
      </x:c>
      <x:c r="D31" s="14" t="s">
        <x:v>165</x:v>
      </x:c>
      <x:c r="E31" s="14" t="s">
        <x:v>259</x:v>
      </x:c>
      <x:c r="F31" s="14" t="s">
        <x:v>199</x:v>
      </x:c>
      <x:c r="G31" s="14" t="s">
        <x:v>260</x:v>
      </x:c>
      <x:c r="H31" s="14">
        <x:v>4</x:v>
      </x:c>
      <x:c r="I31" s="14">
        <x:v>4</x:v>
      </x:c>
      <x:c r="J31" s="14" t="s">
        <x:v>168</x:v>
      </x:c>
      <x:c r="K31" s="14" t="s">
        <x:v>169</x:v>
      </x:c>
      <x:c r="L31" s="14" t="s">
        <x:v>218</x:v>
      </x:c>
      <x:c r="M31" s="14" t="s">
        <x:v>171</x:v>
      </x:c>
      <x:c r="N31" s="14" t="s">
        <x:v>171</x:v>
      </x:c>
      <x:c r="O31" s="14" t="s">
        <x:v>172</x:v>
      </x:c>
      <x:c r="P31" s="14" t="s">
        <x:v>172</x:v>
      </x:c>
      <x:c r="Q31" s="14" t="s">
        <x:v>172</x:v>
      </x:c>
      <x:c r="R31" s="14" t="s">
        <x:v>16</x:v>
      </x:c>
      <x:c r="S31" s="14" t="s">
        <x:v>189</x:v>
      </x:c>
      <x:c r="T31" s="14" t="s">
        <x:v>261</x:v>
      </x:c>
      <x:c r="U31" s="14" t="s">
        <x:v>172</x:v>
      </x:c>
      <x:c r="V31" s="21" t="s">
        <x:v>176</x:v>
      </x:c>
      <x:c r="W31" s="14" t="str">
        <x:v>独立事件；按本行事实口径计数。</x:v>
      </x:c>
    </x:row>
    <x:row r="32" ht="58" customHeight="1">
      <x:c r="A32" s="12" t="s">
        <x:v>71</x:v>
      </x:c>
      <x:c r="B32" s="12" t="s">
        <x:v>262</x:v>
      </x:c>
      <x:c r="C32" s="12" t="s">
        <x:v>178</x:v>
      </x:c>
      <x:c r="D32" s="12" t="s">
        <x:v>202</x:v>
      </x:c>
      <x:c r="E32" s="12" t="s">
        <x:v>203</x:v>
      </x:c>
      <x:c r="F32" s="12" t="s">
        <x:v>203</x:v>
      </x:c>
      <x:c r="G32" s="12" t="s">
        <x:v>263</x:v>
      </x:c>
      <x:c r="H32" s="12">
        <x:v>0</x:v>
      </x:c>
      <x:c r="I32" s="12">
        <x:v>0</x:v>
      </x:c>
      <x:c r="J32" s="12" t="str">
        <x:v>已取消</x:v>
      </x:c>
      <x:c r="K32" s="12"/>
      <x:c r="L32" s="12"/>
      <x:c r="M32" s="12" t="s">
        <x:v>172</x:v>
      </x:c>
      <x:c r="N32" s="12" t="s">
        <x:v>172</x:v>
      </x:c>
      <x:c r="O32" s="12" t="s">
        <x:v>172</x:v>
      </x:c>
      <x:c r="P32" s="12" t="s">
        <x:v>172</x:v>
      </x:c>
      <x:c r="Q32" s="12" t="s">
        <x:v>172</x:v>
      </x:c>
      <x:c r="R32" s="12" t="str">
        <x:v>疑似连续调整</x:v>
      </x:c>
      <x:c r="S32" s="12" t="str">
        <x:v>平台直接字段</x:v>
      </x:c>
      <x:c r="T32" s="12" t="str">
        <x:v>条件委托已取消；算法编号1000001829283805；创建时间2026-06-02 19:07:58；撤销时间2026-06-02 19:17:29；是否触发否；周期关联等级STRONG_CONTEXT；取消/过期原因无法确认（已完成为不适用）。</x:v>
      </x:c>
      <x:c r="U32" s="12" t="s">
        <x:v>172</x:v>
      </x:c>
      <x:c r="V32" s="21" t="s">
        <x:v>176</x:v>
      </x:c>
      <x:c r="W32" s="12" t="str">
        <x:v>algorithm_id=1000001829283805；terminal_at=2026-06-02 19:17:29；关联=STRONG_CONTEXT</x:v>
      </x:c>
    </x:row>
    <x:row r="33" ht="58" customHeight="1">
      <x:c r="A33" s="14" t="s">
        <x:v>71</x:v>
      </x:c>
      <x:c r="B33" s="14" t="s">
        <x:v>264</x:v>
      </x:c>
      <x:c r="C33" s="14" t="s">
        <x:v>178</x:v>
      </x:c>
      <x:c r="D33" s="14" t="s">
        <x:v>202</x:v>
      </x:c>
      <x:c r="E33" s="14" t="s">
        <x:v>205</x:v>
      </x:c>
      <x:c r="F33" s="14" t="s">
        <x:v>205</x:v>
      </x:c>
      <x:c r="G33" s="14" t="s">
        <x:v>265</x:v>
      </x:c>
      <x:c r="H33" s="14">
        <x:v>0</x:v>
      </x:c>
      <x:c r="I33" s="14">
        <x:v>0</x:v>
      </x:c>
      <x:c r="J33" s="14" t="str">
        <x:v>已取消</x:v>
      </x:c>
      <x:c r="K33" s="14"/>
      <x:c r="L33" s="14"/>
      <x:c r="M33" s="14" t="s">
        <x:v>172</x:v>
      </x:c>
      <x:c r="N33" s="14" t="s">
        <x:v>172</x:v>
      </x:c>
      <x:c r="O33" s="14" t="s">
        <x:v>172</x:v>
      </x:c>
      <x:c r="P33" s="14" t="s">
        <x:v>172</x:v>
      </x:c>
      <x:c r="Q33" s="14" t="s">
        <x:v>172</x:v>
      </x:c>
      <x:c r="R33" s="14" t="str">
        <x:v>疑似连续调整</x:v>
      </x:c>
      <x:c r="S33" s="14" t="str">
        <x:v>平台直接字段</x:v>
      </x:c>
      <x:c r="T33" s="14" t="str">
        <x:v>条件委托已取消；算法编号1000001829306753；创建时间2026-06-02 19:11:22；撤销时间2026-06-02 19:16:32；是否触发否；周期关联等级STRONG_CONTEXT；取消/过期原因无法确认（已完成为不适用）。</x:v>
      </x:c>
      <x:c r="U33" s="14" t="s">
        <x:v>172</x:v>
      </x:c>
      <x:c r="V33" s="21" t="s">
        <x:v>176</x:v>
      </x:c>
      <x:c r="W33" s="14" t="str">
        <x:v>algorithm_id=1000001829306753；terminal_at=2026-06-02 19:16:32；关联=STRONG_CONTEXT</x:v>
      </x:c>
    </x:row>
    <x:row r="34" ht="58" customHeight="1">
      <x:c r="A34" s="12" t="s">
        <x:v>71</x:v>
      </x:c>
      <x:c r="B34" s="12" t="s">
        <x:v>266</x:v>
      </x:c>
      <x:c r="C34" s="12" t="s">
        <x:v>178</x:v>
      </x:c>
      <x:c r="D34" s="12" t="s">
        <x:v>202</x:v>
      </x:c>
      <x:c r="E34" s="12" t="s">
        <x:v>205</x:v>
      </x:c>
      <x:c r="F34" s="12" t="s">
        <x:v>205</x:v>
      </x:c>
      <x:c r="G34" s="12" t="s">
        <x:v>267</x:v>
      </x:c>
      <x:c r="H34" s="12">
        <x:v>0</x:v>
      </x:c>
      <x:c r="I34" s="12">
        <x:v>0</x:v>
      </x:c>
      <x:c r="J34" s="12" t="str">
        <x:v>已取消</x:v>
      </x:c>
      <x:c r="K34" s="12"/>
      <x:c r="L34" s="12"/>
      <x:c r="M34" s="12" t="s">
        <x:v>172</x:v>
      </x:c>
      <x:c r="N34" s="12" t="s">
        <x:v>172</x:v>
      </x:c>
      <x:c r="O34" s="12" t="s">
        <x:v>172</x:v>
      </x:c>
      <x:c r="P34" s="12" t="s">
        <x:v>172</x:v>
      </x:c>
      <x:c r="Q34" s="12" t="s">
        <x:v>172</x:v>
      </x:c>
      <x:c r="R34" s="12" t="str">
        <x:v>疑似连续调整</x:v>
      </x:c>
      <x:c r="S34" s="12" t="str">
        <x:v>平台直接字段</x:v>
      </x:c>
      <x:c r="T34" s="12" t="str">
        <x:v>条件委托已取消；算法编号1000001829342369；创建时间2026-06-02 19:16:32；撤销时间2026-06-02 21:28:29；是否触发否；周期关联等级STRONG_CONTEXT；取消/过期原因无法确认（已完成为不适用）。</x:v>
      </x:c>
      <x:c r="U34" s="12" t="s">
        <x:v>172</x:v>
      </x:c>
      <x:c r="V34" s="21" t="s">
        <x:v>176</x:v>
      </x:c>
      <x:c r="W34" s="12" t="str">
        <x:v>algorithm_id=1000001829342369；terminal_at=2026-06-02 21:28:29；关联=STRONG_CONTEXT</x:v>
      </x:c>
    </x:row>
    <x:row r="35" ht="58" customHeight="1">
      <x:c r="A35" s="14" t="s">
        <x:v>71</x:v>
      </x:c>
      <x:c r="B35" s="14" t="s">
        <x:v>268</x:v>
      </x:c>
      <x:c r="C35" s="14" t="s">
        <x:v>178</x:v>
      </x:c>
      <x:c r="D35" s="14" t="s">
        <x:v>202</x:v>
      </x:c>
      <x:c r="E35" s="14" t="s">
        <x:v>203</x:v>
      </x:c>
      <x:c r="F35" s="14" t="s">
        <x:v>203</x:v>
      </x:c>
      <x:c r="G35" s="14" t="s">
        <x:v>269</x:v>
      </x:c>
      <x:c r="H35" s="14">
        <x:v>0</x:v>
      </x:c>
      <x:c r="I35" s="14">
        <x:v>0</x:v>
      </x:c>
      <x:c r="J35" s="14" t="str">
        <x:v>已取消</x:v>
      </x:c>
      <x:c r="K35" s="14"/>
      <x:c r="L35" s="14"/>
      <x:c r="M35" s="14" t="s">
        <x:v>172</x:v>
      </x:c>
      <x:c r="N35" s="14" t="s">
        <x:v>172</x:v>
      </x:c>
      <x:c r="O35" s="14" t="s">
        <x:v>172</x:v>
      </x:c>
      <x:c r="P35" s="14" t="s">
        <x:v>172</x:v>
      </x:c>
      <x:c r="Q35" s="14" t="s">
        <x:v>172</x:v>
      </x:c>
      <x:c r="R35" s="14" t="str">
        <x:v>疑似连续调整</x:v>
      </x:c>
      <x:c r="S35" s="14" t="str">
        <x:v>平台直接字段</x:v>
      </x:c>
      <x:c r="T35" s="14" t="str">
        <x:v>条件委托已取消；算法编号1000001829348260；创建时间2026-06-02 19:17:29；撤销时间2026-06-02 19:46:14；是否触发否；周期关联等级STRONG_CONTEXT；取消/过期原因无法确认（已完成为不适用）。</x:v>
      </x:c>
      <x:c r="U35" s="14" t="s">
        <x:v>172</x:v>
      </x:c>
      <x:c r="V35" s="21" t="s">
        <x:v>176</x:v>
      </x:c>
      <x:c r="W35" s="14" t="str">
        <x:v>algorithm_id=1000001829348260；terminal_at=2026-06-02 19:46:14；关联=STRONG_CONTEXT</x:v>
      </x:c>
    </x:row>
    <x:row r="36" ht="58" customHeight="1">
      <x:c r="A36" s="12" t="s">
        <x:v>71</x:v>
      </x:c>
      <x:c r="B36" s="12" t="s">
        <x:v>270</x:v>
      </x:c>
      <x:c r="C36" s="12" t="s">
        <x:v>178</x:v>
      </x:c>
      <x:c r="D36" s="12" t="s">
        <x:v>184</x:v>
      </x:c>
      <x:c r="E36" s="12" t="s">
        <x:v>234</x:v>
      </x:c>
      <x:c r="F36" s="12" t="s">
        <x:v>185</x:v>
      </x:c>
      <x:c r="G36" s="12" t="s">
        <x:v>271</x:v>
      </x:c>
      <x:c r="H36" s="12">
        <x:v>4</x:v>
      </x:c>
      <x:c r="I36" s="12">
        <x:v>0</x:v>
      </x:c>
      <x:c r="J36" s="12" t="s">
        <x:v>187</x:v>
      </x:c>
      <x:c r="K36" s="12" t="s">
        <x:v>218</x:v>
      </x:c>
      <x:c r="L36" s="12" t="s">
        <x:v>218</x:v>
      </x:c>
      <x:c r="M36" s="12" t="s">
        <x:v>172</x:v>
      </x:c>
      <x:c r="N36" s="12" t="s">
        <x:v>172</x:v>
      </x:c>
      <x:c r="O36" s="12" t="s">
        <x:v>172</x:v>
      </x:c>
      <x:c r="P36" s="12" t="s">
        <x:v>172</x:v>
      </x:c>
      <x:c r="Q36" s="12" t="s">
        <x:v>172</x:v>
      </x:c>
      <x:c r="R36" s="12" t="s">
        <x:v>188</x:v>
      </x:c>
      <x:c r="S36" s="12" t="s">
        <x:v>189</x:v>
      </x:c>
      <x:c r="T36" s="12" t="s">
        <x:v>272</x:v>
      </x:c>
      <x:c r="U36" s="12" t="s">
        <x:v>172</x:v>
      </x:c>
      <x:c r="V36" s="21" t="s">
        <x:v>176</x:v>
      </x:c>
      <x:c r="W36" s="12" t="str">
        <x:v>独立事件；按本行事实口径计数。</x:v>
      </x:c>
    </x:row>
    <x:row r="37" ht="58" customHeight="1">
      <x:c r="A37" s="14" t="s">
        <x:v>71</x:v>
      </x:c>
      <x:c r="B37" s="14" t="s">
        <x:v>273</x:v>
      </x:c>
      <x:c r="C37" s="14" t="s">
        <x:v>178</x:v>
      </x:c>
      <x:c r="D37" s="14" t="s">
        <x:v>202</x:v>
      </x:c>
      <x:c r="E37" s="14" t="s">
        <x:v>203</x:v>
      </x:c>
      <x:c r="F37" s="14" t="s">
        <x:v>203</x:v>
      </x:c>
      <x:c r="G37" s="14" t="s">
        <x:v>274</x:v>
      </x:c>
      <x:c r="H37" s="14">
        <x:v>0</x:v>
      </x:c>
      <x:c r="I37" s="14">
        <x:v>0</x:v>
      </x:c>
      <x:c r="J37" s="14" t="str">
        <x:v>已取消</x:v>
      </x:c>
      <x:c r="K37" s="14"/>
      <x:c r="L37" s="14"/>
      <x:c r="M37" s="14" t="s">
        <x:v>172</x:v>
      </x:c>
      <x:c r="N37" s="14" t="s">
        <x:v>172</x:v>
      </x:c>
      <x:c r="O37" s="14" t="s">
        <x:v>172</x:v>
      </x:c>
      <x:c r="P37" s="14" t="s">
        <x:v>172</x:v>
      </x:c>
      <x:c r="Q37" s="14" t="s">
        <x:v>172</x:v>
      </x:c>
      <x:c r="R37" s="14" t="str">
        <x:v>疑似连续调整</x:v>
      </x:c>
      <x:c r="S37" s="14" t="str">
        <x:v>平台直接字段</x:v>
      </x:c>
      <x:c r="T37" s="14" t="str">
        <x:v>条件委托已取消；算法编号1000001829549129；创建时间2026-06-02 19:46:14；撤销时间2026-06-02 22:04:53；是否触发否；周期关联等级STRONG_CONTEXT；取消/过期原因无法确认（已完成为不适用）。</x:v>
      </x:c>
      <x:c r="U37" s="14" t="s">
        <x:v>172</x:v>
      </x:c>
      <x:c r="V37" s="21" t="s">
        <x:v>176</x:v>
      </x:c>
      <x:c r="W37" s="14" t="str">
        <x:v>algorithm_id=1000001829549129；terminal_at=2026-06-02 22:04:53；关联=STRONG_CONTEXT</x:v>
      </x:c>
    </x:row>
    <x:row r="38" ht="58" customHeight="1">
      <x:c r="A38" s="12" t="s">
        <x:v>71</x:v>
      </x:c>
      <x:c r="B38" s="12" t="s">
        <x:v>275</x:v>
      </x:c>
      <x:c r="C38" s="12" t="s">
        <x:v>178</x:v>
      </x:c>
      <x:c r="D38" s="12" t="s">
        <x:v>184</x:v>
      </x:c>
      <x:c r="E38" s="12" t="s">
        <x:v>234</x:v>
      </x:c>
      <x:c r="F38" s="12" t="s">
        <x:v>185</x:v>
      </x:c>
      <x:c r="G38" s="12" t="s">
        <x:v>271</x:v>
      </x:c>
      <x:c r="H38" s="12">
        <x:v>4</x:v>
      </x:c>
      <x:c r="I38" s="12">
        <x:v>0</x:v>
      </x:c>
      <x:c r="J38" s="12" t="s">
        <x:v>187</x:v>
      </x:c>
      <x:c r="K38" s="12" t="s">
        <x:v>218</x:v>
      </x:c>
      <x:c r="L38" s="12" t="s">
        <x:v>218</x:v>
      </x:c>
      <x:c r="M38" s="12" t="s">
        <x:v>172</x:v>
      </x:c>
      <x:c r="N38" s="12" t="s">
        <x:v>172</x:v>
      </x:c>
      <x:c r="O38" s="12" t="s">
        <x:v>172</x:v>
      </x:c>
      <x:c r="P38" s="12" t="s">
        <x:v>172</x:v>
      </x:c>
      <x:c r="Q38" s="12" t="s">
        <x:v>172</x:v>
      </x:c>
      <x:c r="R38" s="12" t="s">
        <x:v>195</x:v>
      </x:c>
      <x:c r="S38" s="12" t="s">
        <x:v>20</x:v>
      </x:c>
      <x:c r="T38" s="12" t="s">
        <x:v>276</x:v>
      </x:c>
      <x:c r="U38" s="12" t="s">
        <x:v>171</x:v>
      </x:c>
      <x:c r="V38" s="21" t="s">
        <x:v>176</x:v>
      </x:c>
      <x:c r="W38" s="12" t="str">
        <x:v>独立事件；按本行事实口径计数。</x:v>
      </x:c>
    </x:row>
    <x:row r="39" ht="58" customHeight="1">
      <x:c r="A39" s="14" t="s">
        <x:v>71</x:v>
      </x:c>
      <x:c r="B39" s="14" t="s">
        <x:v>277</x:v>
      </x:c>
      <x:c r="C39" s="14" t="s">
        <x:v>178</x:v>
      </x:c>
      <x:c r="D39" s="14" t="s">
        <x:v>184</x:v>
      </x:c>
      <x:c r="E39" s="14" t="s">
        <x:v>223</x:v>
      </x:c>
      <x:c r="F39" s="14" t="s">
        <x:v>185</x:v>
      </x:c>
      <x:c r="G39" s="14" t="s">
        <x:v>278</x:v>
      </x:c>
      <x:c r="H39" s="14">
        <x:v>4</x:v>
      </x:c>
      <x:c r="I39" s="14">
        <x:v>0</x:v>
      </x:c>
      <x:c r="J39" s="14" t="s">
        <x:v>187</x:v>
      </x:c>
      <x:c r="K39" s="14" t="s">
        <x:v>218</x:v>
      </x:c>
      <x:c r="L39" s="14" t="s">
        <x:v>218</x:v>
      </x:c>
      <x:c r="M39" s="14" t="s">
        <x:v>172</x:v>
      </x:c>
      <x:c r="N39" s="14" t="s">
        <x:v>172</x:v>
      </x:c>
      <x:c r="O39" s="14" t="s">
        <x:v>172</x:v>
      </x:c>
      <x:c r="P39" s="14" t="s">
        <x:v>172</x:v>
      </x:c>
      <x:c r="Q39" s="14" t="s">
        <x:v>172</x:v>
      </x:c>
      <x:c r="R39" s="14" t="s">
        <x:v>195</x:v>
      </x:c>
      <x:c r="S39" s="14" t="s">
        <x:v>20</x:v>
      </x:c>
      <x:c r="T39" s="14" t="s">
        <x:v>279</x:v>
      </x:c>
      <x:c r="U39" s="14" t="s">
        <x:v>171</x:v>
      </x:c>
      <x:c r="V39" s="21" t="s">
        <x:v>176</x:v>
      </x:c>
      <x:c r="W39" s="14" t="str">
        <x:v>独立事件；按本行事实口径计数。</x:v>
      </x:c>
    </x:row>
    <x:row r="40" ht="58" customHeight="1">
      <x:c r="A40" s="12" t="s">
        <x:v>71</x:v>
      </x:c>
      <x:c r="B40" s="12" t="s">
        <x:v>280</x:v>
      </x:c>
      <x:c r="C40" s="12" t="s">
        <x:v>178</x:v>
      </x:c>
      <x:c r="D40" s="12" t="s">
        <x:v>184</x:v>
      </x:c>
      <x:c r="E40" s="12" t="s">
        <x:v>223</x:v>
      </x:c>
      <x:c r="F40" s="12" t="s">
        <x:v>185</x:v>
      </x:c>
      <x:c r="G40" s="12" t="s">
        <x:v>278</x:v>
      </x:c>
      <x:c r="H40" s="12">
        <x:v>4</x:v>
      </x:c>
      <x:c r="I40" s="12">
        <x:v>0</x:v>
      </x:c>
      <x:c r="J40" s="12" t="s">
        <x:v>187</x:v>
      </x:c>
      <x:c r="K40" s="12" t="s">
        <x:v>218</x:v>
      </x:c>
      <x:c r="L40" s="12" t="s">
        <x:v>218</x:v>
      </x:c>
      <x:c r="M40" s="12" t="s">
        <x:v>172</x:v>
      </x:c>
      <x:c r="N40" s="12" t="s">
        <x:v>172</x:v>
      </x:c>
      <x:c r="O40" s="12" t="s">
        <x:v>172</x:v>
      </x:c>
      <x:c r="P40" s="12" t="s">
        <x:v>172</x:v>
      </x:c>
      <x:c r="Q40" s="12" t="s">
        <x:v>172</x:v>
      </x:c>
      <x:c r="R40" s="12" t="s">
        <x:v>195</x:v>
      </x:c>
      <x:c r="S40" s="12" t="s">
        <x:v>20</x:v>
      </x:c>
      <x:c r="T40" s="12" t="s">
        <x:v>279</x:v>
      </x:c>
      <x:c r="U40" s="12" t="s">
        <x:v>171</x:v>
      </x:c>
      <x:c r="V40" s="21" t="s">
        <x:v>176</x:v>
      </x:c>
      <x:c r="W40" s="12" t="str">
        <x:v>独立事件；按本行事实口径计数。</x:v>
      </x:c>
    </x:row>
    <x:row r="41" ht="58" customHeight="1">
      <x:c r="A41" s="14" t="s">
        <x:v>71</x:v>
      </x:c>
      <x:c r="B41" s="14" t="s">
        <x:v>281</x:v>
      </x:c>
      <x:c r="C41" s="14" t="s">
        <x:v>178</x:v>
      </x:c>
      <x:c r="D41" s="14" t="s">
        <x:v>184</x:v>
      </x:c>
      <x:c r="E41" s="14" t="s">
        <x:v>234</x:v>
      </x:c>
      <x:c r="F41" s="14" t="s">
        <x:v>185</x:v>
      </x:c>
      <x:c r="G41" s="14" t="s">
        <x:v>282</x:v>
      </x:c>
      <x:c r="H41" s="14">
        <x:v>4</x:v>
      </x:c>
      <x:c r="I41" s="14">
        <x:v>0</x:v>
      </x:c>
      <x:c r="J41" s="14" t="s">
        <x:v>187</x:v>
      </x:c>
      <x:c r="K41" s="14" t="s">
        <x:v>218</x:v>
      </x:c>
      <x:c r="L41" s="14" t="s">
        <x:v>218</x:v>
      </x:c>
      <x:c r="M41" s="14" t="s">
        <x:v>172</x:v>
      </x:c>
      <x:c r="N41" s="14" t="s">
        <x:v>172</x:v>
      </x:c>
      <x:c r="O41" s="14" t="s">
        <x:v>172</x:v>
      </x:c>
      <x:c r="P41" s="14" t="s">
        <x:v>172</x:v>
      </x:c>
      <x:c r="Q41" s="14" t="s">
        <x:v>172</x:v>
      </x:c>
      <x:c r="R41" s="14" t="s">
        <x:v>195</x:v>
      </x:c>
      <x:c r="S41" s="14" t="s">
        <x:v>20</x:v>
      </x:c>
      <x:c r="T41" s="14" t="s">
        <x:v>276</x:v>
      </x:c>
      <x:c r="U41" s="14" t="s">
        <x:v>171</x:v>
      </x:c>
      <x:c r="V41" s="21" t="s">
        <x:v>176</x:v>
      </x:c>
      <x:c r="W41" s="14" t="str">
        <x:v>独立事件；按本行事实口径计数。</x:v>
      </x:c>
    </x:row>
    <x:row r="42" ht="58" customHeight="1">
      <x:c r="A42" s="12" t="s">
        <x:v>71</x:v>
      </x:c>
      <x:c r="B42" s="12" t="s">
        <x:v>283</x:v>
      </x:c>
      <x:c r="C42" s="12" t="s">
        <x:v>178</x:v>
      </x:c>
      <x:c r="D42" s="12" t="s">
        <x:v>184</x:v>
      </x:c>
      <x:c r="E42" s="12" t="s">
        <x:v>223</x:v>
      </x:c>
      <x:c r="F42" s="12" t="s">
        <x:v>185</x:v>
      </x:c>
      <x:c r="G42" s="12" t="s">
        <x:v>284</x:v>
      </x:c>
      <x:c r="H42" s="12">
        <x:v>6</x:v>
      </x:c>
      <x:c r="I42" s="12">
        <x:v>0</x:v>
      </x:c>
      <x:c r="J42" s="12" t="s">
        <x:v>187</x:v>
      </x:c>
      <x:c r="K42" s="12" t="s">
        <x:v>218</x:v>
      </x:c>
      <x:c r="L42" s="12" t="s">
        <x:v>218</x:v>
      </x:c>
      <x:c r="M42" s="12" t="s">
        <x:v>172</x:v>
      </x:c>
      <x:c r="N42" s="12" t="s">
        <x:v>172</x:v>
      </x:c>
      <x:c r="O42" s="12" t="s">
        <x:v>172</x:v>
      </x:c>
      <x:c r="P42" s="12" t="s">
        <x:v>172</x:v>
      </x:c>
      <x:c r="Q42" s="12" t="s">
        <x:v>172</x:v>
      </x:c>
      <x:c r="R42" s="12" t="s">
        <x:v>195</x:v>
      </x:c>
      <x:c r="S42" s="12" t="s">
        <x:v>20</x:v>
      </x:c>
      <x:c r="T42" s="12" t="s">
        <x:v>279</x:v>
      </x:c>
      <x:c r="U42" s="12" t="s">
        <x:v>171</x:v>
      </x:c>
      <x:c r="V42" s="21" t="s">
        <x:v>176</x:v>
      </x:c>
      <x:c r="W42" s="12" t="str">
        <x:v>独立事件；按本行事实口径计数。</x:v>
      </x:c>
    </x:row>
    <x:row r="43" ht="58" customHeight="1">
      <x:c r="A43" s="14" t="s">
        <x:v>71</x:v>
      </x:c>
      <x:c r="B43" s="14" t="s">
        <x:v>285</x:v>
      </x:c>
      <x:c r="C43" s="14" t="s">
        <x:v>178</x:v>
      </x:c>
      <x:c r="D43" s="14" t="s">
        <x:v>184</x:v>
      </x:c>
      <x:c r="E43" s="14" t="s">
        <x:v>223</x:v>
      </x:c>
      <x:c r="F43" s="14" t="s">
        <x:v>185</x:v>
      </x:c>
      <x:c r="G43" s="14" t="s">
        <x:v>284</x:v>
      </x:c>
      <x:c r="H43" s="14">
        <x:v>5</x:v>
      </x:c>
      <x:c r="I43" s="14">
        <x:v>0</x:v>
      </x:c>
      <x:c r="J43" s="14" t="s">
        <x:v>187</x:v>
      </x:c>
      <x:c r="K43" s="14" t="s">
        <x:v>218</x:v>
      </x:c>
      <x:c r="L43" s="14" t="s">
        <x:v>218</x:v>
      </x:c>
      <x:c r="M43" s="14" t="s">
        <x:v>172</x:v>
      </x:c>
      <x:c r="N43" s="14" t="s">
        <x:v>172</x:v>
      </x:c>
      <x:c r="O43" s="14" t="s">
        <x:v>172</x:v>
      </x:c>
      <x:c r="P43" s="14" t="s">
        <x:v>172</x:v>
      </x:c>
      <x:c r="Q43" s="14" t="s">
        <x:v>172</x:v>
      </x:c>
      <x:c r="R43" s="14" t="s">
        <x:v>193</x:v>
      </x:c>
      <x:c r="S43" s="14" t="s">
        <x:v>189</x:v>
      </x:c>
      <x:c r="T43" s="14" t="s">
        <x:v>225</x:v>
      </x:c>
      <x:c r="U43" s="14" t="s">
        <x:v>172</x:v>
      </x:c>
      <x:c r="V43" s="21" t="s">
        <x:v>176</x:v>
      </x:c>
      <x:c r="W43" s="14" t="str">
        <x:v>独立事件；按本行事实口径计数。</x:v>
      </x:c>
    </x:row>
    <x:row r="44" ht="58" customHeight="1">
      <x:c r="A44" s="12" t="s">
        <x:v>71</x:v>
      </x:c>
      <x:c r="B44" s="12" t="s">
        <x:v>286</x:v>
      </x:c>
      <x:c r="C44" s="12" t="s">
        <x:v>178</x:v>
      </x:c>
      <x:c r="D44" s="12" t="s">
        <x:v>184</x:v>
      </x:c>
      <x:c r="E44" s="12" t="s">
        <x:v>234</x:v>
      </x:c>
      <x:c r="F44" s="12" t="s">
        <x:v>185</x:v>
      </x:c>
      <x:c r="G44" s="12" t="s">
        <x:v>271</x:v>
      </x:c>
      <x:c r="H44" s="12">
        <x:v>4</x:v>
      </x:c>
      <x:c r="I44" s="12">
        <x:v>0</x:v>
      </x:c>
      <x:c r="J44" s="12" t="s">
        <x:v>236</x:v>
      </x:c>
      <x:c r="K44" s="12" t="s">
        <x:v>218</x:v>
      </x:c>
      <x:c r="L44" s="12" t="s">
        <x:v>218</x:v>
      </x:c>
      <x:c r="M44" s="12" t="s">
        <x:v>172</x:v>
      </x:c>
      <x:c r="N44" s="12" t="s">
        <x:v>172</x:v>
      </x:c>
      <x:c r="O44" s="12" t="s">
        <x:v>172</x:v>
      </x:c>
      <x:c r="P44" s="12" t="s">
        <x:v>172</x:v>
      </x:c>
      <x:c r="Q44" s="12" t="s">
        <x:v>172</x:v>
      </x:c>
      <x:c r="R44" s="12" t="s">
        <x:v>195</x:v>
      </x:c>
      <x:c r="S44" s="12" t="s">
        <x:v>20</x:v>
      </x:c>
      <x:c r="T44" s="12" t="s">
        <x:v>287</x:v>
      </x:c>
      <x:c r="U44" s="12" t="s">
        <x:v>171</x:v>
      </x:c>
      <x:c r="V44" s="21" t="s">
        <x:v>176</x:v>
      </x:c>
      <x:c r="W44" s="12" t="str">
        <x:v>独立事件；按本行事实口径计数。</x:v>
      </x:c>
    </x:row>
    <x:row r="45" ht="58" customHeight="1">
      <x:c r="A45" s="14" t="s">
        <x:v>71</x:v>
      </x:c>
      <x:c r="B45" s="14" t="s">
        <x:v>288</x:v>
      </x:c>
      <x:c r="C45" s="14" t="s">
        <x:v>178</x:v>
      </x:c>
      <x:c r="D45" s="14" t="s">
        <x:v>184</x:v>
      </x:c>
      <x:c r="E45" s="14" t="s">
        <x:v>223</x:v>
      </x:c>
      <x:c r="F45" s="14" t="s">
        <x:v>185</x:v>
      </x:c>
      <x:c r="G45" s="14" t="s">
        <x:v>284</x:v>
      </x:c>
      <x:c r="H45" s="14">
        <x:v>5</x:v>
      </x:c>
      <x:c r="I45" s="14">
        <x:v>0</x:v>
      </x:c>
      <x:c r="J45" s="14" t="s">
        <x:v>187</x:v>
      </x:c>
      <x:c r="K45" s="14" t="s">
        <x:v>218</x:v>
      </x:c>
      <x:c r="L45" s="14" t="s">
        <x:v>218</x:v>
      </x:c>
      <x:c r="M45" s="14" t="s">
        <x:v>172</x:v>
      </x:c>
      <x:c r="N45" s="14" t="s">
        <x:v>172</x:v>
      </x:c>
      <x:c r="O45" s="14" t="s">
        <x:v>172</x:v>
      </x:c>
      <x:c r="P45" s="14" t="s">
        <x:v>172</x:v>
      </x:c>
      <x:c r="Q45" s="14" t="s">
        <x:v>172</x:v>
      </x:c>
      <x:c r="R45" s="14" t="s">
        <x:v>195</x:v>
      </x:c>
      <x:c r="S45" s="14" t="s">
        <x:v>20</x:v>
      </x:c>
      <x:c r="T45" s="14" t="s">
        <x:v>279</x:v>
      </x:c>
      <x:c r="U45" s="14" t="s">
        <x:v>171</x:v>
      </x:c>
      <x:c r="V45" s="21" t="s">
        <x:v>176</x:v>
      </x:c>
      <x:c r="W45" s="14" t="str">
        <x:v>独立事件；按本行事实口径计数。</x:v>
      </x:c>
    </x:row>
    <x:row r="46" ht="58" customHeight="1">
      <x:c r="A46" s="12" t="s">
        <x:v>71</x:v>
      </x:c>
      <x:c r="B46" s="12" t="s">
        <x:v>289</x:v>
      </x:c>
      <x:c r="C46" s="12" t="s">
        <x:v>178</x:v>
      </x:c>
      <x:c r="D46" s="12" t="s">
        <x:v>184</x:v>
      </x:c>
      <x:c r="E46" s="12" t="s">
        <x:v>223</x:v>
      </x:c>
      <x:c r="F46" s="12" t="s">
        <x:v>185</x:v>
      </x:c>
      <x:c r="G46" s="12" t="s">
        <x:v>290</x:v>
      </x:c>
      <x:c r="H46" s="12">
        <x:v>5</x:v>
      </x:c>
      <x:c r="I46" s="12">
        <x:v>0</x:v>
      </x:c>
      <x:c r="J46" s="12" t="s">
        <x:v>187</x:v>
      </x:c>
      <x:c r="K46" s="12" t="s">
        <x:v>218</x:v>
      </x:c>
      <x:c r="L46" s="12" t="s">
        <x:v>218</x:v>
      </x:c>
      <x:c r="M46" s="12" t="s">
        <x:v>172</x:v>
      </x:c>
      <x:c r="N46" s="12" t="s">
        <x:v>172</x:v>
      </x:c>
      <x:c r="O46" s="12" t="s">
        <x:v>172</x:v>
      </x:c>
      <x:c r="P46" s="12" t="s">
        <x:v>172</x:v>
      </x:c>
      <x:c r="Q46" s="12" t="s">
        <x:v>172</x:v>
      </x:c>
      <x:c r="R46" s="12" t="s">
        <x:v>193</x:v>
      </x:c>
      <x:c r="S46" s="12" t="s">
        <x:v>189</x:v>
      </x:c>
      <x:c r="T46" s="12" t="s">
        <x:v>225</x:v>
      </x:c>
      <x:c r="U46" s="12" t="s">
        <x:v>172</x:v>
      </x:c>
      <x:c r="V46" s="21" t="s">
        <x:v>176</x:v>
      </x:c>
      <x:c r="W46" s="12" t="str">
        <x:v>独立事件；按本行事实口径计数。</x:v>
      </x:c>
    </x:row>
    <x:row r="47" ht="58" customHeight="1">
      <x:c r="A47" s="14" t="s">
        <x:v>71</x:v>
      </x:c>
      <x:c r="B47" s="14" t="s">
        <x:v>291</x:v>
      </x:c>
      <x:c r="C47" s="14" t="s">
        <x:v>178</x:v>
      </x:c>
      <x:c r="D47" s="14" t="s">
        <x:v>184</x:v>
      </x:c>
      <x:c r="E47" s="14" t="s">
        <x:v>223</x:v>
      </x:c>
      <x:c r="F47" s="14" t="s">
        <x:v>185</x:v>
      </x:c>
      <x:c r="G47" s="14" t="s">
        <x:v>292</x:v>
      </x:c>
      <x:c r="H47" s="14">
        <x:v>5</x:v>
      </x:c>
      <x:c r="I47" s="14">
        <x:v>0</x:v>
      </x:c>
      <x:c r="J47" s="14" t="s">
        <x:v>187</x:v>
      </x:c>
      <x:c r="K47" s="14" t="s">
        <x:v>218</x:v>
      </x:c>
      <x:c r="L47" s="14" t="s">
        <x:v>218</x:v>
      </x:c>
      <x:c r="M47" s="14" t="s">
        <x:v>172</x:v>
      </x:c>
      <x:c r="N47" s="14" t="s">
        <x:v>172</x:v>
      </x:c>
      <x:c r="O47" s="14" t="s">
        <x:v>172</x:v>
      </x:c>
      <x:c r="P47" s="14" t="s">
        <x:v>172</x:v>
      </x:c>
      <x:c r="Q47" s="14" t="s">
        <x:v>172</x:v>
      </x:c>
      <x:c r="R47" s="14" t="s">
        <x:v>193</x:v>
      </x:c>
      <x:c r="S47" s="14" t="s">
        <x:v>189</x:v>
      </x:c>
      <x:c r="T47" s="14" t="s">
        <x:v>225</x:v>
      </x:c>
      <x:c r="U47" s="14" t="s">
        <x:v>172</x:v>
      </x:c>
      <x:c r="V47" s="21" t="s">
        <x:v>176</x:v>
      </x:c>
      <x:c r="W47" s="14" t="str">
        <x:v>独立事件；按本行事实口径计数。</x:v>
      </x:c>
    </x:row>
    <x:row r="48" ht="58" customHeight="1">
      <x:c r="A48" s="12" t="s">
        <x:v>71</x:v>
      </x:c>
      <x:c r="B48" s="12" t="s">
        <x:v>293</x:v>
      </x:c>
      <x:c r="C48" s="12" t="s">
        <x:v>178</x:v>
      </x:c>
      <x:c r="D48" s="12" t="s">
        <x:v>202</x:v>
      </x:c>
      <x:c r="E48" s="12" t="s">
        <x:v>205</x:v>
      </x:c>
      <x:c r="F48" s="12" t="s">
        <x:v>205</x:v>
      </x:c>
      <x:c r="G48" s="12" t="s">
        <x:v>294</x:v>
      </x:c>
      <x:c r="H48" s="12">
        <x:v>0</x:v>
      </x:c>
      <x:c r="I48" s="12">
        <x:v>0</x:v>
      </x:c>
      <x:c r="J48" s="12" t="str">
        <x:v>已取消</x:v>
      </x:c>
      <x:c r="K48" s="12"/>
      <x:c r="L48" s="12"/>
      <x:c r="M48" s="12" t="s">
        <x:v>172</x:v>
      </x:c>
      <x:c r="N48" s="12" t="s">
        <x:v>172</x:v>
      </x:c>
      <x:c r="O48" s="12" t="s">
        <x:v>172</x:v>
      </x:c>
      <x:c r="P48" s="12" t="s">
        <x:v>172</x:v>
      </x:c>
      <x:c r="Q48" s="12" t="s">
        <x:v>172</x:v>
      </x:c>
      <x:c r="R48" s="12" t="str">
        <x:v>疑似连续调整</x:v>
      </x:c>
      <x:c r="S48" s="12" t="str">
        <x:v>平台直接字段</x:v>
      </x:c>
      <x:c r="T48" s="12" t="str">
        <x:v>条件委托已取消；算法编号1000001830298068；创建时间2026-06-02 21:28:29；撤销时间2026-06-02 22:09:23；是否触发否；周期关联等级STRONG_CONTEXT；取消/过期原因无法确认（已完成为不适用）。</x:v>
      </x:c>
      <x:c r="U48" s="12" t="s">
        <x:v>172</x:v>
      </x:c>
      <x:c r="V48" s="21" t="s">
        <x:v>176</x:v>
      </x:c>
      <x:c r="W48" s="12" t="str">
        <x:v>algorithm_id=1000001830298068；terminal_at=2026-06-02 22:09:23；关联=STRONG_CONTEXT</x:v>
      </x:c>
    </x:row>
    <x:row r="49" ht="58" customHeight="1">
      <x:c r="A49" s="14" t="s">
        <x:v>71</x:v>
      </x:c>
      <x:c r="B49" s="14" t="s">
        <x:v>295</x:v>
      </x:c>
      <x:c r="C49" s="14" t="s">
        <x:v>178</x:v>
      </x:c>
      <x:c r="D49" s="14" t="s">
        <x:v>165</x:v>
      </x:c>
      <x:c r="E49" s="14" t="s">
        <x:v>296</x:v>
      </x:c>
      <x:c r="F49" s="14" t="s">
        <x:v>199</x:v>
      </x:c>
      <x:c r="G49" s="14" t="s">
        <x:v>297</x:v>
      </x:c>
      <x:c r="H49" s="14">
        <x:v>5</x:v>
      </x:c>
      <x:c r="I49" s="14">
        <x:v>5</x:v>
      </x:c>
      <x:c r="J49" s="14" t="s">
        <x:v>168</x:v>
      </x:c>
      <x:c r="K49" s="14" t="s">
        <x:v>218</x:v>
      </x:c>
      <x:c r="L49" s="14" t="s">
        <x:v>298</x:v>
      </x:c>
      <x:c r="M49" s="14" t="s">
        <x:v>171</x:v>
      </x:c>
      <x:c r="N49" s="14" t="s">
        <x:v>172</x:v>
      </x:c>
      <x:c r="O49" s="14" t="s">
        <x:v>171</x:v>
      </x:c>
      <x:c r="P49" s="14" t="s">
        <x:v>172</x:v>
      </x:c>
      <x:c r="Q49" s="14" t="s">
        <x:v>172</x:v>
      </x:c>
      <x:c r="R49" s="14" t="s">
        <x:v>193</x:v>
      </x:c>
      <x:c r="S49" s="14" t="s">
        <x:v>189</x:v>
      </x:c>
      <x:c r="T49" s="14" t="s">
        <x:v>299</x:v>
      </x:c>
      <x:c r="U49" s="14" t="s">
        <x:v>172</x:v>
      </x:c>
      <x:c r="V49" s="21" t="s">
        <x:v>176</x:v>
      </x:c>
      <x:c r="W49" s="14" t="str">
        <x:v>独立事件；按本行事实口径计数。</x:v>
      </x:c>
    </x:row>
    <x:row r="50" ht="58" customHeight="1">
      <x:c r="A50" s="12" t="s">
        <x:v>71</x:v>
      </x:c>
      <x:c r="B50" s="12" t="s">
        <x:v>300</x:v>
      </x:c>
      <x:c r="C50" s="12" t="s">
        <x:v>178</x:v>
      </x:c>
      <x:c r="D50" s="12" t="s">
        <x:v>202</x:v>
      </x:c>
      <x:c r="E50" s="12" t="s">
        <x:v>203</x:v>
      </x:c>
      <x:c r="F50" s="12" t="s">
        <x:v>203</x:v>
      </x:c>
      <x:c r="G50" s="12" t="s">
        <x:v>301</x:v>
      </x:c>
      <x:c r="H50" s="12">
        <x:v>0</x:v>
      </x:c>
      <x:c r="I50" s="12">
        <x:v>0</x:v>
      </x:c>
      <x:c r="J50" s="12" t="str">
        <x:v>已取消</x:v>
      </x:c>
      <x:c r="K50" s="12"/>
      <x:c r="L50" s="12"/>
      <x:c r="M50" s="12" t="s">
        <x:v>172</x:v>
      </x:c>
      <x:c r="N50" s="12" t="s">
        <x:v>172</x:v>
      </x:c>
      <x:c r="O50" s="12" t="s">
        <x:v>172</x:v>
      </x:c>
      <x:c r="P50" s="12" t="s">
        <x:v>172</x:v>
      </x:c>
      <x:c r="Q50" s="12" t="s">
        <x:v>172</x:v>
      </x:c>
      <x:c r="R50" s="12" t="str">
        <x:v>疑似连续调整</x:v>
      </x:c>
      <x:c r="S50" s="12" t="str">
        <x:v>平台直接字段</x:v>
      </x:c>
      <x:c r="T50" s="12" t="str">
        <x:v>条件委托已取消；算法编号1000001830609002；创建时间2026-06-02 22:04:53；撤销时间2026-06-02 22:06:45；是否触发否；周期关联等级STRONG_CONTEXT；取消/过期原因无法确认（已完成为不适用）。</x:v>
      </x:c>
      <x:c r="U50" s="12" t="s">
        <x:v>172</x:v>
      </x:c>
      <x:c r="V50" s="21" t="s">
        <x:v>176</x:v>
      </x:c>
      <x:c r="W50" s="12" t="str">
        <x:v>algorithm_id=1000001830609002；terminal_at=2026-06-02 22:06:45；关联=STRONG_CONTEXT</x:v>
      </x:c>
    </x:row>
    <x:row r="51" ht="58" customHeight="1">
      <x:c r="A51" s="14" t="s">
        <x:v>71</x:v>
      </x:c>
      <x:c r="B51" s="14" t="s">
        <x:v>302</x:v>
      </x:c>
      <x:c r="C51" s="14" t="s">
        <x:v>178</x:v>
      </x:c>
      <x:c r="D51" s="14" t="s">
        <x:v>202</x:v>
      </x:c>
      <x:c r="E51" s="14" t="s">
        <x:v>203</x:v>
      </x:c>
      <x:c r="F51" s="14" t="s">
        <x:v>203</x:v>
      </x:c>
      <x:c r="G51" s="14" t="s">
        <x:v>303</x:v>
      </x:c>
      <x:c r="H51" s="14">
        <x:v>0</x:v>
      </x:c>
      <x:c r="I51" s="14">
        <x:v>0</x:v>
      </x:c>
      <x:c r="J51" s="14" t="str">
        <x:v>已取消</x:v>
      </x:c>
      <x:c r="K51" s="14"/>
      <x:c r="L51" s="14"/>
      <x:c r="M51" s="14" t="s">
        <x:v>172</x:v>
      </x:c>
      <x:c r="N51" s="14" t="s">
        <x:v>172</x:v>
      </x:c>
      <x:c r="O51" s="14" t="s">
        <x:v>172</x:v>
      </x:c>
      <x:c r="P51" s="14" t="s">
        <x:v>172</x:v>
      </x:c>
      <x:c r="Q51" s="14" t="s">
        <x:v>172</x:v>
      </x:c>
      <x:c r="R51" s="14" t="str">
        <x:v>疑似连续调整</x:v>
      </x:c>
      <x:c r="S51" s="14" t="str">
        <x:v>平台直接字段</x:v>
      </x:c>
      <x:c r="T51" s="14" t="str">
        <x:v>条件委托已取消；算法编号1000001830625752；创建时间2026-06-02 22:06:45；撤销时间2026-06-02 22:39:02；是否触发否；周期关联等级STRONG_CONTEXT；取消/过期原因无法确认（已完成为不适用）。</x:v>
      </x:c>
      <x:c r="U51" s="14" t="s">
        <x:v>172</x:v>
      </x:c>
      <x:c r="V51" s="21" t="s">
        <x:v>176</x:v>
      </x:c>
      <x:c r="W51" s="14" t="str">
        <x:v>algorithm_id=1000001830625752；terminal_at=2026-06-02 22:39:02；关联=STRONG_CONTEXT</x:v>
      </x:c>
    </x:row>
    <x:row r="52" ht="58" customHeight="1">
      <x:c r="A52" s="12" t="s">
        <x:v>71</x:v>
      </x:c>
      <x:c r="B52" s="12" t="s">
        <x:v>304</x:v>
      </x:c>
      <x:c r="C52" s="12" t="s">
        <x:v>178</x:v>
      </x:c>
      <x:c r="D52" s="12" t="s">
        <x:v>184</x:v>
      </x:c>
      <x:c r="E52" s="12" t="s">
        <x:v>234</x:v>
      </x:c>
      <x:c r="F52" s="12" t="s">
        <x:v>185</x:v>
      </x:c>
      <x:c r="G52" s="12" t="s">
        <x:v>305</x:v>
      </x:c>
      <x:c r="H52" s="12">
        <x:v>9</x:v>
      </x:c>
      <x:c r="I52" s="12">
        <x:v>0</x:v>
      </x:c>
      <x:c r="J52" s="12" t="s">
        <x:v>187</x:v>
      </x:c>
      <x:c r="K52" s="12" t="s">
        <x:v>298</x:v>
      </x:c>
      <x:c r="L52" s="12" t="s">
        <x:v>298</x:v>
      </x:c>
      <x:c r="M52" s="12" t="s">
        <x:v>172</x:v>
      </x:c>
      <x:c r="N52" s="12" t="s">
        <x:v>172</x:v>
      </x:c>
      <x:c r="O52" s="12" t="s">
        <x:v>172</x:v>
      </x:c>
      <x:c r="P52" s="12" t="s">
        <x:v>172</x:v>
      </x:c>
      <x:c r="Q52" s="12" t="s">
        <x:v>172</x:v>
      </x:c>
      <x:c r="R52" s="12" t="s">
        <x:v>195</x:v>
      </x:c>
      <x:c r="S52" s="12" t="s">
        <x:v>20</x:v>
      </x:c>
      <x:c r="T52" s="12" t="s">
        <x:v>306</x:v>
      </x:c>
      <x:c r="U52" s="12" t="s">
        <x:v>171</x:v>
      </x:c>
      <x:c r="V52" s="21" t="s">
        <x:v>176</x:v>
      </x:c>
      <x:c r="W52" s="12" t="str">
        <x:v>独立事件；按本行事实口径计数。</x:v>
      </x:c>
    </x:row>
    <x:row r="53" ht="58" customHeight="1">
      <x:c r="A53" s="14" t="s">
        <x:v>71</x:v>
      </x:c>
      <x:c r="B53" s="14" t="s">
        <x:v>307</x:v>
      </x:c>
      <x:c r="C53" s="14" t="s">
        <x:v>178</x:v>
      </x:c>
      <x:c r="D53" s="14" t="s">
        <x:v>202</x:v>
      </x:c>
      <x:c r="E53" s="14" t="s">
        <x:v>205</x:v>
      </x:c>
      <x:c r="F53" s="14" t="s">
        <x:v>205</x:v>
      </x:c>
      <x:c r="G53" s="14" t="s">
        <x:v>308</x:v>
      </x:c>
      <x:c r="H53" s="14">
        <x:v>0</x:v>
      </x:c>
      <x:c r="I53" s="14">
        <x:v>0</x:v>
      </x:c>
      <x:c r="J53" s="14" t="str">
        <x:v>已取消</x:v>
      </x:c>
      <x:c r="K53" s="14"/>
      <x:c r="L53" s="14"/>
      <x:c r="M53" s="14" t="s">
        <x:v>172</x:v>
      </x:c>
      <x:c r="N53" s="14" t="s">
        <x:v>172</x:v>
      </x:c>
      <x:c r="O53" s="14" t="s">
        <x:v>172</x:v>
      </x:c>
      <x:c r="P53" s="14" t="s">
        <x:v>172</x:v>
      </x:c>
      <x:c r="Q53" s="14" t="s">
        <x:v>172</x:v>
      </x:c>
      <x:c r="R53" s="14" t="str">
        <x:v>疑似连续调整</x:v>
      </x:c>
      <x:c r="S53" s="14" t="str">
        <x:v>平台直接字段</x:v>
      </x:c>
      <x:c r="T53" s="14" t="str">
        <x:v>条件委托已取消；算法编号1000001830651002；创建时间2026-06-02 22:09:23；撤销时间2026-06-02 22:18:32；是否触发否；周期关联等级STRONG_CONTEXT；取消/过期原因无法确认（已完成为不适用）。</x:v>
      </x:c>
      <x:c r="U53" s="14" t="s">
        <x:v>172</x:v>
      </x:c>
      <x:c r="V53" s="21" t="s">
        <x:v>176</x:v>
      </x:c>
      <x:c r="W53" s="14" t="str">
        <x:v>algorithm_id=1000001830651002；terminal_at=2026-06-02 22:18:32；关联=STRONG_CONTEXT</x:v>
      </x:c>
    </x:row>
    <x:row r="54" ht="58" customHeight="1">
      <x:c r="A54" s="12" t="s">
        <x:v>71</x:v>
      </x:c>
      <x:c r="B54" s="12" t="s">
        <x:v>309</x:v>
      </x:c>
      <x:c r="C54" s="12" t="s">
        <x:v>178</x:v>
      </x:c>
      <x:c r="D54" s="12" t="s">
        <x:v>202</x:v>
      </x:c>
      <x:c r="E54" s="12" t="s">
        <x:v>205</x:v>
      </x:c>
      <x:c r="F54" s="12" t="s">
        <x:v>205</x:v>
      </x:c>
      <x:c r="G54" s="12" t="s">
        <x:v>310</x:v>
      </x:c>
      <x:c r="H54" s="12">
        <x:v>0</x:v>
      </x:c>
      <x:c r="I54" s="12">
        <x:v>0</x:v>
      </x:c>
      <x:c r="J54" s="12" t="str">
        <x:v>已取消</x:v>
      </x:c>
      <x:c r="K54" s="12"/>
      <x:c r="L54" s="12"/>
      <x:c r="M54" s="12" t="s">
        <x:v>172</x:v>
      </x:c>
      <x:c r="N54" s="12" t="s">
        <x:v>172</x:v>
      </x:c>
      <x:c r="O54" s="12" t="s">
        <x:v>172</x:v>
      </x:c>
      <x:c r="P54" s="12" t="s">
        <x:v>172</x:v>
      </x:c>
      <x:c r="Q54" s="12" t="s">
        <x:v>172</x:v>
      </x:c>
      <x:c r="R54" s="12" t="str">
        <x:v>疑似连续调整</x:v>
      </x:c>
      <x:c r="S54" s="12" t="str">
        <x:v>平台直接字段</x:v>
      </x:c>
      <x:c r="T54" s="12" t="str">
        <x:v>条件委托已取消；算法编号1000001830742104；创建时间2026-06-02 22:18:33；撤销时间2026-06-02 22:31:05；是否触发否；周期关联等级STRONG_CONTEXT；取消/过期原因无法确认（已完成为不适用）。</x:v>
      </x:c>
      <x:c r="U54" s="12" t="s">
        <x:v>172</x:v>
      </x:c>
      <x:c r="V54" s="21" t="s">
        <x:v>176</x:v>
      </x:c>
      <x:c r="W54" s="12" t="str">
        <x:v>algorithm_id=1000001830742104；terminal_at=2026-06-02 22:31:05；关联=STRONG_CONTEXT</x:v>
      </x:c>
    </x:row>
    <x:row r="55" ht="58" customHeight="1">
      <x:c r="A55" s="14" t="s">
        <x:v>71</x:v>
      </x:c>
      <x:c r="B55" s="14" t="s">
        <x:v>311</x:v>
      </x:c>
      <x:c r="C55" s="14" t="s">
        <x:v>178</x:v>
      </x:c>
      <x:c r="D55" s="14" t="s">
        <x:v>165</x:v>
      </x:c>
      <x:c r="E55" s="14" t="s">
        <x:v>312</x:v>
      </x:c>
      <x:c r="F55" s="14" t="s">
        <x:v>199</x:v>
      </x:c>
      <x:c r="G55" s="14" t="s">
        <x:v>313</x:v>
      </x:c>
      <x:c r="H55" s="14">
        <x:v>4</x:v>
      </x:c>
      <x:c r="I55" s="14">
        <x:v>4</x:v>
      </x:c>
      <x:c r="J55" s="14" t="s">
        <x:v>168</x:v>
      </x:c>
      <x:c r="K55" s="14" t="s">
        <x:v>298</x:v>
      </x:c>
      <x:c r="L55" s="14" t="s">
        <x:v>314</x:v>
      </x:c>
      <x:c r="M55" s="14" t="s">
        <x:v>171</x:v>
      </x:c>
      <x:c r="N55" s="14" t="s">
        <x:v>172</x:v>
      </x:c>
      <x:c r="O55" s="14" t="s">
        <x:v>172</x:v>
      </x:c>
      <x:c r="P55" s="14" t="s">
        <x:v>171</x:v>
      </x:c>
      <x:c r="Q55" s="14" t="s">
        <x:v>172</x:v>
      </x:c>
      <x:c r="R55" s="14" t="s">
        <x:v>193</x:v>
      </x:c>
      <x:c r="S55" s="14" t="s">
        <x:v>189</x:v>
      </x:c>
      <x:c r="T55" s="14" t="s">
        <x:v>315</x:v>
      </x:c>
      <x:c r="U55" s="14" t="s">
        <x:v>172</x:v>
      </x:c>
      <x:c r="V55" s="21" t="s">
        <x:v>176</x:v>
      </x:c>
      <x:c r="W55" s="14" t="str">
        <x:v>独立事件；按本行事实口径计数。</x:v>
      </x:c>
    </x:row>
    <x:row r="56" ht="58" customHeight="1">
      <x:c r="A56" s="12" t="s">
        <x:v>71</x:v>
      </x:c>
      <x:c r="B56" s="12" t="s">
        <x:v>316</x:v>
      </x:c>
      <x:c r="C56" s="12" t="s">
        <x:v>178</x:v>
      </x:c>
      <x:c r="D56" s="12" t="s">
        <x:v>202</x:v>
      </x:c>
      <x:c r="E56" s="12" t="s">
        <x:v>205</x:v>
      </x:c>
      <x:c r="F56" s="12" t="s">
        <x:v>205</x:v>
      </x:c>
      <x:c r="G56" s="12" t="s">
        <x:v>317</x:v>
      </x:c>
      <x:c r="H56" s="12">
        <x:v>0</x:v>
      </x:c>
      <x:c r="I56" s="12">
        <x:v>0</x:v>
      </x:c>
      <x:c r="J56" s="12" t="str">
        <x:v>已取消</x:v>
      </x:c>
      <x:c r="K56" s="12"/>
      <x:c r="L56" s="12"/>
      <x:c r="M56" s="12" t="s">
        <x:v>172</x:v>
      </x:c>
      <x:c r="N56" s="12" t="s">
        <x:v>172</x:v>
      </x:c>
      <x:c r="O56" s="12" t="s">
        <x:v>172</x:v>
      </x:c>
      <x:c r="P56" s="12" t="s">
        <x:v>172</x:v>
      </x:c>
      <x:c r="Q56" s="12" t="s">
        <x:v>172</x:v>
      </x:c>
      <x:c r="R56" s="12" t="str">
        <x:v>疑似连续调整</x:v>
      </x:c>
      <x:c r="S56" s="12" t="str">
        <x:v>平台直接字段</x:v>
      </x:c>
      <x:c r="T56" s="12" t="str">
        <x:v>条件委托已取消；算法编号1000001830946355；创建时间2026-06-02 22:31:05；撤销时间2026-06-02 23:08:52；是否触发否；周期关联等级STRONG_CONTEXT；取消/过期原因无法确认（已完成为不适用）。</x:v>
      </x:c>
      <x:c r="U56" s="12" t="s">
        <x:v>172</x:v>
      </x:c>
      <x:c r="V56" s="21" t="s">
        <x:v>176</x:v>
      </x:c>
      <x:c r="W56" s="12" t="str">
        <x:v>algorithm_id=1000001830946355；terminal_at=2026-06-02 23:08:52；关联=STRONG_CONTEXT</x:v>
      </x:c>
    </x:row>
    <x:row r="57" ht="58" customHeight="1">
      <x:c r="A57" s="14" t="s">
        <x:v>71</x:v>
      </x:c>
      <x:c r="B57" s="14" t="s">
        <x:v>318</x:v>
      </x:c>
      <x:c r="C57" s="14" t="s">
        <x:v>178</x:v>
      </x:c>
      <x:c r="D57" s="14" t="s">
        <x:v>184</x:v>
      </x:c>
      <x:c r="E57" s="14" t="s">
        <x:v>234</x:v>
      </x:c>
      <x:c r="F57" s="14" t="s">
        <x:v>185</x:v>
      </x:c>
      <x:c r="G57" s="14" t="s">
        <x:v>319</x:v>
      </x:c>
      <x:c r="H57" s="14">
        <x:v>5</x:v>
      </x:c>
      <x:c r="I57" s="14">
        <x:v>0</x:v>
      </x:c>
      <x:c r="J57" s="14" t="s">
        <x:v>187</x:v>
      </x:c>
      <x:c r="K57" s="14" t="s">
        <x:v>314</x:v>
      </x:c>
      <x:c r="L57" s="14" t="s">
        <x:v>314</x:v>
      </x:c>
      <x:c r="M57" s="14" t="s">
        <x:v>172</x:v>
      </x:c>
      <x:c r="N57" s="14" t="s">
        <x:v>172</x:v>
      </x:c>
      <x:c r="O57" s="14" t="s">
        <x:v>172</x:v>
      </x:c>
      <x:c r="P57" s="14" t="s">
        <x:v>172</x:v>
      </x:c>
      <x:c r="Q57" s="14" t="s">
        <x:v>172</x:v>
      </x:c>
      <x:c r="R57" s="14" t="s">
        <x:v>195</x:v>
      </x:c>
      <x:c r="S57" s="14" t="s">
        <x:v>20</x:v>
      </x:c>
      <x:c r="T57" s="14" t="s">
        <x:v>320</x:v>
      </x:c>
      <x:c r="U57" s="14" t="s">
        <x:v>171</x:v>
      </x:c>
      <x:c r="V57" s="21" t="s">
        <x:v>176</x:v>
      </x:c>
      <x:c r="W57" s="14" t="str">
        <x:v>独立事件；按本行事实口径计数。</x:v>
      </x:c>
    </x:row>
    <x:row r="58" ht="58" customHeight="1">
      <x:c r="A58" s="12" t="s">
        <x:v>71</x:v>
      </x:c>
      <x:c r="B58" s="12" t="s">
        <x:v>321</x:v>
      </x:c>
      <x:c r="C58" s="12" t="s">
        <x:v>178</x:v>
      </x:c>
      <x:c r="D58" s="12" t="s">
        <x:v>184</x:v>
      </x:c>
      <x:c r="E58" s="12" t="s">
        <x:v>223</x:v>
      </x:c>
      <x:c r="F58" s="12" t="s">
        <x:v>185</x:v>
      </x:c>
      <x:c r="G58" s="12" t="s">
        <x:v>322</x:v>
      </x:c>
      <x:c r="H58" s="12">
        <x:v>2</x:v>
      </x:c>
      <x:c r="I58" s="12">
        <x:v>0</x:v>
      </x:c>
      <x:c r="J58" s="12" t="s">
        <x:v>187</x:v>
      </x:c>
      <x:c r="K58" s="12" t="s">
        <x:v>314</x:v>
      </x:c>
      <x:c r="L58" s="12" t="s">
        <x:v>314</x:v>
      </x:c>
      <x:c r="M58" s="12" t="s">
        <x:v>172</x:v>
      </x:c>
      <x:c r="N58" s="12" t="s">
        <x:v>172</x:v>
      </x:c>
      <x:c r="O58" s="12" t="s">
        <x:v>172</x:v>
      </x:c>
      <x:c r="P58" s="12" t="s">
        <x:v>172</x:v>
      </x:c>
      <x:c r="Q58" s="12" t="s">
        <x:v>172</x:v>
      </x:c>
      <x:c r="R58" s="12" t="s">
        <x:v>195</x:v>
      </x:c>
      <x:c r="S58" s="12" t="s">
        <x:v>20</x:v>
      </x:c>
      <x:c r="T58" s="12" t="s">
        <x:v>323</x:v>
      </x:c>
      <x:c r="U58" s="12" t="s">
        <x:v>171</x:v>
      </x:c>
      <x:c r="V58" s="21" t="s">
        <x:v>176</x:v>
      </x:c>
      <x:c r="W58" s="12" t="str">
        <x:v>独立事件；按本行事实口径计数。</x:v>
      </x:c>
    </x:row>
    <x:row r="59" ht="58" customHeight="1">
      <x:c r="A59" s="14" t="s">
        <x:v>71</x:v>
      </x:c>
      <x:c r="B59" s="14" t="s">
        <x:v>324</x:v>
      </x:c>
      <x:c r="C59" s="14" t="s">
        <x:v>178</x:v>
      </x:c>
      <x:c r="D59" s="14" t="s">
        <x:v>184</x:v>
      </x:c>
      <x:c r="E59" s="14" t="s">
        <x:v>234</x:v>
      </x:c>
      <x:c r="F59" s="14" t="s">
        <x:v>185</x:v>
      </x:c>
      <x:c r="G59" s="14" t="s">
        <x:v>325</x:v>
      </x:c>
      <x:c r="H59" s="14">
        <x:v>5</x:v>
      </x:c>
      <x:c r="I59" s="14">
        <x:v>0</x:v>
      </x:c>
      <x:c r="J59" s="14" t="s">
        <x:v>187</x:v>
      </x:c>
      <x:c r="K59" s="14" t="s">
        <x:v>314</x:v>
      </x:c>
      <x:c r="L59" s="14" t="s">
        <x:v>314</x:v>
      </x:c>
      <x:c r="M59" s="14" t="s">
        <x:v>172</x:v>
      </x:c>
      <x:c r="N59" s="14" t="s">
        <x:v>172</x:v>
      </x:c>
      <x:c r="O59" s="14" t="s">
        <x:v>172</x:v>
      </x:c>
      <x:c r="P59" s="14" t="s">
        <x:v>172</x:v>
      </x:c>
      <x:c r="Q59" s="14" t="s">
        <x:v>172</x:v>
      </x:c>
      <x:c r="R59" s="14" t="s">
        <x:v>195</x:v>
      </x:c>
      <x:c r="S59" s="14" t="s">
        <x:v>20</x:v>
      </x:c>
      <x:c r="T59" s="14" t="s">
        <x:v>320</x:v>
      </x:c>
      <x:c r="U59" s="14" t="s">
        <x:v>171</x:v>
      </x:c>
      <x:c r="V59" s="21" t="s">
        <x:v>176</x:v>
      </x:c>
      <x:c r="W59" s="14" t="str">
        <x:v>独立事件；按本行事实口径计数。</x:v>
      </x:c>
    </x:row>
    <x:row r="60" ht="58" customHeight="1">
      <x:c r="A60" s="12" t="s">
        <x:v>71</x:v>
      </x:c>
      <x:c r="B60" s="12" t="s">
        <x:v>326</x:v>
      </x:c>
      <x:c r="C60" s="12" t="s">
        <x:v>178</x:v>
      </x:c>
      <x:c r="D60" s="12" t="s">
        <x:v>202</x:v>
      </x:c>
      <x:c r="E60" s="12" t="s">
        <x:v>205</x:v>
      </x:c>
      <x:c r="F60" s="12" t="s">
        <x:v>205</x:v>
      </x:c>
      <x:c r="G60" s="12" t="s">
        <x:v>327</x:v>
      </x:c>
      <x:c r="H60" s="12">
        <x:v>0</x:v>
      </x:c>
      <x:c r="I60" s="12">
        <x:v>0</x:v>
      </x:c>
      <x:c r="J60" s="12" t="str">
        <x:v>已取消</x:v>
      </x:c>
      <x:c r="K60" s="12"/>
      <x:c r="L60" s="12"/>
      <x:c r="M60" s="12" t="s">
        <x:v>172</x:v>
      </x:c>
      <x:c r="N60" s="12" t="s">
        <x:v>172</x:v>
      </x:c>
      <x:c r="O60" s="12" t="s">
        <x:v>172</x:v>
      </x:c>
      <x:c r="P60" s="12" t="s">
        <x:v>172</x:v>
      </x:c>
      <x:c r="Q60" s="12" t="s">
        <x:v>172</x:v>
      </x:c>
      <x:c r="R60" s="12" t="str">
        <x:v>疑似连续调整</x:v>
      </x:c>
      <x:c r="S60" s="12" t="str">
        <x:v>平台直接字段</x:v>
      </x:c>
      <x:c r="T60" s="12" t="str">
        <x:v>条件委托已取消；算法编号1000001831316229；创建时间2026-06-02 23:08:52；撤销时间2026-06-02 23:51:28；是否触发否；周期关联等级STRONG_CONTEXT；取消/过期原因无法确认（已完成为不适用）。</x:v>
      </x:c>
      <x:c r="U60" s="12" t="s">
        <x:v>172</x:v>
      </x:c>
      <x:c r="V60" s="21" t="s">
        <x:v>176</x:v>
      </x:c>
      <x:c r="W60" s="12" t="str">
        <x:v>algorithm_id=1000001831316229；terminal_at=2026-06-02 23:51:28；关联=STRONG_CONTEXT</x:v>
      </x:c>
    </x:row>
    <x:row r="61" ht="58" customHeight="1">
      <x:c r="A61" s="14" t="s">
        <x:v>71</x:v>
      </x:c>
      <x:c r="B61" s="14" t="s">
        <x:v>328</x:v>
      </x:c>
      <x:c r="C61" s="14" t="s">
        <x:v>178</x:v>
      </x:c>
      <x:c r="D61" s="14" t="s">
        <x:v>165</x:v>
      </x:c>
      <x:c r="E61" s="14" t="s">
        <x:v>296</x:v>
      </x:c>
      <x:c r="F61" s="14" t="s">
        <x:v>199</x:v>
      </x:c>
      <x:c r="G61" s="14" t="s">
        <x:v>329</x:v>
      </x:c>
      <x:c r="H61" s="14">
        <x:v>2</x:v>
      </x:c>
      <x:c r="I61" s="14">
        <x:v>2</x:v>
      </x:c>
      <x:c r="J61" s="14" t="s">
        <x:v>168</x:v>
      </x:c>
      <x:c r="K61" s="14" t="s">
        <x:v>314</x:v>
      </x:c>
      <x:c r="L61" s="14" t="s">
        <x:v>330</x:v>
      </x:c>
      <x:c r="M61" s="14" t="s">
        <x:v>171</x:v>
      </x:c>
      <x:c r="N61" s="14" t="s">
        <x:v>172</x:v>
      </x:c>
      <x:c r="O61" s="14" t="s">
        <x:v>171</x:v>
      </x:c>
      <x:c r="P61" s="14" t="s">
        <x:v>172</x:v>
      </x:c>
      <x:c r="Q61" s="14" t="s">
        <x:v>172</x:v>
      </x:c>
      <x:c r="R61" s="14" t="s">
        <x:v>195</x:v>
      </x:c>
      <x:c r="S61" s="14" t="s">
        <x:v>20</x:v>
      </x:c>
      <x:c r="T61" s="14" t="s">
        <x:v>331</x:v>
      </x:c>
      <x:c r="U61" s="14" t="s">
        <x:v>171</x:v>
      </x:c>
      <x:c r="V61" s="21" t="s">
        <x:v>176</x:v>
      </x:c>
      <x:c r="W61" s="14" t="str">
        <x:v>独立事件；按本行事实口径计数。</x:v>
      </x:c>
    </x:row>
    <x:row r="62" ht="58" customHeight="1">
      <x:c r="A62" s="12" t="s">
        <x:v>71</x:v>
      </x:c>
      <x:c r="B62" s="12" t="s">
        <x:v>332</x:v>
      </x:c>
      <x:c r="C62" s="12" t="s">
        <x:v>178</x:v>
      </x:c>
      <x:c r="D62" s="12" t="s">
        <x:v>202</x:v>
      </x:c>
      <x:c r="E62" s="12" t="s">
        <x:v>205</x:v>
      </x:c>
      <x:c r="F62" s="12" t="s">
        <x:v>205</x:v>
      </x:c>
      <x:c r="G62" s="12" t="s">
        <x:v>333</x:v>
      </x:c>
      <x:c r="H62" s="12">
        <x:v>2</x:v>
      </x:c>
      <x:c r="I62" s="12">
        <x:v>0</x:v>
      </x:c>
      <x:c r="J62" s="12" t="str">
        <x:v>已取消</x:v>
      </x:c>
      <x:c r="K62" s="12"/>
      <x:c r="L62" s="12"/>
      <x:c r="M62" s="12" t="s">
        <x:v>172</x:v>
      </x:c>
      <x:c r="N62" s="12" t="s">
        <x:v>172</x:v>
      </x:c>
      <x:c r="O62" s="12" t="s">
        <x:v>172</x:v>
      </x:c>
      <x:c r="P62" s="12" t="s">
        <x:v>172</x:v>
      </x:c>
      <x:c r="Q62" s="12" t="s">
        <x:v>172</x:v>
      </x:c>
      <x:c r="R62" s="12" t="str">
        <x:v>相邻记录</x:v>
      </x:c>
      <x:c r="S62" s="12" t="str">
        <x:v>平台直接字段</x:v>
      </x:c>
      <x:c r="T62" s="12" t="str">
        <x:v>条件委托已取消；算法编号1000001831526346；创建时间2026-06-02 23:27:54；撤销时间2026-06-02 23:29:25；是否触发否；周期关联等级STRONG_CONTEXT；取消/过期原因无法确认（已完成为不适用）。</x:v>
      </x:c>
      <x:c r="U62" s="12" t="s">
        <x:v>171</x:v>
      </x:c>
      <x:c r="V62" s="21" t="s">
        <x:v>176</x:v>
      </x:c>
      <x:c r="W62" s="12" t="str">
        <x:v>algorithm_id=1000001831526346；terminal_at=2026-06-02 23:29:25；关联=STRONG_CONTEXT</x:v>
      </x:c>
    </x:row>
    <x:row r="63" ht="58" customHeight="1">
      <x:c r="A63" s="14" t="s">
        <x:v>71</x:v>
      </x:c>
      <x:c r="B63" s="14" t="s">
        <x:v>334</x:v>
      </x:c>
      <x:c r="C63" s="14" t="s">
        <x:v>178</x:v>
      </x:c>
      <x:c r="D63" s="14" t="s">
        <x:v>202</x:v>
      </x:c>
      <x:c r="E63" s="14" t="s">
        <x:v>203</x:v>
      </x:c>
      <x:c r="F63" s="14" t="s">
        <x:v>203</x:v>
      </x:c>
      <x:c r="G63" s="14" t="s">
        <x:v>335</x:v>
      </x:c>
      <x:c r="H63" s="14">
        <x:v>0</x:v>
      </x:c>
      <x:c r="I63" s="14">
        <x:v>0</x:v>
      </x:c>
      <x:c r="J63" s="14" t="str">
        <x:v>已取消</x:v>
      </x:c>
      <x:c r="K63" s="14"/>
      <x:c r="L63" s="14"/>
      <x:c r="M63" s="14" t="s">
        <x:v>172</x:v>
      </x:c>
      <x:c r="N63" s="14" t="s">
        <x:v>172</x:v>
      </x:c>
      <x:c r="O63" s="14" t="s">
        <x:v>172</x:v>
      </x:c>
      <x:c r="P63" s="14" t="s">
        <x:v>172</x:v>
      </x:c>
      <x:c r="Q63" s="14" t="s">
        <x:v>172</x:v>
      </x:c>
      <x:c r="R63" s="14" t="str">
        <x:v>相邻记录</x:v>
      </x:c>
      <x:c r="S63" s="14" t="str">
        <x:v>平台直接字段</x:v>
      </x:c>
      <x:c r="T63" s="14" t="str">
        <x:v>条件委托已取消；算法编号1000001831604235；创建时间2026-06-02 23:32:56；撤销时间2026-06-02 23:40:14；是否触发否；周期关联等级STRONG_CONTEXT；取消/过期原因无法确认（已完成为不适用）。</x:v>
      </x:c>
      <x:c r="U63" s="14" t="s">
        <x:v>172</x:v>
      </x:c>
      <x:c r="V63" s="21" t="s">
        <x:v>176</x:v>
      </x:c>
      <x:c r="W63" s="14" t="str">
        <x:v>algorithm_id=1000001831604235；terminal_at=2026-06-02 23:40:14；关联=STRONG_CONTEXT</x:v>
      </x:c>
    </x:row>
    <x:row r="64" ht="58" customHeight="1">
      <x:c r="A64" s="12" t="s">
        <x:v>71</x:v>
      </x:c>
      <x:c r="B64" s="12" t="s">
        <x:v>336</x:v>
      </x:c>
      <x:c r="C64" s="12" t="s">
        <x:v>178</x:v>
      </x:c>
      <x:c r="D64" s="12" t="s">
        <x:v>202</x:v>
      </x:c>
      <x:c r="E64" s="12" t="s">
        <x:v>203</x:v>
      </x:c>
      <x:c r="F64" s="12" t="s">
        <x:v>203</x:v>
      </x:c>
      <x:c r="G64" s="12" t="s">
        <x:v>337</x:v>
      </x:c>
      <x:c r="H64" s="12">
        <x:v>0</x:v>
      </x:c>
      <x:c r="I64" s="12">
        <x:v>0</x:v>
      </x:c>
      <x:c r="J64" s="12" t="str">
        <x:v>已取消</x:v>
      </x:c>
      <x:c r="K64" s="12"/>
      <x:c r="L64" s="12"/>
      <x:c r="M64" s="12" t="s">
        <x:v>172</x:v>
      </x:c>
      <x:c r="N64" s="12" t="s">
        <x:v>172</x:v>
      </x:c>
      <x:c r="O64" s="12" t="s">
        <x:v>172</x:v>
      </x:c>
      <x:c r="P64" s="12" t="s">
        <x:v>172</x:v>
      </x:c>
      <x:c r="Q64" s="12" t="s">
        <x:v>172</x:v>
      </x:c>
      <x:c r="R64" s="12" t="str">
        <x:v>疑似连续调整</x:v>
      </x:c>
      <x:c r="S64" s="12" t="str">
        <x:v>平台直接字段</x:v>
      </x:c>
      <x:c r="T64" s="12" t="str">
        <x:v>条件委托已取消；算法编号1000001831697541；创建时间2026-06-02 23:40:15；撤销时间2026-06-02 23:49:26；是否触发否；周期关联等级STRONG_CONTEXT；取消/过期原因无法确认（已完成为不适用）。</x:v>
      </x:c>
      <x:c r="U64" s="12" t="s">
        <x:v>172</x:v>
      </x:c>
      <x:c r="V64" s="21" t="s">
        <x:v>176</x:v>
      </x:c>
      <x:c r="W64" s="12" t="str">
        <x:v>algorithm_id=1000001831697541；terminal_at=2026-06-02 23:49:26；关联=STRONG_CONTEXT</x:v>
      </x:c>
    </x:row>
    <x:row r="65" ht="58" customHeight="1">
      <x:c r="A65" s="14" t="s">
        <x:v>71</x:v>
      </x:c>
      <x:c r="B65" s="14" t="s">
        <x:v>338</x:v>
      </x:c>
      <x:c r="C65" s="14" t="s">
        <x:v>178</x:v>
      </x:c>
      <x:c r="D65" s="14" t="s">
        <x:v>202</x:v>
      </x:c>
      <x:c r="E65" s="14" t="s">
        <x:v>203</x:v>
      </x:c>
      <x:c r="F65" s="14" t="s">
        <x:v>203</x:v>
      </x:c>
      <x:c r="G65" s="14" t="s">
        <x:v>339</x:v>
      </x:c>
      <x:c r="H65" s="14">
        <x:v>0</x:v>
      </x:c>
      <x:c r="I65" s="14">
        <x:v>0</x:v>
      </x:c>
      <x:c r="J65" s="14" t="str">
        <x:v>已取消</x:v>
      </x:c>
      <x:c r="K65" s="14"/>
      <x:c r="L65" s="14"/>
      <x:c r="M65" s="14" t="s">
        <x:v>172</x:v>
      </x:c>
      <x:c r="N65" s="14" t="s">
        <x:v>172</x:v>
      </x:c>
      <x:c r="O65" s="14" t="s">
        <x:v>172</x:v>
      </x:c>
      <x:c r="P65" s="14" t="s">
        <x:v>172</x:v>
      </x:c>
      <x:c r="Q65" s="14" t="s">
        <x:v>172</x:v>
      </x:c>
      <x:c r="R65" s="14" t="str">
        <x:v>疑似连续调整</x:v>
      </x:c>
      <x:c r="S65" s="14" t="str">
        <x:v>平台直接字段</x:v>
      </x:c>
      <x:c r="T65" s="14" t="str">
        <x:v>条件委托已取消；算法编号1000001831791090；创建时间2026-06-02 23:49:26；撤销时间2026-06-03 01:05:48；是否触发否；周期关联等级STRONG_CONTEXT；取消/过期原因无法确认（已完成为不适用）。</x:v>
      </x:c>
      <x:c r="U65" s="14" t="s">
        <x:v>172</x:v>
      </x:c>
      <x:c r="V65" s="21" t="s">
        <x:v>176</x:v>
      </x:c>
      <x:c r="W65" s="14" t="str">
        <x:v>algorithm_id=1000001831791090；terminal_at=2026-06-03 01:05:48；关联=STRONG_CONTEXT</x:v>
      </x:c>
    </x:row>
    <x:row r="66" ht="58" customHeight="1">
      <x:c r="A66" s="12" t="s">
        <x:v>71</x:v>
      </x:c>
      <x:c r="B66" s="12" t="s">
        <x:v>340</x:v>
      </x:c>
      <x:c r="C66" s="12" t="s">
        <x:v>178</x:v>
      </x:c>
      <x:c r="D66" s="12" t="s">
        <x:v>202</x:v>
      </x:c>
      <x:c r="E66" s="12" t="s">
        <x:v>205</x:v>
      </x:c>
      <x:c r="F66" s="12" t="s">
        <x:v>205</x:v>
      </x:c>
      <x:c r="G66" s="12" t="s">
        <x:v>341</x:v>
      </x:c>
      <x:c r="H66" s="12">
        <x:v>0</x:v>
      </x:c>
      <x:c r="I66" s="12">
        <x:v>0</x:v>
      </x:c>
      <x:c r="J66" s="12" t="str">
        <x:v>已取消</x:v>
      </x:c>
      <x:c r="K66" s="12"/>
      <x:c r="L66" s="12"/>
      <x:c r="M66" s="12" t="s">
        <x:v>172</x:v>
      </x:c>
      <x:c r="N66" s="12" t="s">
        <x:v>172</x:v>
      </x:c>
      <x:c r="O66" s="12" t="s">
        <x:v>172</x:v>
      </x:c>
      <x:c r="P66" s="12" t="s">
        <x:v>172</x:v>
      </x:c>
      <x:c r="Q66" s="12" t="s">
        <x:v>172</x:v>
      </x:c>
      <x:c r="R66" s="12" t="str">
        <x:v>相邻记录</x:v>
      </x:c>
      <x:c r="S66" s="12" t="str">
        <x:v>平台直接字段</x:v>
      </x:c>
      <x:c r="T66" s="12" t="str">
        <x:v>条件委托已取消；算法编号1000001831809942；创建时间2026-06-02 23:51:28；撤销时间2026-06-03 00:54:40；是否触发否；周期关联等级STRONG_CONTEXT；取消/过期原因无法确认（已完成为不适用）。</x:v>
      </x:c>
      <x:c r="U66" s="12" t="s">
        <x:v>171</x:v>
      </x:c>
      <x:c r="V66" s="21" t="s">
        <x:v>176</x:v>
      </x:c>
      <x:c r="W66" s="12" t="str">
        <x:v>algorithm_id=1000001831809942；terminal_at=2026-06-03 00:54:40；关联=STRONG_CONTEXT</x:v>
      </x:c>
    </x:row>
    <x:row r="67" ht="58" customHeight="1">
      <x:c r="A67" s="14" t="s">
        <x:v>71</x:v>
      </x:c>
      <x:c r="B67" s="14" t="s">
        <x:v>342</x:v>
      </x:c>
      <x:c r="C67" s="14" t="s">
        <x:v>178</x:v>
      </x:c>
      <x:c r="D67" s="14" t="s">
        <x:v>184</x:v>
      </x:c>
      <x:c r="E67" s="14" t="s">
        <x:v>223</x:v>
      </x:c>
      <x:c r="F67" s="14" t="s">
        <x:v>185</x:v>
      </x:c>
      <x:c r="G67" s="14" t="s">
        <x:v>343</x:v>
      </x:c>
      <x:c r="H67" s="14">
        <x:v>6.328</x:v>
      </x:c>
      <x:c r="I67" s="14">
        <x:v>0</x:v>
      </x:c>
      <x:c r="J67" s="14" t="s">
        <x:v>187</x:v>
      </x:c>
      <x:c r="K67" s="14" t="s">
        <x:v>330</x:v>
      </x:c>
      <x:c r="L67" s="14" t="s">
        <x:v>330</x:v>
      </x:c>
      <x:c r="M67" s="14" t="s">
        <x:v>172</x:v>
      </x:c>
      <x:c r="N67" s="14" t="s">
        <x:v>172</x:v>
      </x:c>
      <x:c r="O67" s="14" t="s">
        <x:v>172</x:v>
      </x:c>
      <x:c r="P67" s="14" t="s">
        <x:v>172</x:v>
      </x:c>
      <x:c r="Q67" s="14" t="s">
        <x:v>172</x:v>
      </x:c>
      <x:c r="R67" s="14" t="s">
        <x:v>195</x:v>
      </x:c>
      <x:c r="S67" s="14" t="s">
        <x:v>20</x:v>
      </x:c>
      <x:c r="T67" s="14" t="s">
        <x:v>344</x:v>
      </x:c>
      <x:c r="U67" s="14" t="s">
        <x:v>171</x:v>
      </x:c>
      <x:c r="V67" s="21" t="s">
        <x:v>176</x:v>
      </x:c>
      <x:c r="W67" s="14" t="str">
        <x:v>独立事件；按本行事实口径计数。</x:v>
      </x:c>
    </x:row>
    <x:row r="68" ht="58" customHeight="1">
      <x:c r="A68" s="12" t="s">
        <x:v>71</x:v>
      </x:c>
      <x:c r="B68" s="12" t="s">
        <x:v>345</x:v>
      </x:c>
      <x:c r="C68" s="12" t="s">
        <x:v>178</x:v>
      </x:c>
      <x:c r="D68" s="12" t="s">
        <x:v>184</x:v>
      </x:c>
      <x:c r="E68" s="12" t="s">
        <x:v>223</x:v>
      </x:c>
      <x:c r="F68" s="12" t="s">
        <x:v>185</x:v>
      </x:c>
      <x:c r="G68" s="12" t="s">
        <x:v>346</x:v>
      </x:c>
      <x:c r="H68" s="12">
        <x:v>6</x:v>
      </x:c>
      <x:c r="I68" s="12">
        <x:v>0</x:v>
      </x:c>
      <x:c r="J68" s="12" t="s">
        <x:v>187</x:v>
      </x:c>
      <x:c r="K68" s="12" t="s">
        <x:v>330</x:v>
      </x:c>
      <x:c r="L68" s="12" t="s">
        <x:v>330</x:v>
      </x:c>
      <x:c r="M68" s="12" t="s">
        <x:v>172</x:v>
      </x:c>
      <x:c r="N68" s="12" t="s">
        <x:v>172</x:v>
      </x:c>
      <x:c r="O68" s="12" t="s">
        <x:v>172</x:v>
      </x:c>
      <x:c r="P68" s="12" t="s">
        <x:v>172</x:v>
      </x:c>
      <x:c r="Q68" s="12" t="s">
        <x:v>172</x:v>
      </x:c>
      <x:c r="R68" s="12" t="s">
        <x:v>193</x:v>
      </x:c>
      <x:c r="S68" s="12" t="s">
        <x:v>189</x:v>
      </x:c>
      <x:c r="T68" s="12" t="s">
        <x:v>347</x:v>
      </x:c>
      <x:c r="U68" s="12" t="s">
        <x:v>172</x:v>
      </x:c>
      <x:c r="V68" s="21" t="s">
        <x:v>176</x:v>
      </x:c>
      <x:c r="W68" s="12" t="str">
        <x:v>独立事件；按本行事实口径计数。</x:v>
      </x:c>
    </x:row>
    <x:row r="69" ht="58" customHeight="1">
      <x:c r="A69" s="14" t="s">
        <x:v>71</x:v>
      </x:c>
      <x:c r="B69" s="14" t="s">
        <x:v>348</x:v>
      </x:c>
      <x:c r="C69" s="14" t="s">
        <x:v>178</x:v>
      </x:c>
      <x:c r="D69" s="14" t="s">
        <x:v>184</x:v>
      </x:c>
      <x:c r="E69" s="14" t="s">
        <x:v>223</x:v>
      </x:c>
      <x:c r="F69" s="14" t="s">
        <x:v>185</x:v>
      </x:c>
      <x:c r="G69" s="14" t="s">
        <x:v>349</x:v>
      </x:c>
      <x:c r="H69" s="14">
        <x:v>6</x:v>
      </x:c>
      <x:c r="I69" s="14">
        <x:v>0</x:v>
      </x:c>
      <x:c r="J69" s="14" t="s">
        <x:v>187</x:v>
      </x:c>
      <x:c r="K69" s="14" t="s">
        <x:v>330</x:v>
      </x:c>
      <x:c r="L69" s="14" t="s">
        <x:v>330</x:v>
      </x:c>
      <x:c r="M69" s="14" t="s">
        <x:v>172</x:v>
      </x:c>
      <x:c r="N69" s="14" t="s">
        <x:v>172</x:v>
      </x:c>
      <x:c r="O69" s="14" t="s">
        <x:v>172</x:v>
      </x:c>
      <x:c r="P69" s="14" t="s">
        <x:v>172</x:v>
      </x:c>
      <x:c r="Q69" s="14" t="s">
        <x:v>172</x:v>
      </x:c>
      <x:c r="R69" s="14" t="s">
        <x:v>193</x:v>
      </x:c>
      <x:c r="S69" s="14" t="s">
        <x:v>189</x:v>
      </x:c>
      <x:c r="T69" s="14" t="s">
        <x:v>347</x:v>
      </x:c>
      <x:c r="U69" s="14" t="s">
        <x:v>172</x:v>
      </x:c>
      <x:c r="V69" s="21" t="s">
        <x:v>176</x:v>
      </x:c>
      <x:c r="W69" s="14" t="str">
        <x:v>独立事件；按本行事实口径计数。</x:v>
      </x:c>
    </x:row>
    <x:row r="70" ht="58" customHeight="1">
      <x:c r="A70" s="12" t="s">
        <x:v>71</x:v>
      </x:c>
      <x:c r="B70" s="12" t="s">
        <x:v>350</x:v>
      </x:c>
      <x:c r="C70" s="12" t="s">
        <x:v>178</x:v>
      </x:c>
      <x:c r="D70" s="12" t="s">
        <x:v>184</x:v>
      </x:c>
      <x:c r="E70" s="12" t="s">
        <x:v>234</x:v>
      </x:c>
      <x:c r="F70" s="12" t="s">
        <x:v>185</x:v>
      </x:c>
      <x:c r="G70" s="12" t="s">
        <x:v>351</x:v>
      </x:c>
      <x:c r="H70" s="12">
        <x:v>7</x:v>
      </x:c>
      <x:c r="I70" s="12">
        <x:v>0</x:v>
      </x:c>
      <x:c r="J70" s="12" t="s">
        <x:v>187</x:v>
      </x:c>
      <x:c r="K70" s="12" t="s">
        <x:v>330</x:v>
      </x:c>
      <x:c r="L70" s="12" t="s">
        <x:v>330</x:v>
      </x:c>
      <x:c r="M70" s="12" t="s">
        <x:v>172</x:v>
      </x:c>
      <x:c r="N70" s="12" t="s">
        <x:v>172</x:v>
      </x:c>
      <x:c r="O70" s="12" t="s">
        <x:v>172</x:v>
      </x:c>
      <x:c r="P70" s="12" t="s">
        <x:v>172</x:v>
      </x:c>
      <x:c r="Q70" s="12" t="s">
        <x:v>172</x:v>
      </x:c>
      <x:c r="R70" s="12" t="s">
        <x:v>195</x:v>
      </x:c>
      <x:c r="S70" s="12" t="s">
        <x:v>20</x:v>
      </x:c>
      <x:c r="T70" s="12" t="s">
        <x:v>352</x:v>
      </x:c>
      <x:c r="U70" s="12" t="s">
        <x:v>171</x:v>
      </x:c>
      <x:c r="V70" s="21" t="s">
        <x:v>176</x:v>
      </x:c>
      <x:c r="W70" s="12" t="str">
        <x:v>独立事件；按本行事实口径计数。</x:v>
      </x:c>
    </x:row>
    <x:row r="71" ht="58" customHeight="1">
      <x:c r="A71" s="14" t="s">
        <x:v>71</x:v>
      </x:c>
      <x:c r="B71" s="14" t="s">
        <x:v>353</x:v>
      </x:c>
      <x:c r="C71" s="14" t="s">
        <x:v>178</x:v>
      </x:c>
      <x:c r="D71" s="14" t="s">
        <x:v>184</x:v>
      </x:c>
      <x:c r="E71" s="14" t="s">
        <x:v>234</x:v>
      </x:c>
      <x:c r="F71" s="14" t="s">
        <x:v>185</x:v>
      </x:c>
      <x:c r="G71" s="14" t="s">
        <x:v>354</x:v>
      </x:c>
      <x:c r="H71" s="14">
        <x:v>7</x:v>
      </x:c>
      <x:c r="I71" s="14">
        <x:v>0</x:v>
      </x:c>
      <x:c r="J71" s="14" t="s">
        <x:v>187</x:v>
      </x:c>
      <x:c r="K71" s="14" t="s">
        <x:v>330</x:v>
      </x:c>
      <x:c r="L71" s="14" t="s">
        <x:v>330</x:v>
      </x:c>
      <x:c r="M71" s="14" t="s">
        <x:v>172</x:v>
      </x:c>
      <x:c r="N71" s="14" t="s">
        <x:v>172</x:v>
      </x:c>
      <x:c r="O71" s="14" t="s">
        <x:v>172</x:v>
      </x:c>
      <x:c r="P71" s="14" t="s">
        <x:v>172</x:v>
      </x:c>
      <x:c r="Q71" s="14" t="s">
        <x:v>172</x:v>
      </x:c>
      <x:c r="R71" s="14" t="s">
        <x:v>193</x:v>
      </x:c>
      <x:c r="S71" s="14" t="s">
        <x:v>189</x:v>
      </x:c>
      <x:c r="T71" s="14" t="s">
        <x:v>355</x:v>
      </x:c>
      <x:c r="U71" s="14" t="s">
        <x:v>172</x:v>
      </x:c>
      <x:c r="V71" s="21" t="s">
        <x:v>176</x:v>
      </x:c>
      <x:c r="W71" s="14" t="str">
        <x:v>独立事件；按本行事实口径计数。</x:v>
      </x:c>
    </x:row>
    <x:row r="72" ht="58" customHeight="1">
      <x:c r="A72" s="12" t="s">
        <x:v>71</x:v>
      </x:c>
      <x:c r="B72" s="12" t="s">
        <x:v>356</x:v>
      </x:c>
      <x:c r="C72" s="12" t="s">
        <x:v>178</x:v>
      </x:c>
      <x:c r="D72" s="12" t="s">
        <x:v>165</x:v>
      </x:c>
      <x:c r="E72" s="12" t="s">
        <x:v>296</x:v>
      </x:c>
      <x:c r="F72" s="12" t="s">
        <x:v>199</x:v>
      </x:c>
      <x:c r="G72" s="12" t="s">
        <x:v>357</x:v>
      </x:c>
      <x:c r="H72" s="12">
        <x:v>5</x:v>
      </x:c>
      <x:c r="I72" s="12">
        <x:v>5</x:v>
      </x:c>
      <x:c r="J72" s="12" t="s">
        <x:v>168</x:v>
      </x:c>
      <x:c r="K72" s="12" t="s">
        <x:v>330</x:v>
      </x:c>
      <x:c r="L72" s="12" t="s">
        <x:v>358</x:v>
      </x:c>
      <x:c r="M72" s="12" t="s">
        <x:v>171</x:v>
      </x:c>
      <x:c r="N72" s="12" t="s">
        <x:v>172</x:v>
      </x:c>
      <x:c r="O72" s="12" t="s">
        <x:v>171</x:v>
      </x:c>
      <x:c r="P72" s="12" t="s">
        <x:v>172</x:v>
      </x:c>
      <x:c r="Q72" s="12" t="s">
        <x:v>172</x:v>
      </x:c>
      <x:c r="R72" s="12" t="s">
        <x:v>195</x:v>
      </x:c>
      <x:c r="S72" s="12" t="s">
        <x:v>20</x:v>
      </x:c>
      <x:c r="T72" s="12" t="s">
        <x:v>359</x:v>
      </x:c>
      <x:c r="U72" s="12" t="s">
        <x:v>171</x:v>
      </x:c>
      <x:c r="V72" s="21" t="s">
        <x:v>176</x:v>
      </x:c>
      <x:c r="W72" s="12" t="str">
        <x:v>独立事件；按本行事实口径计数。</x:v>
      </x:c>
    </x:row>
    <x:row r="73" ht="58" customHeight="1">
      <x:c r="A73" s="14" t="s">
        <x:v>71</x:v>
      </x:c>
      <x:c r="B73" s="14" t="s">
        <x:v>360</x:v>
      </x:c>
      <x:c r="C73" s="14" t="s">
        <x:v>178</x:v>
      </x:c>
      <x:c r="D73" s="14" t="s">
        <x:v>202</x:v>
      </x:c>
      <x:c r="E73" s="14" t="s">
        <x:v>205</x:v>
      </x:c>
      <x:c r="F73" s="14" t="s">
        <x:v>205</x:v>
      </x:c>
      <x:c r="G73" s="14" t="s">
        <x:v>327</x:v>
      </x:c>
      <x:c r="H73" s="14">
        <x:v>0</x:v>
      </x:c>
      <x:c r="I73" s="14">
        <x:v>0</x:v>
      </x:c>
      <x:c r="J73" s="14" t="str">
        <x:v>已取消</x:v>
      </x:c>
      <x:c r="K73" s="14"/>
      <x:c r="L73" s="14"/>
      <x:c r="M73" s="14" t="s">
        <x:v>172</x:v>
      </x:c>
      <x:c r="N73" s="14" t="s">
        <x:v>172</x:v>
      </x:c>
      <x:c r="O73" s="14" t="s">
        <x:v>172</x:v>
      </x:c>
      <x:c r="P73" s="14" t="s">
        <x:v>172</x:v>
      </x:c>
      <x:c r="Q73" s="14" t="s">
        <x:v>172</x:v>
      </x:c>
      <x:c r="R73" s="14" t="str">
        <x:v>疑似连续调整</x:v>
      </x:c>
      <x:c r="S73" s="14" t="str">
        <x:v>平台直接字段</x:v>
      </x:c>
      <x:c r="T73" s="14" t="str">
        <x:v>条件委托已取消；算法编号1000001832388659；创建时间2026-06-03 00:54:41；撤销时间2026-06-03 01:04:23；是否触发否；周期关联等级STRONG_CONTEXT；取消/过期原因无法确认（已完成为不适用）。</x:v>
      </x:c>
      <x:c r="U73" s="14" t="s">
        <x:v>172</x:v>
      </x:c>
      <x:c r="V73" s="21" t="s">
        <x:v>176</x:v>
      </x:c>
      <x:c r="W73" s="14" t="str">
        <x:v>algorithm_id=1000001832388659；terminal_at=2026-06-03 01:04:23；关联=STRONG_CONTEXT</x:v>
      </x:c>
    </x:row>
    <x:row r="74" ht="58" customHeight="1">
      <x:c r="A74" s="12" t="s">
        <x:v>71</x:v>
      </x:c>
      <x:c r="B74" s="12" t="s">
        <x:v>361</x:v>
      </x:c>
      <x:c r="C74" s="12" t="s">
        <x:v>178</x:v>
      </x:c>
      <x:c r="D74" s="12" t="s">
        <x:v>184</x:v>
      </x:c>
      <x:c r="E74" s="12" t="s">
        <x:v>234</x:v>
      </x:c>
      <x:c r="F74" s="12" t="s">
        <x:v>185</x:v>
      </x:c>
      <x:c r="G74" s="12" t="s">
        <x:v>313</x:v>
      </x:c>
      <x:c r="H74" s="12">
        <x:v>10</x:v>
      </x:c>
      <x:c r="I74" s="12">
        <x:v>0</x:v>
      </x:c>
      <x:c r="J74" s="12" t="s">
        <x:v>187</x:v>
      </x:c>
      <x:c r="K74" s="12" t="s">
        <x:v>358</x:v>
      </x:c>
      <x:c r="L74" s="12" t="s">
        <x:v>358</x:v>
      </x:c>
      <x:c r="M74" s="12" t="s">
        <x:v>172</x:v>
      </x:c>
      <x:c r="N74" s="12" t="s">
        <x:v>172</x:v>
      </x:c>
      <x:c r="O74" s="12" t="s">
        <x:v>172</x:v>
      </x:c>
      <x:c r="P74" s="12" t="s">
        <x:v>172</x:v>
      </x:c>
      <x:c r="Q74" s="12" t="s">
        <x:v>172</x:v>
      </x:c>
      <x:c r="R74" s="12" t="s">
        <x:v>195</x:v>
      </x:c>
      <x:c r="S74" s="12" t="s">
        <x:v>20</x:v>
      </x:c>
      <x:c r="T74" s="12" t="s">
        <x:v>362</x:v>
      </x:c>
      <x:c r="U74" s="12" t="s">
        <x:v>171</x:v>
      </x:c>
      <x:c r="V74" s="21" t="s">
        <x:v>176</x:v>
      </x:c>
      <x:c r="W74" s="12" t="str">
        <x:v>独立事件；按本行事实口径计数。</x:v>
      </x:c>
    </x:row>
    <x:row r="75" ht="58" customHeight="1">
      <x:c r="A75" s="14" t="s">
        <x:v>71</x:v>
      </x:c>
      <x:c r="B75" s="14" t="s">
        <x:v>363</x:v>
      </x:c>
      <x:c r="C75" s="14" t="s">
        <x:v>178</x:v>
      </x:c>
      <x:c r="D75" s="14" t="s">
        <x:v>184</x:v>
      </x:c>
      <x:c r="E75" s="14" t="s">
        <x:v>234</x:v>
      </x:c>
      <x:c r="F75" s="14" t="s">
        <x:v>185</x:v>
      </x:c>
      <x:c r="G75" s="14" t="s">
        <x:v>364</x:v>
      </x:c>
      <x:c r="H75" s="14">
        <x:v>12</x:v>
      </x:c>
      <x:c r="I75" s="14">
        <x:v>0</x:v>
      </x:c>
      <x:c r="J75" s="14" t="s">
        <x:v>187</x:v>
      </x:c>
      <x:c r="K75" s="14" t="s">
        <x:v>358</x:v>
      </x:c>
      <x:c r="L75" s="14" t="s">
        <x:v>358</x:v>
      </x:c>
      <x:c r="M75" s="14" t="s">
        <x:v>172</x:v>
      </x:c>
      <x:c r="N75" s="14" t="s">
        <x:v>172</x:v>
      </x:c>
      <x:c r="O75" s="14" t="s">
        <x:v>172</x:v>
      </x:c>
      <x:c r="P75" s="14" t="s">
        <x:v>172</x:v>
      </x:c>
      <x:c r="Q75" s="14" t="s">
        <x:v>172</x:v>
      </x:c>
      <x:c r="R75" s="14" t="s">
        <x:v>193</x:v>
      </x:c>
      <x:c r="S75" s="14" t="s">
        <x:v>189</x:v>
      </x:c>
      <x:c r="T75" s="14" t="s">
        <x:v>365</x:v>
      </x:c>
      <x:c r="U75" s="14" t="s">
        <x:v>172</x:v>
      </x:c>
      <x:c r="V75" s="21" t="s">
        <x:v>176</x:v>
      </x:c>
      <x:c r="W75" s="14" t="str">
        <x:v>独立事件；按本行事实口径计数。</x:v>
      </x:c>
    </x:row>
    <x:row r="76" ht="58" customHeight="1">
      <x:c r="A76" s="12" t="s">
        <x:v>71</x:v>
      </x:c>
      <x:c r="B76" s="12" t="s">
        <x:v>366</x:v>
      </x:c>
      <x:c r="C76" s="12" t="s">
        <x:v>178</x:v>
      </x:c>
      <x:c r="D76" s="12" t="s">
        <x:v>202</x:v>
      </x:c>
      <x:c r="E76" s="12" t="s">
        <x:v>205</x:v>
      </x:c>
      <x:c r="F76" s="12" t="s">
        <x:v>205</x:v>
      </x:c>
      <x:c r="G76" s="12" t="s">
        <x:v>367</x:v>
      </x:c>
      <x:c r="H76" s="12">
        <x:v>0</x:v>
      </x:c>
      <x:c r="I76" s="12">
        <x:v>0</x:v>
      </x:c>
      <x:c r="J76" s="12" t="str">
        <x:v>已取消</x:v>
      </x:c>
      <x:c r="K76" s="12"/>
      <x:c r="L76" s="12"/>
      <x:c r="M76" s="12" t="s">
        <x:v>172</x:v>
      </x:c>
      <x:c r="N76" s="12" t="s">
        <x:v>172</x:v>
      </x:c>
      <x:c r="O76" s="12" t="s">
        <x:v>172</x:v>
      </x:c>
      <x:c r="P76" s="12" t="s">
        <x:v>172</x:v>
      </x:c>
      <x:c r="Q76" s="12" t="s">
        <x:v>172</x:v>
      </x:c>
      <x:c r="R76" s="12" t="str">
        <x:v>疑似连续调整</x:v>
      </x:c>
      <x:c r="S76" s="12" t="str">
        <x:v>平台直接字段</x:v>
      </x:c>
      <x:c r="T76" s="12" t="str">
        <x:v>条件委托已取消；算法编号1000001832468676；创建时间2026-06-03 01:04:23；撤销时间2026-06-03 02:32:16；是否触发否；周期关联等级STRONG_CONTEXT；取消/过期原因无法确认（已完成为不适用）。</x:v>
      </x:c>
      <x:c r="U76" s="12" t="s">
        <x:v>172</x:v>
      </x:c>
      <x:c r="V76" s="21" t="s">
        <x:v>176</x:v>
      </x:c>
      <x:c r="W76" s="12" t="str">
        <x:v>algorithm_id=1000001832468676；terminal_at=2026-06-03 02:32:16；关联=STRONG_CONTEXT</x:v>
      </x:c>
    </x:row>
    <x:row r="77" ht="58" customHeight="1">
      <x:c r="A77" s="14" t="s">
        <x:v>71</x:v>
      </x:c>
      <x:c r="B77" s="14" t="s">
        <x:v>368</x:v>
      </x:c>
      <x:c r="C77" s="14" t="s">
        <x:v>178</x:v>
      </x:c>
      <x:c r="D77" s="14" t="s">
        <x:v>184</x:v>
      </x:c>
      <x:c r="E77" s="14" t="s">
        <x:v>223</x:v>
      </x:c>
      <x:c r="F77" s="14" t="s">
        <x:v>185</x:v>
      </x:c>
      <x:c r="G77" s="14" t="s">
        <x:v>369</x:v>
      </x:c>
      <x:c r="H77" s="14">
        <x:v>5</x:v>
      </x:c>
      <x:c r="I77" s="14">
        <x:v>0</x:v>
      </x:c>
      <x:c r="J77" s="14" t="s">
        <x:v>187</x:v>
      </x:c>
      <x:c r="K77" s="14" t="s">
        <x:v>358</x:v>
      </x:c>
      <x:c r="L77" s="14" t="s">
        <x:v>358</x:v>
      </x:c>
      <x:c r="M77" s="14" t="s">
        <x:v>172</x:v>
      </x:c>
      <x:c r="N77" s="14" t="s">
        <x:v>172</x:v>
      </x:c>
      <x:c r="O77" s="14" t="s">
        <x:v>172</x:v>
      </x:c>
      <x:c r="P77" s="14" t="s">
        <x:v>172</x:v>
      </x:c>
      <x:c r="Q77" s="14" t="s">
        <x:v>172</x:v>
      </x:c>
      <x:c r="R77" s="14" t="s">
        <x:v>195</x:v>
      </x:c>
      <x:c r="S77" s="14" t="s">
        <x:v>20</x:v>
      </x:c>
      <x:c r="T77" s="14" t="s">
        <x:v>370</x:v>
      </x:c>
      <x:c r="U77" s="14" t="s">
        <x:v>171</x:v>
      </x:c>
      <x:c r="V77" s="21" t="s">
        <x:v>176</x:v>
      </x:c>
      <x:c r="W77" s="14" t="str">
        <x:v>独立事件；按本行事实口径计数。</x:v>
      </x:c>
    </x:row>
    <x:row r="78" ht="58" customHeight="1">
      <x:c r="A78" s="12" t="s">
        <x:v>71</x:v>
      </x:c>
      <x:c r="B78" s="12" t="s">
        <x:v>371</x:v>
      </x:c>
      <x:c r="C78" s="12" t="s">
        <x:v>178</x:v>
      </x:c>
      <x:c r="D78" s="12" t="s">
        <x:v>165</x:v>
      </x:c>
      <x:c r="E78" s="12" t="s">
        <x:v>296</x:v>
      </x:c>
      <x:c r="F78" s="12" t="s">
        <x:v>199</x:v>
      </x:c>
      <x:c r="G78" s="12" t="s">
        <x:v>372</x:v>
      </x:c>
      <x:c r="H78" s="12">
        <x:v>5</x:v>
      </x:c>
      <x:c r="I78" s="12">
        <x:v>5</x:v>
      </x:c>
      <x:c r="J78" s="12" t="s">
        <x:v>168</x:v>
      </x:c>
      <x:c r="K78" s="12" t="s">
        <x:v>358</x:v>
      </x:c>
      <x:c r="L78" s="12" t="s">
        <x:v>373</x:v>
      </x:c>
      <x:c r="M78" s="12" t="s">
        <x:v>171</x:v>
      </x:c>
      <x:c r="N78" s="12" t="s">
        <x:v>172</x:v>
      </x:c>
      <x:c r="O78" s="12" t="s">
        <x:v>171</x:v>
      </x:c>
      <x:c r="P78" s="12" t="s">
        <x:v>172</x:v>
      </x:c>
      <x:c r="Q78" s="12" t="s">
        <x:v>172</x:v>
      </x:c>
      <x:c r="R78" s="12" t="s">
        <x:v>193</x:v>
      </x:c>
      <x:c r="S78" s="12" t="s">
        <x:v>189</x:v>
      </x:c>
      <x:c r="T78" s="12" t="s">
        <x:v>374</x:v>
      </x:c>
      <x:c r="U78" s="12" t="s">
        <x:v>172</x:v>
      </x:c>
      <x:c r="V78" s="21" t="s">
        <x:v>176</x:v>
      </x:c>
      <x:c r="W78" s="12" t="str">
        <x:v>独立事件；按本行事实口径计数。</x:v>
      </x:c>
    </x:row>
    <x:row r="79" ht="58" customHeight="1">
      <x:c r="A79" s="14" t="s">
        <x:v>71</x:v>
      </x:c>
      <x:c r="B79" s="14" t="s">
        <x:v>375</x:v>
      </x:c>
      <x:c r="C79" s="14" t="s">
        <x:v>178</x:v>
      </x:c>
      <x:c r="D79" s="14" t="s">
        <x:v>184</x:v>
      </x:c>
      <x:c r="E79" s="14" t="s">
        <x:v>234</x:v>
      </x:c>
      <x:c r="F79" s="14" t="s">
        <x:v>185</x:v>
      </x:c>
      <x:c r="G79" s="14" t="s">
        <x:v>376</x:v>
      </x:c>
      <x:c r="H79" s="14">
        <x:v>17</x:v>
      </x:c>
      <x:c r="I79" s="14">
        <x:v>0</x:v>
      </x:c>
      <x:c r="J79" s="14" t="s">
        <x:v>187</x:v>
      </x:c>
      <x:c r="K79" s="14" t="s">
        <x:v>373</x:v>
      </x:c>
      <x:c r="L79" s="14" t="s">
        <x:v>373</x:v>
      </x:c>
      <x:c r="M79" s="14" t="s">
        <x:v>172</x:v>
      </x:c>
      <x:c r="N79" s="14" t="s">
        <x:v>172</x:v>
      </x:c>
      <x:c r="O79" s="14" t="s">
        <x:v>172</x:v>
      </x:c>
      <x:c r="P79" s="14" t="s">
        <x:v>172</x:v>
      </x:c>
      <x:c r="Q79" s="14" t="s">
        <x:v>172</x:v>
      </x:c>
      <x:c r="R79" s="14" t="s">
        <x:v>195</x:v>
      </x:c>
      <x:c r="S79" s="14" t="s">
        <x:v>20</x:v>
      </x:c>
      <x:c r="T79" s="14" t="s">
        <x:v>377</x:v>
      </x:c>
      <x:c r="U79" s="14" t="s">
        <x:v>171</x:v>
      </x:c>
      <x:c r="V79" s="21" t="s">
        <x:v>176</x:v>
      </x:c>
      <x:c r="W79" s="14" t="str">
        <x:v>独立事件；按本行事实口径计数。</x:v>
      </x:c>
    </x:row>
    <x:row r="80" ht="58" customHeight="1">
      <x:c r="A80" s="12" t="s">
        <x:v>71</x:v>
      </x:c>
      <x:c r="B80" s="12" t="s">
        <x:v>378</x:v>
      </x:c>
      <x:c r="C80" s="12" t="s">
        <x:v>178</x:v>
      </x:c>
      <x:c r="D80" s="12" t="s">
        <x:v>184</x:v>
      </x:c>
      <x:c r="E80" s="12" t="s">
        <x:v>234</x:v>
      </x:c>
      <x:c r="F80" s="12" t="s">
        <x:v>185</x:v>
      </x:c>
      <x:c r="G80" s="12" t="s">
        <x:v>379</x:v>
      </x:c>
      <x:c r="H80" s="12">
        <x:v>17</x:v>
      </x:c>
      <x:c r="I80" s="12">
        <x:v>0</x:v>
      </x:c>
      <x:c r="J80" s="12" t="s">
        <x:v>187</x:v>
      </x:c>
      <x:c r="K80" s="12" t="s">
        <x:v>373</x:v>
      </x:c>
      <x:c r="L80" s="12" t="s">
        <x:v>373</x:v>
      </x:c>
      <x:c r="M80" s="12" t="s">
        <x:v>172</x:v>
      </x:c>
      <x:c r="N80" s="12" t="s">
        <x:v>172</x:v>
      </x:c>
      <x:c r="O80" s="12" t="s">
        <x:v>172</x:v>
      </x:c>
      <x:c r="P80" s="12" t="s">
        <x:v>172</x:v>
      </x:c>
      <x:c r="Q80" s="12" t="s">
        <x:v>172</x:v>
      </x:c>
      <x:c r="R80" s="12" t="s">
        <x:v>193</x:v>
      </x:c>
      <x:c r="S80" s="12" t="s">
        <x:v>189</x:v>
      </x:c>
      <x:c r="T80" s="12" t="s">
        <x:v>380</x:v>
      </x:c>
      <x:c r="U80" s="12" t="s">
        <x:v>172</x:v>
      </x:c>
      <x:c r="V80" s="21" t="s">
        <x:v>176</x:v>
      </x:c>
      <x:c r="W80" s="12" t="str">
        <x:v>独立事件；按本行事实口径计数。</x:v>
      </x:c>
    </x:row>
    <x:row r="81" ht="58" customHeight="1">
      <x:c r="A81" s="14" t="s">
        <x:v>71</x:v>
      </x:c>
      <x:c r="B81" s="14" t="s">
        <x:v>381</x:v>
      </x:c>
      <x:c r="C81" s="14" t="s">
        <x:v>178</x:v>
      </x:c>
      <x:c r="D81" s="14" t="s">
        <x:v>165</x:v>
      </x:c>
      <x:c r="E81" s="14" t="s">
        <x:v>296</x:v>
      </x:c>
      <x:c r="F81" s="14" t="s">
        <x:v>199</x:v>
      </x:c>
      <x:c r="G81" s="14" t="s">
        <x:v>382</x:v>
      </x:c>
      <x:c r="H81" s="14">
        <x:v>10.852</x:v>
      </x:c>
      <x:c r="I81" s="14">
        <x:v>10.852</x:v>
      </x:c>
      <x:c r="J81" s="14" t="s">
        <x:v>168</x:v>
      </x:c>
      <x:c r="K81" s="14" t="s">
        <x:v>373</x:v>
      </x:c>
      <x:c r="L81" s="14" t="s">
        <x:v>383</x:v>
      </x:c>
      <x:c r="M81" s="14" t="s">
        <x:v>171</x:v>
      </x:c>
      <x:c r="N81" s="14" t="s">
        <x:v>172</x:v>
      </x:c>
      <x:c r="O81" s="14" t="s">
        <x:v>171</x:v>
      </x:c>
      <x:c r="P81" s="14" t="s">
        <x:v>172</x:v>
      </x:c>
      <x:c r="Q81" s="14" t="s">
        <x:v>172</x:v>
      </x:c>
      <x:c r="R81" s="14" t="s">
        <x:v>195</x:v>
      </x:c>
      <x:c r="S81" s="14" t="s">
        <x:v>20</x:v>
      </x:c>
      <x:c r="T81" s="14" t="s">
        <x:v>384</x:v>
      </x:c>
      <x:c r="U81" s="14" t="s">
        <x:v>171</x:v>
      </x:c>
      <x:c r="V81" s="21" t="s">
        <x:v>176</x:v>
      </x:c>
      <x:c r="W81" s="14" t="str">
        <x:v>独立事件；按本行事实口径计数。</x:v>
      </x:c>
    </x:row>
    <x:row r="82" ht="58" customHeight="1">
      <x:c r="A82" s="12" t="s">
        <x:v>71</x:v>
      </x:c>
      <x:c r="B82" s="12" t="s">
        <x:v>385</x:v>
      </x:c>
      <x:c r="C82" s="12" t="s">
        <x:v>178</x:v>
      </x:c>
      <x:c r="D82" s="12" t="s">
        <x:v>202</x:v>
      </x:c>
      <x:c r="E82" s="12" t="s">
        <x:v>205</x:v>
      </x:c>
      <x:c r="F82" s="12" t="s">
        <x:v>205</x:v>
      </x:c>
      <x:c r="G82" s="12" t="s">
        <x:v>386</x:v>
      </x:c>
      <x:c r="H82" s="12">
        <x:v>0</x:v>
      </x:c>
      <x:c r="I82" s="12">
        <x:v>0</x:v>
      </x:c>
      <x:c r="J82" s="12" t="str">
        <x:v>已取消</x:v>
      </x:c>
      <x:c r="K82" s="12"/>
      <x:c r="L82" s="12"/>
      <x:c r="M82" s="12" t="s">
        <x:v>172</x:v>
      </x:c>
      <x:c r="N82" s="12" t="s">
        <x:v>172</x:v>
      </x:c>
      <x:c r="O82" s="12" t="s">
        <x:v>172</x:v>
      </x:c>
      <x:c r="P82" s="12" t="s">
        <x:v>172</x:v>
      </x:c>
      <x:c r="Q82" s="12" t="s">
        <x:v>172</x:v>
      </x:c>
      <x:c r="R82" s="12" t="str">
        <x:v>疑似连续调整</x:v>
      </x:c>
      <x:c r="S82" s="12" t="str">
        <x:v>平台直接字段</x:v>
      </x:c>
      <x:c r="T82" s="12" t="str">
        <x:v>条件委托已取消；算法编号1000001833129681；创建时间2026-06-03 02:32:16；撤销时间2026-06-03 02:44:45；是否触发否；周期关联等级STRONG_CONTEXT；取消/过期原因无法确认（已完成为不适用）。</x:v>
      </x:c>
      <x:c r="U82" s="12" t="s">
        <x:v>172</x:v>
      </x:c>
      <x:c r="V82" s="21" t="s">
        <x:v>176</x:v>
      </x:c>
      <x:c r="W82" s="12" t="str">
        <x:v>algorithm_id=1000001833129681；terminal_at=2026-06-03 02:44:45；关联=STRONG_CONTEXT</x:v>
      </x:c>
    </x:row>
    <x:row r="83" ht="58" customHeight="1">
      <x:c r="A83" s="14" t="s">
        <x:v>71</x:v>
      </x:c>
      <x:c r="B83" s="14" t="s">
        <x:v>387</x:v>
      </x:c>
      <x:c r="C83" s="14" t="s">
        <x:v>178</x:v>
      </x:c>
      <x:c r="D83" s="14" t="s">
        <x:v>184</x:v>
      </x:c>
      <x:c r="E83" s="14" t="s">
        <x:v>234</x:v>
      </x:c>
      <x:c r="F83" s="14" t="s">
        <x:v>185</x:v>
      </x:c>
      <x:c r="G83" s="14" t="s">
        <x:v>388</x:v>
      </x:c>
      <x:c r="H83" s="14">
        <x:v>27.852</x:v>
      </x:c>
      <x:c r="I83" s="14">
        <x:v>0</x:v>
      </x:c>
      <x:c r="J83" s="14" t="s">
        <x:v>187</x:v>
      </x:c>
      <x:c r="K83" s="14" t="s">
        <x:v>383</x:v>
      </x:c>
      <x:c r="L83" s="14" t="s">
        <x:v>383</x:v>
      </x:c>
      <x:c r="M83" s="14" t="s">
        <x:v>172</x:v>
      </x:c>
      <x:c r="N83" s="14" t="s">
        <x:v>172</x:v>
      </x:c>
      <x:c r="O83" s="14" t="s">
        <x:v>172</x:v>
      </x:c>
      <x:c r="P83" s="14" t="s">
        <x:v>172</x:v>
      </x:c>
      <x:c r="Q83" s="14" t="s">
        <x:v>172</x:v>
      </x:c>
      <x:c r="R83" s="14" t="s">
        <x:v>195</x:v>
      </x:c>
      <x:c r="S83" s="14" t="s">
        <x:v>20</x:v>
      </x:c>
      <x:c r="T83" s="14" t="s">
        <x:v>389</x:v>
      </x:c>
      <x:c r="U83" s="14" t="s">
        <x:v>171</x:v>
      </x:c>
      <x:c r="V83" s="21" t="s">
        <x:v>176</x:v>
      </x:c>
      <x:c r="W83" s="14" t="str">
        <x:v>独立事件；按本行事实口径计数。</x:v>
      </x:c>
    </x:row>
    <x:row r="84" ht="58" customHeight="1">
      <x:c r="A84" s="12" t="s">
        <x:v>71</x:v>
      </x:c>
      <x:c r="B84" s="12" t="s">
        <x:v>390</x:v>
      </x:c>
      <x:c r="C84" s="12" t="s">
        <x:v>178</x:v>
      </x:c>
      <x:c r="D84" s="12" t="s">
        <x:v>184</x:v>
      </x:c>
      <x:c r="E84" s="12" t="s">
        <x:v>234</x:v>
      </x:c>
      <x:c r="F84" s="12" t="s">
        <x:v>185</x:v>
      </x:c>
      <x:c r="G84" s="12" t="s">
        <x:v>391</x:v>
      </x:c>
      <x:c r="H84" s="12">
        <x:v>27.852</x:v>
      </x:c>
      <x:c r="I84" s="12">
        <x:v>0</x:v>
      </x:c>
      <x:c r="J84" s="12" t="s">
        <x:v>236</x:v>
      </x:c>
      <x:c r="K84" s="12" t="s">
        <x:v>383</x:v>
      </x:c>
      <x:c r="L84" s="12" t="s">
        <x:v>383</x:v>
      </x:c>
      <x:c r="M84" s="12" t="s">
        <x:v>172</x:v>
      </x:c>
      <x:c r="N84" s="12" t="s">
        <x:v>172</x:v>
      </x:c>
      <x:c r="O84" s="12" t="s">
        <x:v>172</x:v>
      </x:c>
      <x:c r="P84" s="12" t="s">
        <x:v>172</x:v>
      </x:c>
      <x:c r="Q84" s="12" t="s">
        <x:v>172</x:v>
      </x:c>
      <x:c r="R84" s="12" t="s">
        <x:v>193</x:v>
      </x:c>
      <x:c r="S84" s="12" t="s">
        <x:v>189</x:v>
      </x:c>
      <x:c r="T84" s="12" t="s">
        <x:v>392</x:v>
      </x:c>
      <x:c r="U84" s="12" t="s">
        <x:v>172</x:v>
      </x:c>
      <x:c r="V84" s="21" t="s">
        <x:v>176</x:v>
      </x:c>
      <x:c r="W84" s="12" t="str">
        <x:v>独立事件；按本行事实口径计数。</x:v>
      </x:c>
    </x:row>
    <x:row r="85" ht="58" customHeight="1">
      <x:c r="A85" s="14" t="s">
        <x:v>71</x:v>
      </x:c>
      <x:c r="B85" s="14" t="s">
        <x:v>393</x:v>
      </x:c>
      <x:c r="C85" s="14" t="s">
        <x:v>178</x:v>
      </x:c>
      <x:c r="D85" s="14" t="s">
        <x:v>202</x:v>
      </x:c>
      <x:c r="E85" s="14" t="s">
        <x:v>205</x:v>
      </x:c>
      <x:c r="F85" s="14" t="s">
        <x:v>205</x:v>
      </x:c>
      <x:c r="G85" s="14" t="s">
        <x:v>394</x:v>
      </x:c>
      <x:c r="H85" s="14">
        <x:v>0</x:v>
      </x:c>
      <x:c r="I85" s="14">
        <x:v>0</x:v>
      </x:c>
      <x:c r="J85" s="14" t="str">
        <x:v>已取消</x:v>
      </x:c>
      <x:c r="K85" s="14"/>
      <x:c r="L85" s="14"/>
      <x:c r="M85" s="14" t="s">
        <x:v>172</x:v>
      </x:c>
      <x:c r="N85" s="14" t="s">
        <x:v>172</x:v>
      </x:c>
      <x:c r="O85" s="14" t="s">
        <x:v>172</x:v>
      </x:c>
      <x:c r="P85" s="14" t="s">
        <x:v>172</x:v>
      </x:c>
      <x:c r="Q85" s="14" t="s">
        <x:v>172</x:v>
      </x:c>
      <x:c r="R85" s="14" t="str">
        <x:v>疑似连续调整</x:v>
      </x:c>
      <x:c r="S85" s="14" t="str">
        <x:v>平台直接字段</x:v>
      </x:c>
      <x:c r="T85" s="14" t="str">
        <x:v>条件委托已取消；算法编号1000001833213621；创建时间2026-06-03 02:44:45；撤销时间2026-06-03 03:28:56；是否触发否；周期关联等级STRONG_CONTEXT；取消/过期原因无法确认（已完成为不适用）。</x:v>
      </x:c>
      <x:c r="U85" s="14" t="s">
        <x:v>172</x:v>
      </x:c>
      <x:c r="V85" s="21" t="s">
        <x:v>176</x:v>
      </x:c>
      <x:c r="W85" s="14" t="str">
        <x:v>algorithm_id=1000001833213621；terminal_at=2026-06-03 03:28:56；关联=STRONG_CONTEXT</x:v>
      </x:c>
    </x:row>
    <x:row r="86" ht="58" customHeight="1">
      <x:c r="A86" s="12" t="s">
        <x:v>71</x:v>
      </x:c>
      <x:c r="B86" s="12" t="s">
        <x:v>395</x:v>
      </x:c>
      <x:c r="C86" s="12" t="s">
        <x:v>178</x:v>
      </x:c>
      <x:c r="D86" s="12" t="s">
        <x:v>202</x:v>
      </x:c>
      <x:c r="E86" s="12" t="s">
        <x:v>205</x:v>
      </x:c>
      <x:c r="F86" s="12" t="s">
        <x:v>205</x:v>
      </x:c>
      <x:c r="G86" s="12" t="s">
        <x:v>396</x:v>
      </x:c>
      <x:c r="H86" s="12">
        <x:v>27.852</x:v>
      </x:c>
      <x:c r="I86" s="12">
        <x:v>27.852</x:v>
      </x:c>
      <x:c r="J86" s="12" t="str">
        <x:v>已完成</x:v>
      </x:c>
      <x:c r="K86" s="12" t="s">
        <x:v>383</x:v>
      </x:c>
      <x:c r="L86" s="12" t="s">
        <x:v>169</x:v>
      </x:c>
      <x:c r="M86" s="12" t="s">
        <x:v>171</x:v>
      </x:c>
      <x:c r="N86" s="12" t="s">
        <x:v>172</x:v>
      </x:c>
      <x:c r="O86" s="12" t="s">
        <x:v>172</x:v>
      </x:c>
      <x:c r="P86" s="12" t="s">
        <x:v>172</x:v>
      </x:c>
      <x:c r="Q86" s="12" t="s">
        <x:v>172</x:v>
      </x:c>
      <x:c r="R86" s="12" t="str">
        <x:v>可能无关</x:v>
      </x:c>
      <x:c r="S86" s="12" t="str">
        <x:v>基础订单直接关联</x:v>
      </x:c>
      <x:c r="T86" s="12" t="str">
        <x:v>条件委托已完成；算法编号1000001833525080；创建时间2026-06-03 03:28:56；触发时间2026-06-03 03:33:28；是否触发是；周期关联等级DIRECT_ORDER；取消/过期原因无法确认（已完成为不适用）。</x:v>
      </x:c>
      <x:c r="U86" s="12" t="s">
        <x:v>171</x:v>
      </x:c>
      <x:c r="V86" s="21" t="s">
        <x:v>176</x:v>
      </x:c>
      <x:c r="W86" s="12" t="str">
        <x:v>algorithm_id=1000001833525080；terminal_at=2026-06-03 03:33:28；关联=DIRECT_ORDER</x:v>
      </x:c>
    </x:row>
    <x:row r="87" ht="58" customHeight="1">
      <x:c r="A87" s="14" t="s">
        <x:v>71</x:v>
      </x:c>
      <x:c r="B87" s="14" t="s">
        <x:v>397</x:v>
      </x:c>
      <x:c r="C87" s="14" t="s">
        <x:v>178</x:v>
      </x:c>
      <x:c r="D87" s="14" t="s">
        <x:v>165</x:v>
      </x:c>
      <x:c r="E87" s="14" t="s">
        <x:v>246</x:v>
      </x:c>
      <x:c r="F87" s="14" t="s">
        <x:v>240</x:v>
      </x:c>
      <x:c r="G87" s="14"/>
      <x:c r="H87" s="14">
        <x:v>27.852</x:v>
      </x:c>
      <x:c r="I87" s="14">
        <x:v>27.852</x:v>
      </x:c>
      <x:c r="J87" s="14" t="s">
        <x:v>168</x:v>
      </x:c>
      <x:c r="K87" s="14" t="s">
        <x:v>383</x:v>
      </x:c>
      <x:c r="L87" s="14" t="s">
        <x:v>169</x:v>
      </x:c>
      <x:c r="M87" s="14" t="s">
        <x:v>171</x:v>
      </x:c>
      <x:c r="N87" s="14" t="s">
        <x:v>172</x:v>
      </x:c>
      <x:c r="O87" s="14" t="s">
        <x:v>172</x:v>
      </x:c>
      <x:c r="P87" s="14" t="s">
        <x:v>172</x:v>
      </x:c>
      <x:c r="Q87" s="14" t="s">
        <x:v>171</x:v>
      </x:c>
      <x:c r="R87" s="14" t="s">
        <x:v>193</x:v>
      </x:c>
      <x:c r="S87" s="14" t="s">
        <x:v>189</x:v>
      </x:c>
      <x:c r="T87" s="14" t="s">
        <x:v>398</x:v>
      </x:c>
      <x:c r="U87" s="14" t="s">
        <x:v>172</x:v>
      </x:c>
      <x:c r="V87" s="21" t="s">
        <x:v>176</x:v>
      </x:c>
      <x:c r="W87" s="14" t="str">
        <x:v>本基础单由条件委托触发生成；与条件委托行属于同一触发链，实际动作仅计一次。</x:v>
      </x:c>
    </x:row>
    <x:row r="88" ht="58" customHeight="1">
      <x:c r="A88" s="12" t="s">
        <x:v>71</x:v>
      </x:c>
      <x:c r="B88" s="12" t="s">
        <x:v>397</x:v>
      </x:c>
      <x:c r="C88" s="12" t="s">
        <x:v>211</x:v>
      </x:c>
      <x:c r="D88" s="12" t="s">
        <x:v>212</x:v>
      </x:c>
      <x:c r="E88" s="12" t="s">
        <x:v>213</x:v>
      </x:c>
      <x:c r="F88" s="12"/>
      <x:c r="G88" s="12"/>
      <x:c r="H88" s="12"/>
      <x:c r="I88" s="12"/>
      <x:c r="J88" s="12"/>
      <x:c r="K88" s="12"/>
      <x:c r="L88" s="12"/>
      <x:c r="M88" s="12" t="s">
        <x:v>172</x:v>
      </x:c>
      <x:c r="N88" s="12" t="s">
        <x:v>172</x:v>
      </x:c>
      <x:c r="O88" s="12" t="s">
        <x:v>172</x:v>
      </x:c>
      <x:c r="P88" s="12" t="s">
        <x:v>172</x:v>
      </x:c>
      <x:c r="Q88" s="12" t="s">
        <x:v>172</x:v>
      </x:c>
      <x:c r="R88" s="12"/>
      <x:c r="S88" s="12" t="s">
        <x:v>214</x:v>
      </x:c>
      <x:c r="T88" s="12" t="s">
        <x:v>399</x:v>
      </x:c>
      <x:c r="U88" s="12" t="s">
        <x:v>172</x:v>
      </x:c>
      <x:c r="V88" s="21" t="s">
        <x:v>176</x:v>
      </x:c>
      <x:c r="W88" s="12" t="str">
        <x:v>独立事件；按本行事实口径计数。</x:v>
      </x:c>
    </x:row>
    <x:row r="89" ht="58" customHeight="1">
      <x:c r="A89" s="14" t="s">
        <x:v>72</x:v>
      </x:c>
      <x:c r="B89" s="14" t="s">
        <x:v>400</x:v>
      </x:c>
      <x:c r="C89" s="14" t="s">
        <x:v>164</x:v>
      </x:c>
      <x:c r="D89" s="14" t="s">
        <x:v>184</x:v>
      </x:c>
      <x:c r="E89" s="14" t="s">
        <x:v>14</x:v>
      </x:c>
      <x:c r="F89" s="14" t="s">
        <x:v>185</x:v>
      </x:c>
      <x:c r="G89" s="14" t="s">
        <x:v>401</x:v>
      </x:c>
      <x:c r="H89" s="14">
        <x:v>5</x:v>
      </x:c>
      <x:c r="I89" s="14">
        <x:v>0</x:v>
      </x:c>
      <x:c r="J89" s="14" t="s">
        <x:v>187</x:v>
      </x:c>
      <x:c r="K89" s="14" t="s">
        <x:v>169</x:v>
      </x:c>
      <x:c r="L89" s="14" t="s">
        <x:v>169</x:v>
      </x:c>
      <x:c r="M89" s="14" t="s">
        <x:v>172</x:v>
      </x:c>
      <x:c r="N89" s="14" t="s">
        <x:v>172</x:v>
      </x:c>
      <x:c r="O89" s="14" t="s">
        <x:v>172</x:v>
      </x:c>
      <x:c r="P89" s="14" t="s">
        <x:v>172</x:v>
      </x:c>
      <x:c r="Q89" s="14" t="s">
        <x:v>172</x:v>
      </x:c>
      <x:c r="R89" s="14" t="s">
        <x:v>188</x:v>
      </x:c>
      <x:c r="S89" s="14" t="s">
        <x:v>189</x:v>
      </x:c>
      <x:c r="T89" s="14" t="s">
        <x:v>190</x:v>
      </x:c>
      <x:c r="U89" s="14" t="s">
        <x:v>172</x:v>
      </x:c>
      <x:c r="V89" s="21" t="s">
        <x:v>176</x:v>
      </x:c>
      <x:c r="W89" s="14" t="str">
        <x:v>独立事件；按本行事实口径计数。</x:v>
      </x:c>
    </x:row>
    <x:row r="90" ht="58" customHeight="1">
      <x:c r="A90" s="12" t="s">
        <x:v>72</x:v>
      </x:c>
      <x:c r="B90" s="12" t="s">
        <x:v>402</x:v>
      </x:c>
      <x:c r="C90" s="12" t="s">
        <x:v>164</x:v>
      </x:c>
      <x:c r="D90" s="12" t="s">
        <x:v>184</x:v>
      </x:c>
      <x:c r="E90" s="12" t="s">
        <x:v>14</x:v>
      </x:c>
      <x:c r="F90" s="12" t="s">
        <x:v>185</x:v>
      </x:c>
      <x:c r="G90" s="12" t="s">
        <x:v>403</x:v>
      </x:c>
      <x:c r="H90" s="12">
        <x:v>5</x:v>
      </x:c>
      <x:c r="I90" s="12">
        <x:v>0</x:v>
      </x:c>
      <x:c r="J90" s="12" t="s">
        <x:v>187</x:v>
      </x:c>
      <x:c r="K90" s="12" t="s">
        <x:v>169</x:v>
      </x:c>
      <x:c r="L90" s="12" t="s">
        <x:v>169</x:v>
      </x:c>
      <x:c r="M90" s="12" t="s">
        <x:v>172</x:v>
      </x:c>
      <x:c r="N90" s="12" t="s">
        <x:v>172</x:v>
      </x:c>
      <x:c r="O90" s="12" t="s">
        <x:v>172</x:v>
      </x:c>
      <x:c r="P90" s="12" t="s">
        <x:v>172</x:v>
      </x:c>
      <x:c r="Q90" s="12" t="s">
        <x:v>172</x:v>
      </x:c>
      <x:c r="R90" s="12" t="s">
        <x:v>193</x:v>
      </x:c>
      <x:c r="S90" s="12" t="s">
        <x:v>189</x:v>
      </x:c>
      <x:c r="T90" s="12" t="s">
        <x:v>190</x:v>
      </x:c>
      <x:c r="U90" s="12" t="s">
        <x:v>172</x:v>
      </x:c>
      <x:c r="V90" s="21" t="s">
        <x:v>176</x:v>
      </x:c>
      <x:c r="W90" s="12" t="str">
        <x:v>独立事件；按本行事实口径计数。</x:v>
      </x:c>
    </x:row>
    <x:row r="91" ht="58" customHeight="1">
      <x:c r="A91" s="14" t="s">
        <x:v>72</x:v>
      </x:c>
      <x:c r="B91" s="14" t="s">
        <x:v>404</x:v>
      </x:c>
      <x:c r="C91" s="14" t="s">
        <x:v>164</x:v>
      </x:c>
      <x:c r="D91" s="14" t="s">
        <x:v>165</x:v>
      </x:c>
      <x:c r="E91" s="14" t="s">
        <x:v>198</x:v>
      </x:c>
      <x:c r="F91" s="14" t="s">
        <x:v>199</x:v>
      </x:c>
      <x:c r="G91" s="14" t="s">
        <x:v>405</x:v>
      </x:c>
      <x:c r="H91" s="14">
        <x:v>5</x:v>
      </x:c>
      <x:c r="I91" s="14">
        <x:v>5</x:v>
      </x:c>
      <x:c r="J91" s="14" t="s">
        <x:v>168</x:v>
      </x:c>
      <x:c r="K91" s="14" t="s">
        <x:v>169</x:v>
      </x:c>
      <x:c r="L91" s="14" t="s">
        <x:v>314</x:v>
      </x:c>
      <x:c r="M91" s="14" t="s">
        <x:v>171</x:v>
      </x:c>
      <x:c r="N91" s="14" t="s">
        <x:v>171</x:v>
      </x:c>
      <x:c r="O91" s="14" t="s">
        <x:v>172</x:v>
      </x:c>
      <x:c r="P91" s="14" t="s">
        <x:v>172</x:v>
      </x:c>
      <x:c r="Q91" s="14" t="s">
        <x:v>172</x:v>
      </x:c>
      <x:c r="R91" s="14" t="s">
        <x:v>193</x:v>
      </x:c>
      <x:c r="S91" s="14" t="s">
        <x:v>189</x:v>
      </x:c>
      <x:c r="T91" s="14" t="s">
        <x:v>406</x:v>
      </x:c>
      <x:c r="U91" s="14" t="s">
        <x:v>172</x:v>
      </x:c>
      <x:c r="V91" s="21" t="s">
        <x:v>176</x:v>
      </x:c>
      <x:c r="W91" s="14" t="str">
        <x:v>独立事件；按本行事实口径计数。</x:v>
      </x:c>
    </x:row>
    <x:row r="92" ht="58" customHeight="1">
      <x:c r="A92" s="12" t="s">
        <x:v>72</x:v>
      </x:c>
      <x:c r="B92" s="12" t="s">
        <x:v>407</x:v>
      </x:c>
      <x:c r="C92" s="12" t="s">
        <x:v>178</x:v>
      </x:c>
      <x:c r="D92" s="12" t="s">
        <x:v>202</x:v>
      </x:c>
      <x:c r="E92" s="12" t="s">
        <x:v>205</x:v>
      </x:c>
      <x:c r="F92" s="12" t="s">
        <x:v>205</x:v>
      </x:c>
      <x:c r="G92" s="12" t="s">
        <x:v>308</x:v>
      </x:c>
      <x:c r="H92" s="12">
        <x:v>0</x:v>
      </x:c>
      <x:c r="I92" s="12">
        <x:v>0</x:v>
      </x:c>
      <x:c r="J92" s="12" t="str">
        <x:v>已取消</x:v>
      </x:c>
      <x:c r="K92" s="12"/>
      <x:c r="L92" s="12"/>
      <x:c r="M92" s="12" t="s">
        <x:v>172</x:v>
      </x:c>
      <x:c r="N92" s="12" t="s">
        <x:v>172</x:v>
      </x:c>
      <x:c r="O92" s="12" t="s">
        <x:v>172</x:v>
      </x:c>
      <x:c r="P92" s="12" t="s">
        <x:v>172</x:v>
      </x:c>
      <x:c r="Q92" s="12" t="s">
        <x:v>172</x:v>
      </x:c>
      <x:c r="R92" s="12" t="str">
        <x:v>疑似连续调整</x:v>
      </x:c>
      <x:c r="S92" s="12" t="str">
        <x:v>平台直接字段</x:v>
      </x:c>
      <x:c r="T92" s="12" t="str">
        <x:v>条件委托已取消；算法编号1000001845027240；创建时间2026-06-04 03:10:06；撤销时间2026-06-04 03:38:28；是否触发否；周期关联等级STRONG_CONTEXT；取消/过期原因无法确认（已完成为不适用）。</x:v>
      </x:c>
      <x:c r="U92" s="12" t="s">
        <x:v>172</x:v>
      </x:c>
      <x:c r="V92" s="21" t="s">
        <x:v>176</x:v>
      </x:c>
      <x:c r="W92" s="12" t="str">
        <x:v>algorithm_id=1000001845027240；terminal_at=2026-06-04 03:38:28；关联=STRONG_CONTEXT</x:v>
      </x:c>
    </x:row>
    <x:row r="93" ht="58" customHeight="1">
      <x:c r="A93" s="14" t="s">
        <x:v>72</x:v>
      </x:c>
      <x:c r="B93" s="14" t="s">
        <x:v>408</x:v>
      </x:c>
      <x:c r="C93" s="14" t="s">
        <x:v>178</x:v>
      </x:c>
      <x:c r="D93" s="14" t="s">
        <x:v>202</x:v>
      </x:c>
      <x:c r="E93" s="14" t="s">
        <x:v>203</x:v>
      </x:c>
      <x:c r="F93" s="14" t="s">
        <x:v>203</x:v>
      </x:c>
      <x:c r="G93" s="14" t="s">
        <x:v>409</x:v>
      </x:c>
      <x:c r="H93" s="14">
        <x:v>0</x:v>
      </x:c>
      <x:c r="I93" s="14">
        <x:v>0</x:v>
      </x:c>
      <x:c r="J93" s="14" t="str">
        <x:v>已取消</x:v>
      </x:c>
      <x:c r="K93" s="14"/>
      <x:c r="L93" s="14"/>
      <x:c r="M93" s="14" t="s">
        <x:v>172</x:v>
      </x:c>
      <x:c r="N93" s="14" t="s">
        <x:v>172</x:v>
      </x:c>
      <x:c r="O93" s="14" t="s">
        <x:v>172</x:v>
      </x:c>
      <x:c r="P93" s="14" t="s">
        <x:v>172</x:v>
      </x:c>
      <x:c r="Q93" s="14" t="s">
        <x:v>172</x:v>
      </x:c>
      <x:c r="R93" s="14" t="str">
        <x:v>疑似连续调整</x:v>
      </x:c>
      <x:c r="S93" s="14" t="str">
        <x:v>平台直接字段</x:v>
      </x:c>
      <x:c r="T93" s="14" t="str">
        <x:v>条件委托已取消；算法编号1000001845150618；创建时间2026-06-04 03:25:56；撤销时间2026-06-04 03:39:00；是否触发否；周期关联等级STRONG_CONTEXT；取消/过期原因无法确认（已完成为不适用）。</x:v>
      </x:c>
      <x:c r="U93" s="14" t="s">
        <x:v>172</x:v>
      </x:c>
      <x:c r="V93" s="21" t="s">
        <x:v>176</x:v>
      </x:c>
      <x:c r="W93" s="14" t="str">
        <x:v>algorithm_id=1000001845150618；terminal_at=2026-06-04 03:39:00；关联=STRONG_CONTEXT</x:v>
      </x:c>
    </x:row>
    <x:row r="94" ht="58" customHeight="1">
      <x:c r="A94" s="12" t="s">
        <x:v>72</x:v>
      </x:c>
      <x:c r="B94" s="12" t="s">
        <x:v>410</x:v>
      </x:c>
      <x:c r="C94" s="12" t="s">
        <x:v>178</x:v>
      </x:c>
      <x:c r="D94" s="12" t="s">
        <x:v>165</x:v>
      </x:c>
      <x:c r="E94" s="12" t="s">
        <x:v>227</x:v>
      </x:c>
      <x:c r="F94" s="12" t="s">
        <x:v>199</x:v>
      </x:c>
      <x:c r="G94" s="12" t="s">
        <x:v>411</x:v>
      </x:c>
      <x:c r="H94" s="12">
        <x:v>3</x:v>
      </x:c>
      <x:c r="I94" s="12">
        <x:v>3</x:v>
      </x:c>
      <x:c r="J94" s="12" t="s">
        <x:v>168</x:v>
      </x:c>
      <x:c r="K94" s="12" t="s">
        <x:v>314</x:v>
      </x:c>
      <x:c r="L94" s="12" t="s">
        <x:v>229</x:v>
      </x:c>
      <x:c r="M94" s="12" t="s">
        <x:v>171</x:v>
      </x:c>
      <x:c r="N94" s="12" t="s">
        <x:v>172</x:v>
      </x:c>
      <x:c r="O94" s="12" t="s">
        <x:v>171</x:v>
      </x:c>
      <x:c r="P94" s="12" t="s">
        <x:v>172</x:v>
      </x:c>
      <x:c r="Q94" s="12" t="s">
        <x:v>172</x:v>
      </x:c>
      <x:c r="R94" s="12" t="s">
        <x:v>188</x:v>
      </x:c>
      <x:c r="S94" s="12" t="s">
        <x:v>174</x:v>
      </x:c>
      <x:c r="T94" s="12" t="s">
        <x:v>412</x:v>
      </x:c>
      <x:c r="U94" s="12" t="s">
        <x:v>172</x:v>
      </x:c>
      <x:c r="V94" s="21" t="s">
        <x:v>176</x:v>
      </x:c>
      <x:c r="W94" s="12" t="str">
        <x:v>独立事件；按本行事实口径计数。</x:v>
      </x:c>
    </x:row>
    <x:row r="95" ht="58" customHeight="1">
      <x:c r="A95" s="14" t="s">
        <x:v>72</x:v>
      </x:c>
      <x:c r="B95" s="14" t="s">
        <x:v>413</x:v>
      </x:c>
      <x:c r="C95" s="14" t="s">
        <x:v>178</x:v>
      </x:c>
      <x:c r="D95" s="14" t="s">
        <x:v>202</x:v>
      </x:c>
      <x:c r="E95" s="14" t="s">
        <x:v>205</x:v>
      </x:c>
      <x:c r="F95" s="14" t="s">
        <x:v>205</x:v>
      </x:c>
      <x:c r="G95" s="14" t="s">
        <x:v>414</x:v>
      </x:c>
      <x:c r="H95" s="14">
        <x:v>0</x:v>
      </x:c>
      <x:c r="I95" s="14">
        <x:v>0</x:v>
      </x:c>
      <x:c r="J95" s="14" t="str">
        <x:v>已取消</x:v>
      </x:c>
      <x:c r="K95" s="14"/>
      <x:c r="L95" s="14"/>
      <x:c r="M95" s="14" t="s">
        <x:v>172</x:v>
      </x:c>
      <x:c r="N95" s="14" t="s">
        <x:v>172</x:v>
      </x:c>
      <x:c r="O95" s="14" t="s">
        <x:v>172</x:v>
      </x:c>
      <x:c r="P95" s="14" t="s">
        <x:v>172</x:v>
      </x:c>
      <x:c r="Q95" s="14" t="s">
        <x:v>172</x:v>
      </x:c>
      <x:c r="R95" s="14" t="str">
        <x:v>疑似连续调整</x:v>
      </x:c>
      <x:c r="S95" s="14" t="str">
        <x:v>平台直接字段</x:v>
      </x:c>
      <x:c r="T95" s="14" t="str">
        <x:v>条件委托已取消；算法编号1000001845248448；创建时间2026-06-04 03:38:28；撤销时间2026-06-04 03:39:36；是否触发否；周期关联等级STRONG_CONTEXT；取消/过期原因无法确认（已完成为不适用）。</x:v>
      </x:c>
      <x:c r="U95" s="14" t="s">
        <x:v>172</x:v>
      </x:c>
      <x:c r="V95" s="21" t="s">
        <x:v>176</x:v>
      </x:c>
      <x:c r="W95" s="14" t="str">
        <x:v>algorithm_id=1000001845248448；terminal_at=2026-06-04 03:39:36；关联=STRONG_CONTEXT</x:v>
      </x:c>
    </x:row>
    <x:row r="96" ht="58" customHeight="1">
      <x:c r="A96" s="12" t="s">
        <x:v>72</x:v>
      </x:c>
      <x:c r="B96" s="12" t="s">
        <x:v>415</x:v>
      </x:c>
      <x:c r="C96" s="12" t="s">
        <x:v>178</x:v>
      </x:c>
      <x:c r="D96" s="12" t="s">
        <x:v>202</x:v>
      </x:c>
      <x:c r="E96" s="12" t="s">
        <x:v>203</x:v>
      </x:c>
      <x:c r="F96" s="12" t="s">
        <x:v>203</x:v>
      </x:c>
      <x:c r="G96" s="12" t="s">
        <x:v>416</x:v>
      </x:c>
      <x:c r="H96" s="12">
        <x:v>0</x:v>
      </x:c>
      <x:c r="I96" s="12">
        <x:v>0</x:v>
      </x:c>
      <x:c r="J96" s="12" t="str">
        <x:v>已过期</x:v>
      </x:c>
      <x:c r="K96" s="12"/>
      <x:c r="L96" s="12"/>
      <x:c r="M96" s="12" t="s">
        <x:v>172</x:v>
      </x:c>
      <x:c r="N96" s="12" t="s">
        <x:v>172</x:v>
      </x:c>
      <x:c r="O96" s="12" t="s">
        <x:v>172</x:v>
      </x:c>
      <x:c r="P96" s="12" t="s">
        <x:v>172</x:v>
      </x:c>
      <x:c r="Q96" s="12" t="s">
        <x:v>172</x:v>
      </x:c>
      <x:c r="R96" s="12" t="str">
        <x:v>疑似连续调整</x:v>
      </x:c>
      <x:c r="S96" s="12" t="str">
        <x:v>平台直接字段</x:v>
      </x:c>
      <x:c r="T96" s="12" t="str">
        <x:v>条件委托已过期；算法编号1000001845252514；创建时间2026-06-04 03:39:00；过期时间2026-06-04 06:00:03；是否触发否；周期关联等级STRONG_CONTEXT；取消/过期原因无法确认（已完成为不适用）。</x:v>
      </x:c>
      <x:c r="U96" s="12" t="s">
        <x:v>172</x:v>
      </x:c>
      <x:c r="V96" s="21" t="s">
        <x:v>176</x:v>
      </x:c>
      <x:c r="W96" s="12" t="str">
        <x:v>algorithm_id=1000001845252514；terminal_at=2026-06-04 06:00:03；关联=STRONG_CONTEXT</x:v>
      </x:c>
    </x:row>
    <x:row r="97" ht="58" customHeight="1">
      <x:c r="A97" s="14" t="s">
        <x:v>72</x:v>
      </x:c>
      <x:c r="B97" s="14" t="s">
        <x:v>417</x:v>
      </x:c>
      <x:c r="C97" s="14" t="s">
        <x:v>178</x:v>
      </x:c>
      <x:c r="D97" s="14" t="s">
        <x:v>202</x:v>
      </x:c>
      <x:c r="E97" s="14" t="s">
        <x:v>205</x:v>
      </x:c>
      <x:c r="F97" s="14" t="s">
        <x:v>205</x:v>
      </x:c>
      <x:c r="G97" s="14" t="s">
        <x:v>418</x:v>
      </x:c>
      <x:c r="H97" s="14">
        <x:v>0</x:v>
      </x:c>
      <x:c r="I97" s="14">
        <x:v>0</x:v>
      </x:c>
      <x:c r="J97" s="14" t="str">
        <x:v>已取消</x:v>
      </x:c>
      <x:c r="K97" s="14"/>
      <x:c r="L97" s="14"/>
      <x:c r="M97" s="14" t="s">
        <x:v>172</x:v>
      </x:c>
      <x:c r="N97" s="14" t="s">
        <x:v>172</x:v>
      </x:c>
      <x:c r="O97" s="14" t="s">
        <x:v>172</x:v>
      </x:c>
      <x:c r="P97" s="14" t="s">
        <x:v>172</x:v>
      </x:c>
      <x:c r="Q97" s="14" t="s">
        <x:v>172</x:v>
      </x:c>
      <x:c r="R97" s="14" t="str">
        <x:v>疑似连续调整</x:v>
      </x:c>
      <x:c r="S97" s="14" t="str">
        <x:v>平台直接字段</x:v>
      </x:c>
      <x:c r="T97" s="14" t="str">
        <x:v>条件委托已取消；算法编号1000001845256781；创建时间2026-06-04 03:39:36；撤销时间2026-06-04 03:41:57；是否触发否；周期关联等级STRONG_CONTEXT；取消/过期原因无法确认（已完成为不适用）。</x:v>
      </x:c>
      <x:c r="U97" s="14" t="s">
        <x:v>172</x:v>
      </x:c>
      <x:c r="V97" s="21" t="s">
        <x:v>176</x:v>
      </x:c>
      <x:c r="W97" s="14" t="str">
        <x:v>algorithm_id=1000001845256781；terminal_at=2026-06-04 03:41:57；关联=STRONG_CONTEXT</x:v>
      </x:c>
    </x:row>
    <x:row r="98" ht="58" customHeight="1">
      <x:c r="A98" s="12" t="s">
        <x:v>72</x:v>
      </x:c>
      <x:c r="B98" s="12" t="s">
        <x:v>419</x:v>
      </x:c>
      <x:c r="C98" s="12" t="s">
        <x:v>178</x:v>
      </x:c>
      <x:c r="D98" s="12" t="s">
        <x:v>202</x:v>
      </x:c>
      <x:c r="E98" s="12" t="s">
        <x:v>205</x:v>
      </x:c>
      <x:c r="F98" s="12" t="s">
        <x:v>205</x:v>
      </x:c>
      <x:c r="G98" s="12" t="s">
        <x:v>420</x:v>
      </x:c>
      <x:c r="H98" s="12">
        <x:v>0</x:v>
      </x:c>
      <x:c r="I98" s="12">
        <x:v>0</x:v>
      </x:c>
      <x:c r="J98" s="12" t="str">
        <x:v>已取消</x:v>
      </x:c>
      <x:c r="K98" s="12"/>
      <x:c r="L98" s="12"/>
      <x:c r="M98" s="12" t="s">
        <x:v>172</x:v>
      </x:c>
      <x:c r="N98" s="12" t="s">
        <x:v>172</x:v>
      </x:c>
      <x:c r="O98" s="12" t="s">
        <x:v>172</x:v>
      </x:c>
      <x:c r="P98" s="12" t="s">
        <x:v>172</x:v>
      </x:c>
      <x:c r="Q98" s="12" t="s">
        <x:v>172</x:v>
      </x:c>
      <x:c r="R98" s="12" t="str">
        <x:v>疑似连续调整</x:v>
      </x:c>
      <x:c r="S98" s="12" t="str">
        <x:v>平台直接字段</x:v>
      </x:c>
      <x:c r="T98" s="12" t="str">
        <x:v>条件委托已取消；算法编号1000001845272301；创建时间2026-06-04 03:41:57；撤销时间2026-06-04 03:42:14；是否触发否；周期关联等级STRONG_CONTEXT；取消/过期原因无法确认（已完成为不适用）。</x:v>
      </x:c>
      <x:c r="U98" s="12" t="s">
        <x:v>172</x:v>
      </x:c>
      <x:c r="V98" s="21" t="s">
        <x:v>176</x:v>
      </x:c>
      <x:c r="W98" s="12" t="str">
        <x:v>algorithm_id=1000001845272301；terminal_at=2026-06-04 03:42:14；关联=STRONG_CONTEXT</x:v>
      </x:c>
    </x:row>
    <x:row r="99" ht="58" customHeight="1">
      <x:c r="A99" s="14" t="s">
        <x:v>72</x:v>
      </x:c>
      <x:c r="B99" s="14" t="s">
        <x:v>421</x:v>
      </x:c>
      <x:c r="C99" s="14" t="s">
        <x:v>178</x:v>
      </x:c>
      <x:c r="D99" s="14" t="s">
        <x:v>202</x:v>
      </x:c>
      <x:c r="E99" s="14" t="s">
        <x:v>205</x:v>
      </x:c>
      <x:c r="F99" s="14" t="s">
        <x:v>205</x:v>
      </x:c>
      <x:c r="G99" s="14" t="s">
        <x:v>422</x:v>
      </x:c>
      <x:c r="H99" s="14">
        <x:v>0</x:v>
      </x:c>
      <x:c r="I99" s="14">
        <x:v>0</x:v>
      </x:c>
      <x:c r="J99" s="14" t="str">
        <x:v>已取消</x:v>
      </x:c>
      <x:c r="K99" s="14"/>
      <x:c r="L99" s="14"/>
      <x:c r="M99" s="14" t="s">
        <x:v>172</x:v>
      </x:c>
      <x:c r="N99" s="14" t="s">
        <x:v>172</x:v>
      </x:c>
      <x:c r="O99" s="14" t="s">
        <x:v>172</x:v>
      </x:c>
      <x:c r="P99" s="14" t="s">
        <x:v>172</x:v>
      </x:c>
      <x:c r="Q99" s="14" t="s">
        <x:v>172</x:v>
      </x:c>
      <x:c r="R99" s="14" t="str">
        <x:v>疑似连续调整</x:v>
      </x:c>
      <x:c r="S99" s="14" t="str">
        <x:v>平台直接字段</x:v>
      </x:c>
      <x:c r="T99" s="14" t="str">
        <x:v>条件委托已取消；算法编号1000001845277587；创建时间2026-06-04 03:42:39；撤销时间2026-06-04 03:42:56；是否触发否；周期关联等级STRONG_CONTEXT；取消/过期原因无法确认（已完成为不适用）。</x:v>
      </x:c>
      <x:c r="U99" s="14" t="s">
        <x:v>172</x:v>
      </x:c>
      <x:c r="V99" s="21" t="s">
        <x:v>176</x:v>
      </x:c>
      <x:c r="W99" s="14" t="str">
        <x:v>algorithm_id=1000001845277587；terminal_at=2026-06-04 03:42:56；关联=STRONG_CONTEXT</x:v>
      </x:c>
    </x:row>
    <x:row r="100" ht="58" customHeight="1">
      <x:c r="A100" s="12" t="s">
        <x:v>72</x:v>
      </x:c>
      <x:c r="B100" s="12" t="s">
        <x:v>423</x:v>
      </x:c>
      <x:c r="C100" s="12" t="s">
        <x:v>178</x:v>
      </x:c>
      <x:c r="D100" s="12" t="s">
        <x:v>202</x:v>
      </x:c>
      <x:c r="E100" s="12" t="s">
        <x:v>205</x:v>
      </x:c>
      <x:c r="F100" s="12" t="s">
        <x:v>205</x:v>
      </x:c>
      <x:c r="G100" s="12" t="s">
        <x:v>418</x:v>
      </x:c>
      <x:c r="H100" s="12">
        <x:v>0</x:v>
      </x:c>
      <x:c r="I100" s="12">
        <x:v>0</x:v>
      </x:c>
      <x:c r="J100" s="12" t="str">
        <x:v>已取消</x:v>
      </x:c>
      <x:c r="K100" s="12"/>
      <x:c r="L100" s="12"/>
      <x:c r="M100" s="12" t="s">
        <x:v>172</x:v>
      </x:c>
      <x:c r="N100" s="12" t="s">
        <x:v>172</x:v>
      </x:c>
      <x:c r="O100" s="12" t="s">
        <x:v>172</x:v>
      </x:c>
      <x:c r="P100" s="12" t="s">
        <x:v>172</x:v>
      </x:c>
      <x:c r="Q100" s="12" t="s">
        <x:v>172</x:v>
      </x:c>
      <x:c r="R100" s="12" t="str">
        <x:v>疑似连续调整</x:v>
      </x:c>
      <x:c r="S100" s="12" t="str">
        <x:v>平台直接字段</x:v>
      </x:c>
      <x:c r="T100" s="12" t="str">
        <x:v>条件委托已取消；算法编号1000001845279392；创建时间2026-06-04 03:42:56；撤销时间2026-06-04 04:10:57；是否触发否；周期关联等级STRONG_CONTEXT；取消/过期原因无法确认（已完成为不适用）。</x:v>
      </x:c>
      <x:c r="U100" s="12" t="s">
        <x:v>172</x:v>
      </x:c>
      <x:c r="V100" s="21" t="s">
        <x:v>176</x:v>
      </x:c>
      <x:c r="W100" s="12" t="str">
        <x:v>algorithm_id=1000001845279392；terminal_at=2026-06-04 04:10:57；关联=STRONG_CONTEXT</x:v>
      </x:c>
    </x:row>
    <x:row r="101" ht="58" customHeight="1">
      <x:c r="A101" s="14" t="s">
        <x:v>72</x:v>
      </x:c>
      <x:c r="B101" s="14" t="s">
        <x:v>424</x:v>
      </x:c>
      <x:c r="C101" s="14" t="s">
        <x:v>178</x:v>
      </x:c>
      <x:c r="D101" s="14" t="s">
        <x:v>202</x:v>
      </x:c>
      <x:c r="E101" s="14" t="s">
        <x:v>205</x:v>
      </x:c>
      <x:c r="F101" s="14" t="s">
        <x:v>205</x:v>
      </x:c>
      <x:c r="G101" s="14" t="s">
        <x:v>425</x:v>
      </x:c>
      <x:c r="H101" s="14">
        <x:v>0</x:v>
      </x:c>
      <x:c r="I101" s="14">
        <x:v>0</x:v>
      </x:c>
      <x:c r="J101" s="14" t="str">
        <x:v>已取消</x:v>
      </x:c>
      <x:c r="K101" s="14"/>
      <x:c r="L101" s="14"/>
      <x:c r="M101" s="14" t="s">
        <x:v>172</x:v>
      </x:c>
      <x:c r="N101" s="14" t="s">
        <x:v>172</x:v>
      </x:c>
      <x:c r="O101" s="14" t="s">
        <x:v>172</x:v>
      </x:c>
      <x:c r="P101" s="14" t="s">
        <x:v>172</x:v>
      </x:c>
      <x:c r="Q101" s="14" t="s">
        <x:v>172</x:v>
      </x:c>
      <x:c r="R101" s="14" t="str">
        <x:v>疑似连续调整</x:v>
      </x:c>
      <x:c r="S101" s="14" t="str">
        <x:v>平台直接字段</x:v>
      </x:c>
      <x:c r="T101" s="14" t="str">
        <x:v>条件委托已取消；算法编号1000001845535641；创建时间2026-06-04 04:10:57；撤销时间2026-06-04 04:14:43；是否触发否；周期关联等级STRONG_CONTEXT；取消/过期原因无法确认（已完成为不适用）。</x:v>
      </x:c>
      <x:c r="U101" s="14" t="s">
        <x:v>172</x:v>
      </x:c>
      <x:c r="V101" s="21" t="s">
        <x:v>176</x:v>
      </x:c>
      <x:c r="W101" s="14" t="str">
        <x:v>algorithm_id=1000001845535641；terminal_at=2026-06-04 04:14:43；关联=STRONG_CONTEXT</x:v>
      </x:c>
    </x:row>
    <x:row r="102" ht="58" customHeight="1">
      <x:c r="A102" s="12" t="s">
        <x:v>72</x:v>
      </x:c>
      <x:c r="B102" s="12" t="s">
        <x:v>426</x:v>
      </x:c>
      <x:c r="C102" s="12" t="s">
        <x:v>178</x:v>
      </x:c>
      <x:c r="D102" s="12" t="s">
        <x:v>202</x:v>
      </x:c>
      <x:c r="E102" s="12" t="s">
        <x:v>205</x:v>
      </x:c>
      <x:c r="F102" s="12" t="s">
        <x:v>205</x:v>
      </x:c>
      <x:c r="G102" s="12" t="s">
        <x:v>418</x:v>
      </x:c>
      <x:c r="H102" s="12">
        <x:v>0</x:v>
      </x:c>
      <x:c r="I102" s="12">
        <x:v>0</x:v>
      </x:c>
      <x:c r="J102" s="12" t="str">
        <x:v>已取消</x:v>
      </x:c>
      <x:c r="K102" s="12"/>
      <x:c r="L102" s="12"/>
      <x:c r="M102" s="12" t="s">
        <x:v>172</x:v>
      </x:c>
      <x:c r="N102" s="12" t="s">
        <x:v>172</x:v>
      </x:c>
      <x:c r="O102" s="12" t="s">
        <x:v>172</x:v>
      </x:c>
      <x:c r="P102" s="12" t="s">
        <x:v>172</x:v>
      </x:c>
      <x:c r="Q102" s="12" t="s">
        <x:v>172</x:v>
      </x:c>
      <x:c r="R102" s="12" t="str">
        <x:v>疑似连续调整</x:v>
      </x:c>
      <x:c r="S102" s="12" t="str">
        <x:v>平台直接字段</x:v>
      </x:c>
      <x:c r="T102" s="12" t="str">
        <x:v>条件委托已取消；算法编号1000001845567495；创建时间2026-06-04 04:14:44；撤销时间2026-06-04 04:32:59；是否触发否；周期关联等级STRONG_CONTEXT；取消/过期原因无法确认（已完成为不适用）。</x:v>
      </x:c>
      <x:c r="U102" s="12" t="s">
        <x:v>172</x:v>
      </x:c>
      <x:c r="V102" s="21" t="s">
        <x:v>176</x:v>
      </x:c>
      <x:c r="W102" s="12" t="str">
        <x:v>algorithm_id=1000001845567495；terminal_at=2026-06-04 04:32:59；关联=STRONG_CONTEXT</x:v>
      </x:c>
    </x:row>
    <x:row r="103" ht="58" customHeight="1">
      <x:c r="A103" s="14" t="s">
        <x:v>72</x:v>
      </x:c>
      <x:c r="B103" s="14" t="s">
        <x:v>427</x:v>
      </x:c>
      <x:c r="C103" s="14" t="s">
        <x:v>178</x:v>
      </x:c>
      <x:c r="D103" s="14" t="s">
        <x:v>202</x:v>
      </x:c>
      <x:c r="E103" s="14" t="s">
        <x:v>205</x:v>
      </x:c>
      <x:c r="F103" s="14" t="s">
        <x:v>205</x:v>
      </x:c>
      <x:c r="G103" s="14" t="s">
        <x:v>428</x:v>
      </x:c>
      <x:c r="H103" s="14">
        <x:v>0</x:v>
      </x:c>
      <x:c r="I103" s="14">
        <x:v>0</x:v>
      </x:c>
      <x:c r="J103" s="14" t="str">
        <x:v>已取消</x:v>
      </x:c>
      <x:c r="K103" s="14"/>
      <x:c r="L103" s="14"/>
      <x:c r="M103" s="14" t="s">
        <x:v>172</x:v>
      </x:c>
      <x:c r="N103" s="14" t="s">
        <x:v>172</x:v>
      </x:c>
      <x:c r="O103" s="14" t="s">
        <x:v>172</x:v>
      </x:c>
      <x:c r="P103" s="14" t="s">
        <x:v>172</x:v>
      </x:c>
      <x:c r="Q103" s="14" t="s">
        <x:v>172</x:v>
      </x:c>
      <x:c r="R103" s="14" t="str">
        <x:v>疑似连续调整</x:v>
      </x:c>
      <x:c r="S103" s="14" t="str">
        <x:v>平台直接字段</x:v>
      </x:c>
      <x:c r="T103" s="14" t="str">
        <x:v>条件委托已取消；算法编号1000001845721818；创建时间2026-06-04 04:32:59；撤销时间2026-06-04 04:33:16；是否触发否；周期关联等级STRONG_CONTEXT；取消/过期原因无法确认（已完成为不适用）。</x:v>
      </x:c>
      <x:c r="U103" s="14" t="s">
        <x:v>172</x:v>
      </x:c>
      <x:c r="V103" s="21" t="s">
        <x:v>176</x:v>
      </x:c>
      <x:c r="W103" s="14" t="str">
        <x:v>algorithm_id=1000001845721818；terminal_at=2026-06-04 04:33:16；关联=STRONG_CONTEXT</x:v>
      </x:c>
    </x:row>
    <x:row r="104" ht="58" customHeight="1">
      <x:c r="A104" s="12" t="s">
        <x:v>72</x:v>
      </x:c>
      <x:c r="B104" s="12" t="s">
        <x:v>429</x:v>
      </x:c>
      <x:c r="C104" s="12" t="s">
        <x:v>178</x:v>
      </x:c>
      <x:c r="D104" s="12" t="s">
        <x:v>202</x:v>
      </x:c>
      <x:c r="E104" s="12" t="s">
        <x:v>205</x:v>
      </x:c>
      <x:c r="F104" s="12" t="s">
        <x:v>205</x:v>
      </x:c>
      <x:c r="G104" s="12" t="s">
        <x:v>367</x:v>
      </x:c>
      <x:c r="H104" s="12">
        <x:v>0</x:v>
      </x:c>
      <x:c r="I104" s="12">
        <x:v>0</x:v>
      </x:c>
      <x:c r="J104" s="12" t="str">
        <x:v>已取消</x:v>
      </x:c>
      <x:c r="K104" s="12"/>
      <x:c r="L104" s="12"/>
      <x:c r="M104" s="12" t="s">
        <x:v>172</x:v>
      </x:c>
      <x:c r="N104" s="12" t="s">
        <x:v>172</x:v>
      </x:c>
      <x:c r="O104" s="12" t="s">
        <x:v>172</x:v>
      </x:c>
      <x:c r="P104" s="12" t="s">
        <x:v>172</x:v>
      </x:c>
      <x:c r="Q104" s="12" t="s">
        <x:v>172</x:v>
      </x:c>
      <x:c r="R104" s="12" t="str">
        <x:v>疑似连续调整</x:v>
      </x:c>
      <x:c r="S104" s="12" t="str">
        <x:v>平台直接字段</x:v>
      </x:c>
      <x:c r="T104" s="12" t="str">
        <x:v>条件委托已取消；算法编号1000001845724461；创建时间2026-06-04 04:33:17；撤销时间2026-06-04 04:57:03；是否触发否；周期关联等级STRONG_CONTEXT；取消/过期原因无法确认（已完成为不适用）。</x:v>
      </x:c>
      <x:c r="U104" s="12" t="s">
        <x:v>172</x:v>
      </x:c>
      <x:c r="V104" s="21" t="s">
        <x:v>176</x:v>
      </x:c>
      <x:c r="W104" s="12" t="str">
        <x:v>algorithm_id=1000001845724461；terminal_at=2026-06-04 04:57:03；关联=STRONG_CONTEXT</x:v>
      </x:c>
    </x:row>
    <x:row r="105" ht="58" customHeight="1">
      <x:c r="A105" s="14" t="s">
        <x:v>72</x:v>
      </x:c>
      <x:c r="B105" s="14" t="s">
        <x:v>430</x:v>
      </x:c>
      <x:c r="C105" s="14" t="s">
        <x:v>178</x:v>
      </x:c>
      <x:c r="D105" s="14" t="s">
        <x:v>202</x:v>
      </x:c>
      <x:c r="E105" s="14" t="s">
        <x:v>205</x:v>
      </x:c>
      <x:c r="F105" s="14" t="s">
        <x:v>205</x:v>
      </x:c>
      <x:c r="G105" s="14" t="s">
        <x:v>431</x:v>
      </x:c>
      <x:c r="H105" s="14">
        <x:v>0</x:v>
      </x:c>
      <x:c r="I105" s="14">
        <x:v>0</x:v>
      </x:c>
      <x:c r="J105" s="14" t="str">
        <x:v>已取消</x:v>
      </x:c>
      <x:c r="K105" s="14"/>
      <x:c r="L105" s="14"/>
      <x:c r="M105" s="14" t="s">
        <x:v>172</x:v>
      </x:c>
      <x:c r="N105" s="14" t="s">
        <x:v>172</x:v>
      </x:c>
      <x:c r="O105" s="14" t="s">
        <x:v>172</x:v>
      </x:c>
      <x:c r="P105" s="14" t="s">
        <x:v>172</x:v>
      </x:c>
      <x:c r="Q105" s="14" t="s">
        <x:v>172</x:v>
      </x:c>
      <x:c r="R105" s="14" t="str">
        <x:v>疑似连续调整</x:v>
      </x:c>
      <x:c r="S105" s="14" t="str">
        <x:v>平台直接字段</x:v>
      </x:c>
      <x:c r="T105" s="14" t="str">
        <x:v>条件委托已取消；算法编号1000001845956843；创建时间2026-06-04 04:57:03；撤销时间2026-06-04 04:57:35；是否触发否；周期关联等级STRONG_CONTEXT；取消/过期原因无法确认（已完成为不适用）。</x:v>
      </x:c>
      <x:c r="U105" s="14" t="s">
        <x:v>172</x:v>
      </x:c>
      <x:c r="V105" s="21" t="s">
        <x:v>176</x:v>
      </x:c>
      <x:c r="W105" s="14" t="str">
        <x:v>algorithm_id=1000001845956843；terminal_at=2026-06-04 04:57:35；关联=STRONG_CONTEXT</x:v>
      </x:c>
    </x:row>
    <x:row r="106" ht="58" customHeight="1">
      <x:c r="A106" s="12" t="s">
        <x:v>72</x:v>
      </x:c>
      <x:c r="B106" s="12" t="s">
        <x:v>432</x:v>
      </x:c>
      <x:c r="C106" s="12" t="s">
        <x:v>178</x:v>
      </x:c>
      <x:c r="D106" s="12" t="s">
        <x:v>202</x:v>
      </x:c>
      <x:c r="E106" s="12" t="s">
        <x:v>205</x:v>
      </x:c>
      <x:c r="F106" s="12" t="s">
        <x:v>205</x:v>
      </x:c>
      <x:c r="G106" s="12" t="s">
        <x:v>433</x:v>
      </x:c>
      <x:c r="H106" s="12">
        <x:v>0</x:v>
      </x:c>
      <x:c r="I106" s="12">
        <x:v>0</x:v>
      </x:c>
      <x:c r="J106" s="12" t="str">
        <x:v>已取消</x:v>
      </x:c>
      <x:c r="K106" s="12"/>
      <x:c r="L106" s="12"/>
      <x:c r="M106" s="12" t="s">
        <x:v>172</x:v>
      </x:c>
      <x:c r="N106" s="12" t="s">
        <x:v>172</x:v>
      </x:c>
      <x:c r="O106" s="12" t="s">
        <x:v>172</x:v>
      </x:c>
      <x:c r="P106" s="12" t="s">
        <x:v>172</x:v>
      </x:c>
      <x:c r="Q106" s="12" t="s">
        <x:v>172</x:v>
      </x:c>
      <x:c r="R106" s="12" t="str">
        <x:v>疑似连续调整</x:v>
      </x:c>
      <x:c r="S106" s="12" t="str">
        <x:v>平台直接字段</x:v>
      </x:c>
      <x:c r="T106" s="12" t="str">
        <x:v>条件委托已取消；算法编号1000001845962448；创建时间2026-06-04 04:57:36；撤销时间2026-06-04 05:14:12；是否触发否；周期关联等级STRONG_CONTEXT；取消/过期原因无法确认（已完成为不适用）。</x:v>
      </x:c>
      <x:c r="U106" s="12" t="s">
        <x:v>172</x:v>
      </x:c>
      <x:c r="V106" s="21" t="s">
        <x:v>176</x:v>
      </x:c>
      <x:c r="W106" s="12" t="str">
        <x:v>algorithm_id=1000001845962448；terminal_at=2026-06-04 05:14:12；关联=STRONG_CONTEXT</x:v>
      </x:c>
    </x:row>
    <x:row r="107" ht="58" customHeight="1">
      <x:c r="A107" s="14" t="s">
        <x:v>72</x:v>
      </x:c>
      <x:c r="B107" s="14" t="s">
        <x:v>434</x:v>
      </x:c>
      <x:c r="C107" s="14" t="s">
        <x:v>178</x:v>
      </x:c>
      <x:c r="D107" s="14" t="s">
        <x:v>202</x:v>
      </x:c>
      <x:c r="E107" s="14" t="s">
        <x:v>205</x:v>
      </x:c>
      <x:c r="F107" s="14" t="s">
        <x:v>205</x:v>
      </x:c>
      <x:c r="G107" s="14" t="s">
        <x:v>418</x:v>
      </x:c>
      <x:c r="H107" s="14">
        <x:v>0</x:v>
      </x:c>
      <x:c r="I107" s="14">
        <x:v>0</x:v>
      </x:c>
      <x:c r="J107" s="14" t="str">
        <x:v>已取消</x:v>
      </x:c>
      <x:c r="K107" s="14"/>
      <x:c r="L107" s="14"/>
      <x:c r="M107" s="14" t="s">
        <x:v>172</x:v>
      </x:c>
      <x:c r="N107" s="14" t="s">
        <x:v>172</x:v>
      </x:c>
      <x:c r="O107" s="14" t="s">
        <x:v>172</x:v>
      </x:c>
      <x:c r="P107" s="14" t="s">
        <x:v>172</x:v>
      </x:c>
      <x:c r="Q107" s="14" t="s">
        <x:v>172</x:v>
      </x:c>
      <x:c r="R107" s="14" t="str">
        <x:v>疑似连续调整</x:v>
      </x:c>
      <x:c r="S107" s="14" t="str">
        <x:v>平台直接字段</x:v>
      </x:c>
      <x:c r="T107" s="14" t="str">
        <x:v>条件委托已取消；算法编号1000001846123695；创建时间2026-06-04 05:14:12；撤销时间2026-06-04 05:25:30；是否触发否；周期关联等级STRONG_CONTEXT；取消/过期原因无法确认（已完成为不适用）。</x:v>
      </x:c>
      <x:c r="U107" s="14" t="s">
        <x:v>172</x:v>
      </x:c>
      <x:c r="V107" s="21" t="s">
        <x:v>176</x:v>
      </x:c>
      <x:c r="W107" s="14" t="str">
        <x:v>algorithm_id=1000001846123695；terminal_at=2026-06-04 05:25:30；关联=STRONG_CONTEXT</x:v>
      </x:c>
    </x:row>
    <x:row r="108" ht="58" customHeight="1">
      <x:c r="A108" s="12" t="s">
        <x:v>72</x:v>
      </x:c>
      <x:c r="B108" s="12" t="s">
        <x:v>435</x:v>
      </x:c>
      <x:c r="C108" s="12" t="s">
        <x:v>178</x:v>
      </x:c>
      <x:c r="D108" s="12" t="s">
        <x:v>202</x:v>
      </x:c>
      <x:c r="E108" s="12" t="s">
        <x:v>205</x:v>
      </x:c>
      <x:c r="F108" s="12" t="s">
        <x:v>205</x:v>
      </x:c>
      <x:c r="G108" s="12" t="s">
        <x:v>327</x:v>
      </x:c>
      <x:c r="H108" s="12">
        <x:v>0</x:v>
      </x:c>
      <x:c r="I108" s="12">
        <x:v>0</x:v>
      </x:c>
      <x:c r="J108" s="12" t="str">
        <x:v>已取消</x:v>
      </x:c>
      <x:c r="K108" s="12"/>
      <x:c r="L108" s="12"/>
      <x:c r="M108" s="12" t="s">
        <x:v>172</x:v>
      </x:c>
      <x:c r="N108" s="12" t="s">
        <x:v>172</x:v>
      </x:c>
      <x:c r="O108" s="12" t="s">
        <x:v>172</x:v>
      </x:c>
      <x:c r="P108" s="12" t="s">
        <x:v>172</x:v>
      </x:c>
      <x:c r="Q108" s="12" t="s">
        <x:v>172</x:v>
      </x:c>
      <x:c r="R108" s="12" t="str">
        <x:v>疑似连续调整</x:v>
      </x:c>
      <x:c r="S108" s="12" t="str">
        <x:v>平台直接字段</x:v>
      </x:c>
      <x:c r="T108" s="12" t="str">
        <x:v>条件委托已取消；算法编号1000001846212866；创建时间2026-06-04 05:25:31；撤销时间2026-06-04 05:32:47；是否触发否；周期关联等级STRONG_CONTEXT；取消/过期原因无法确认（已完成为不适用）。</x:v>
      </x:c>
      <x:c r="U108" s="12" t="s">
        <x:v>172</x:v>
      </x:c>
      <x:c r="V108" s="21" t="s">
        <x:v>176</x:v>
      </x:c>
      <x:c r="W108" s="12" t="str">
        <x:v>algorithm_id=1000001846212866；terminal_at=2026-06-04 05:32:47；关联=STRONG_CONTEXT</x:v>
      </x:c>
    </x:row>
    <x:row r="109" ht="58" customHeight="1">
      <x:c r="A109" s="14" t="s">
        <x:v>72</x:v>
      </x:c>
      <x:c r="B109" s="14" t="s">
        <x:v>436</x:v>
      </x:c>
      <x:c r="C109" s="14" t="s">
        <x:v>178</x:v>
      </x:c>
      <x:c r="D109" s="14" t="s">
        <x:v>202</x:v>
      </x:c>
      <x:c r="E109" s="14" t="s">
        <x:v>205</x:v>
      </x:c>
      <x:c r="F109" s="14" t="s">
        <x:v>205</x:v>
      </x:c>
      <x:c r="G109" s="14" t="s">
        <x:v>422</x:v>
      </x:c>
      <x:c r="H109" s="14">
        <x:v>0</x:v>
      </x:c>
      <x:c r="I109" s="14">
        <x:v>0</x:v>
      </x:c>
      <x:c r="J109" s="14" t="str">
        <x:v>已取消</x:v>
      </x:c>
      <x:c r="K109" s="14"/>
      <x:c r="L109" s="14"/>
      <x:c r="M109" s="14" t="s">
        <x:v>172</x:v>
      </x:c>
      <x:c r="N109" s="14" t="s">
        <x:v>172</x:v>
      </x:c>
      <x:c r="O109" s="14" t="s">
        <x:v>172</x:v>
      </x:c>
      <x:c r="P109" s="14" t="s">
        <x:v>172</x:v>
      </x:c>
      <x:c r="Q109" s="14" t="s">
        <x:v>172</x:v>
      </x:c>
      <x:c r="R109" s="14" t="str">
        <x:v>疑似连续调整</x:v>
      </x:c>
      <x:c r="S109" s="14" t="str">
        <x:v>平台直接字段</x:v>
      </x:c>
      <x:c r="T109" s="14" t="str">
        <x:v>条件委托已取消；算法编号1000001846270308；创建时间2026-06-04 05:32:47；撤销时间2026-06-04 05:35:10；是否触发否；周期关联等级STRONG_CONTEXT；取消/过期原因无法确认（已完成为不适用）。</x:v>
      </x:c>
      <x:c r="U109" s="14" t="s">
        <x:v>172</x:v>
      </x:c>
      <x:c r="V109" s="21" t="s">
        <x:v>176</x:v>
      </x:c>
      <x:c r="W109" s="14" t="str">
        <x:v>algorithm_id=1000001846270308；terminal_at=2026-06-04 05:35:10；关联=STRONG_CONTEXT</x:v>
      </x:c>
    </x:row>
    <x:row r="110" ht="58" customHeight="1">
      <x:c r="A110" s="12" t="s">
        <x:v>72</x:v>
      </x:c>
      <x:c r="B110" s="12" t="s">
        <x:v>437</x:v>
      </x:c>
      <x:c r="C110" s="12" t="s">
        <x:v>178</x:v>
      </x:c>
      <x:c r="D110" s="12" t="s">
        <x:v>202</x:v>
      </x:c>
      <x:c r="E110" s="12" t="s">
        <x:v>205</x:v>
      </x:c>
      <x:c r="F110" s="12" t="s">
        <x:v>205</x:v>
      </x:c>
      <x:c r="G110" s="12" t="s">
        <x:v>327</x:v>
      </x:c>
      <x:c r="H110" s="12">
        <x:v>0</x:v>
      </x:c>
      <x:c r="I110" s="12">
        <x:v>0</x:v>
      </x:c>
      <x:c r="J110" s="12" t="str">
        <x:v>已取消</x:v>
      </x:c>
      <x:c r="K110" s="12"/>
      <x:c r="L110" s="12"/>
      <x:c r="M110" s="12" t="s">
        <x:v>172</x:v>
      </x:c>
      <x:c r="N110" s="12" t="s">
        <x:v>172</x:v>
      </x:c>
      <x:c r="O110" s="12" t="s">
        <x:v>172</x:v>
      </x:c>
      <x:c r="P110" s="12" t="s">
        <x:v>172</x:v>
      </x:c>
      <x:c r="Q110" s="12" t="s">
        <x:v>172</x:v>
      </x:c>
      <x:c r="R110" s="12" t="str">
        <x:v>疑似连续调整</x:v>
      </x:c>
      <x:c r="S110" s="12" t="str">
        <x:v>平台直接字段</x:v>
      </x:c>
      <x:c r="T110" s="12" t="str">
        <x:v>条件委托已取消；算法编号1000001846293888；创建时间2026-06-04 05:35:10；撤销时间2026-06-04 05:35:23；是否触发否；周期关联等级STRONG_CONTEXT；取消/过期原因无法确认（已完成为不适用）。</x:v>
      </x:c>
      <x:c r="U110" s="12" t="s">
        <x:v>172</x:v>
      </x:c>
      <x:c r="V110" s="21" t="s">
        <x:v>176</x:v>
      </x:c>
      <x:c r="W110" s="12" t="str">
        <x:v>algorithm_id=1000001846293888；terminal_at=2026-06-04 05:35:23；关联=STRONG_CONTEXT</x:v>
      </x:c>
    </x:row>
    <x:row r="111" ht="58" customHeight="1">
      <x:c r="A111" s="14" t="s">
        <x:v>72</x:v>
      </x:c>
      <x:c r="B111" s="14" t="s">
        <x:v>438</x:v>
      </x:c>
      <x:c r="C111" s="14" t="s">
        <x:v>178</x:v>
      </x:c>
      <x:c r="D111" s="14" t="s">
        <x:v>202</x:v>
      </x:c>
      <x:c r="E111" s="14" t="s">
        <x:v>205</x:v>
      </x:c>
      <x:c r="F111" s="14" t="s">
        <x:v>205</x:v>
      </x:c>
      <x:c r="G111" s="14" t="s">
        <x:v>418</x:v>
      </x:c>
      <x:c r="H111" s="14">
        <x:v>0</x:v>
      </x:c>
      <x:c r="I111" s="14">
        <x:v>0</x:v>
      </x:c>
      <x:c r="J111" s="14" t="str">
        <x:v>已取消</x:v>
      </x:c>
      <x:c r="K111" s="14"/>
      <x:c r="L111" s="14"/>
      <x:c r="M111" s="14" t="s">
        <x:v>172</x:v>
      </x:c>
      <x:c r="N111" s="14" t="s">
        <x:v>172</x:v>
      </x:c>
      <x:c r="O111" s="14" t="s">
        <x:v>172</x:v>
      </x:c>
      <x:c r="P111" s="14" t="s">
        <x:v>172</x:v>
      </x:c>
      <x:c r="Q111" s="14" t="s">
        <x:v>172</x:v>
      </x:c>
      <x:c r="R111" s="14" t="str">
        <x:v>疑似连续调整</x:v>
      </x:c>
      <x:c r="S111" s="14" t="str">
        <x:v>平台直接字段</x:v>
      </x:c>
      <x:c r="T111" s="14" t="str">
        <x:v>条件委托已取消；算法编号1000001846295656；创建时间2026-06-04 05:35:23；撤销时间2026-06-04 05:56:59；是否触发否；周期关联等级STRONG_CONTEXT；取消/过期原因无法确认（已完成为不适用）。</x:v>
      </x:c>
      <x:c r="U111" s="14" t="s">
        <x:v>172</x:v>
      </x:c>
      <x:c r="V111" s="21" t="s">
        <x:v>176</x:v>
      </x:c>
      <x:c r="W111" s="14" t="str">
        <x:v>algorithm_id=1000001846295656；terminal_at=2026-06-04 05:56:59；关联=STRONG_CONTEXT</x:v>
      </x:c>
    </x:row>
    <x:row r="112" ht="58" customHeight="1">
      <x:c r="A112" s="12" t="s">
        <x:v>72</x:v>
      </x:c>
      <x:c r="B112" s="12" t="s">
        <x:v>439</x:v>
      </x:c>
      <x:c r="C112" s="12" t="s">
        <x:v>178</x:v>
      </x:c>
      <x:c r="D112" s="12" t="s">
        <x:v>202</x:v>
      </x:c>
      <x:c r="E112" s="12" t="s">
        <x:v>205</x:v>
      </x:c>
      <x:c r="F112" s="12" t="s">
        <x:v>205</x:v>
      </x:c>
      <x:c r="G112" s="12" t="s">
        <x:v>440</x:v>
      </x:c>
      <x:c r="H112" s="12">
        <x:v>0</x:v>
      </x:c>
      <x:c r="I112" s="12">
        <x:v>0</x:v>
      </x:c>
      <x:c r="J112" s="12" t="str">
        <x:v>已取消</x:v>
      </x:c>
      <x:c r="K112" s="12"/>
      <x:c r="L112" s="12"/>
      <x:c r="M112" s="12" t="s">
        <x:v>172</x:v>
      </x:c>
      <x:c r="N112" s="12" t="s">
        <x:v>172</x:v>
      </x:c>
      <x:c r="O112" s="12" t="s">
        <x:v>172</x:v>
      </x:c>
      <x:c r="P112" s="12" t="s">
        <x:v>172</x:v>
      </x:c>
      <x:c r="Q112" s="12" t="s">
        <x:v>172</x:v>
      </x:c>
      <x:c r="R112" s="12" t="str">
        <x:v>疑似连续调整</x:v>
      </x:c>
      <x:c r="S112" s="12" t="str">
        <x:v>平台直接字段</x:v>
      </x:c>
      <x:c r="T112" s="12" t="str">
        <x:v>条件委托已取消；算法编号1000001846502526；创建时间2026-06-04 05:56:59；撤销时间2026-06-04 05:57:31；是否触发否；周期关联等级STRONG_CONTEXT；取消/过期原因无法确认（已完成为不适用）。</x:v>
      </x:c>
      <x:c r="U112" s="12" t="s">
        <x:v>172</x:v>
      </x:c>
      <x:c r="V112" s="21" t="s">
        <x:v>176</x:v>
      </x:c>
      <x:c r="W112" s="12" t="str">
        <x:v>algorithm_id=1000001846502526；terminal_at=2026-06-04 05:57:31；关联=STRONG_CONTEXT</x:v>
      </x:c>
    </x:row>
    <x:row r="113" ht="58" customHeight="1">
      <x:c r="A113" s="14" t="s">
        <x:v>72</x:v>
      </x:c>
      <x:c r="B113" s="14" t="s">
        <x:v>441</x:v>
      </x:c>
      <x:c r="C113" s="14" t="s">
        <x:v>178</x:v>
      </x:c>
      <x:c r="D113" s="14" t="s">
        <x:v>202</x:v>
      </x:c>
      <x:c r="E113" s="14" t="s">
        <x:v>205</x:v>
      </x:c>
      <x:c r="F113" s="14" t="s">
        <x:v>205</x:v>
      </x:c>
      <x:c r="G113" s="14" t="s">
        <x:v>442</x:v>
      </x:c>
      <x:c r="H113" s="14">
        <x:v>0</x:v>
      </x:c>
      <x:c r="I113" s="14">
        <x:v>0</x:v>
      </x:c>
      <x:c r="J113" s="14" t="str">
        <x:v>已取消</x:v>
      </x:c>
      <x:c r="K113" s="14"/>
      <x:c r="L113" s="14"/>
      <x:c r="M113" s="14" t="s">
        <x:v>172</x:v>
      </x:c>
      <x:c r="N113" s="14" t="s">
        <x:v>172</x:v>
      </x:c>
      <x:c r="O113" s="14" t="s">
        <x:v>172</x:v>
      </x:c>
      <x:c r="P113" s="14" t="s">
        <x:v>172</x:v>
      </x:c>
      <x:c r="Q113" s="14" t="s">
        <x:v>172</x:v>
      </x:c>
      <x:c r="R113" s="14" t="str">
        <x:v>疑似连续调整</x:v>
      </x:c>
      <x:c r="S113" s="14" t="str">
        <x:v>平台直接字段</x:v>
      </x:c>
      <x:c r="T113" s="14" t="str">
        <x:v>条件委托已取消；算法编号1000001846506842；创建时间2026-06-04 05:57:31；撤销时间2026-06-04 05:57:48；是否触发否；周期关联等级STRONG_CONTEXT；取消/过期原因无法确认（已完成为不适用）。</x:v>
      </x:c>
      <x:c r="U113" s="14" t="s">
        <x:v>172</x:v>
      </x:c>
      <x:c r="V113" s="21" t="s">
        <x:v>176</x:v>
      </x:c>
      <x:c r="W113" s="14" t="str">
        <x:v>algorithm_id=1000001846506842；terminal_at=2026-06-04 05:57:48；关联=STRONG_CONTEXT</x:v>
      </x:c>
    </x:row>
    <x:row r="114" ht="58" customHeight="1">
      <x:c r="A114" s="12" t="s">
        <x:v>72</x:v>
      </x:c>
      <x:c r="B114" s="12" t="s">
        <x:v>443</x:v>
      </x:c>
      <x:c r="C114" s="12" t="s">
        <x:v>178</x:v>
      </x:c>
      <x:c r="D114" s="12" t="s">
        <x:v>202</x:v>
      </x:c>
      <x:c r="E114" s="12" t="s">
        <x:v>205</x:v>
      </x:c>
      <x:c r="F114" s="12" t="s">
        <x:v>205</x:v>
      </x:c>
      <x:c r="G114" s="12" t="s">
        <x:v>444</x:v>
      </x:c>
      <x:c r="H114" s="12">
        <x:v>0</x:v>
      </x:c>
      <x:c r="I114" s="12">
        <x:v>0</x:v>
      </x:c>
      <x:c r="J114" s="12" t="str">
        <x:v>已取消</x:v>
      </x:c>
      <x:c r="K114" s="12"/>
      <x:c r="L114" s="12"/>
      <x:c r="M114" s="12" t="s">
        <x:v>172</x:v>
      </x:c>
      <x:c r="N114" s="12" t="s">
        <x:v>172</x:v>
      </x:c>
      <x:c r="O114" s="12" t="s">
        <x:v>172</x:v>
      </x:c>
      <x:c r="P114" s="12" t="s">
        <x:v>172</x:v>
      </x:c>
      <x:c r="Q114" s="12" t="s">
        <x:v>172</x:v>
      </x:c>
      <x:c r="R114" s="12" t="str">
        <x:v>疑似连续调整</x:v>
      </x:c>
      <x:c r="S114" s="12" t="str">
        <x:v>平台直接字段</x:v>
      </x:c>
      <x:c r="T114" s="12" t="str">
        <x:v>条件委托已取消；算法编号1000001846517736；创建时间2026-06-04 05:58:51；撤销时间2026-06-04 05:59:02；是否触发否；周期关联等级STRONG_CONTEXT；取消/过期原因无法确认（已完成为不适用）。</x:v>
      </x:c>
      <x:c r="U114" s="12" t="s">
        <x:v>172</x:v>
      </x:c>
      <x:c r="V114" s="21" t="s">
        <x:v>176</x:v>
      </x:c>
      <x:c r="W114" s="12" t="str">
        <x:v>algorithm_id=1000001846517736；terminal_at=2026-06-04 05:59:02；关联=STRONG_CONTEXT</x:v>
      </x:c>
    </x:row>
    <x:row r="115" ht="58" customHeight="1">
      <x:c r="A115" s="14" t="s">
        <x:v>72</x:v>
      </x:c>
      <x:c r="B115" s="14" t="s">
        <x:v>445</x:v>
      </x:c>
      <x:c r="C115" s="14" t="s">
        <x:v>178</x:v>
      </x:c>
      <x:c r="D115" s="14" t="s">
        <x:v>165</x:v>
      </x:c>
      <x:c r="E115" s="14" t="s">
        <x:v>208</x:v>
      </x:c>
      <x:c r="F115" s="14" t="s">
        <x:v>199</x:v>
      </x:c>
      <x:c r="G115" s="14" t="s">
        <x:v>446</x:v>
      </x:c>
      <x:c r="H115" s="14">
        <x:v>8</x:v>
      </x:c>
      <x:c r="I115" s="14">
        <x:v>8</x:v>
      </x:c>
      <x:c r="J115" s="14" t="s">
        <x:v>168</x:v>
      </x:c>
      <x:c r="K115" s="14" t="s">
        <x:v>229</x:v>
      </x:c>
      <x:c r="L115" s="14" t="s">
        <x:v>169</x:v>
      </x:c>
      <x:c r="M115" s="14" t="s">
        <x:v>171</x:v>
      </x:c>
      <x:c r="N115" s="14" t="s">
        <x:v>172</x:v>
      </x:c>
      <x:c r="O115" s="14" t="s">
        <x:v>172</x:v>
      </x:c>
      <x:c r="P115" s="14" t="s">
        <x:v>172</x:v>
      </x:c>
      <x:c r="Q115" s="14" t="s">
        <x:v>171</x:v>
      </x:c>
      <x:c r="R115" s="14" t="s">
        <x:v>447</x:v>
      </x:c>
      <x:c r="S115" s="14" t="s">
        <x:v>174</x:v>
      </x:c>
      <x:c r="T115" s="14" t="s">
        <x:v>448</x:v>
      </x:c>
      <x:c r="U115" s="14" t="s">
        <x:v>171</x:v>
      </x:c>
      <x:c r="V115" s="21" t="s">
        <x:v>176</x:v>
      </x:c>
      <x:c r="W115" s="14" t="str">
        <x:v>独立事件；按本行事实口径计数。</x:v>
      </x:c>
    </x:row>
    <x:row r="116" ht="58" customHeight="1">
      <x:c r="A116" s="12" t="s">
        <x:v>72</x:v>
      </x:c>
      <x:c r="B116" s="12" t="s">
        <x:v>449</x:v>
      </x:c>
      <x:c r="C116" s="12" t="s">
        <x:v>211</x:v>
      </x:c>
      <x:c r="D116" s="12" t="s">
        <x:v>212</x:v>
      </x:c>
      <x:c r="E116" s="12" t="s">
        <x:v>213</x:v>
      </x:c>
      <x:c r="F116" s="12"/>
      <x:c r="G116" s="12"/>
      <x:c r="H116" s="12"/>
      <x:c r="I116" s="12"/>
      <x:c r="J116" s="12"/>
      <x:c r="K116" s="12"/>
      <x:c r="L116" s="12"/>
      <x:c r="M116" s="12" t="s">
        <x:v>172</x:v>
      </x:c>
      <x:c r="N116" s="12" t="s">
        <x:v>172</x:v>
      </x:c>
      <x:c r="O116" s="12" t="s">
        <x:v>172</x:v>
      </x:c>
      <x:c r="P116" s="12" t="s">
        <x:v>172</x:v>
      </x:c>
      <x:c r="Q116" s="12" t="s">
        <x:v>172</x:v>
      </x:c>
      <x:c r="R116" s="12"/>
      <x:c r="S116" s="12" t="s">
        <x:v>214</x:v>
      </x:c>
      <x:c r="T116" s="12" t="s">
        <x:v>450</x:v>
      </x:c>
      <x:c r="U116" s="12" t="s">
        <x:v>172</x:v>
      </x:c>
      <x:c r="V116" s="21" t="s">
        <x:v>176</x:v>
      </x:c>
      <x:c r="W116" s="12" t="str">
        <x:v>独立事件；按本行事实口径计数。</x:v>
      </x:c>
    </x:row>
    <x:row r="117" ht="58" customHeight="1">
      <x:c r="A117" s="14" t="s">
        <x:v>73</x:v>
      </x:c>
      <x:c r="B117" s="14" t="s">
        <x:v>451</x:v>
      </x:c>
      <x:c r="C117" s="14" t="s">
        <x:v>164</x:v>
      </x:c>
      <x:c r="D117" s="14" t="s">
        <x:v>184</x:v>
      </x:c>
      <x:c r="E117" s="14" t="s">
        <x:v>251</x:v>
      </x:c>
      <x:c r="F117" s="14" t="s">
        <x:v>185</x:v>
      </x:c>
      <x:c r="G117" s="14" t="s">
        <x:v>452</x:v>
      </x:c>
      <x:c r="H117" s="14">
        <x:v>3</x:v>
      </x:c>
      <x:c r="I117" s="14">
        <x:v>0</x:v>
      </x:c>
      <x:c r="J117" s="14" t="s">
        <x:v>187</x:v>
      </x:c>
      <x:c r="K117" s="14" t="s">
        <x:v>169</x:v>
      </x:c>
      <x:c r="L117" s="14" t="s">
        <x:v>169</x:v>
      </x:c>
      <x:c r="M117" s="14" t="s">
        <x:v>172</x:v>
      </x:c>
      <x:c r="N117" s="14" t="s">
        <x:v>172</x:v>
      </x:c>
      <x:c r="O117" s="14" t="s">
        <x:v>172</x:v>
      </x:c>
      <x:c r="P117" s="14" t="s">
        <x:v>172</x:v>
      </x:c>
      <x:c r="Q117" s="14" t="s">
        <x:v>172</x:v>
      </x:c>
      <x:c r="R117" s="14" t="s">
        <x:v>188</x:v>
      </x:c>
      <x:c r="S117" s="14" t="s">
        <x:v>189</x:v>
      </x:c>
      <x:c r="T117" s="14" t="s">
        <x:v>253</x:v>
      </x:c>
      <x:c r="U117" s="14" t="s">
        <x:v>172</x:v>
      </x:c>
      <x:c r="V117" s="21" t="s">
        <x:v>176</x:v>
      </x:c>
      <x:c r="W117" s="14" t="str">
        <x:v>独立事件；按本行事实口径计数。</x:v>
      </x:c>
    </x:row>
    <x:row r="118" ht="58" customHeight="1">
      <x:c r="A118" s="12" t="s">
        <x:v>73</x:v>
      </x:c>
      <x:c r="B118" s="12" t="s">
        <x:v>453</x:v>
      </x:c>
      <x:c r="C118" s="12" t="s">
        <x:v>164</x:v>
      </x:c>
      <x:c r="D118" s="12" t="s">
        <x:v>184</x:v>
      </x:c>
      <x:c r="E118" s="12" t="s">
        <x:v>251</x:v>
      </x:c>
      <x:c r="F118" s="12" t="s">
        <x:v>185</x:v>
      </x:c>
      <x:c r="G118" s="12" t="s">
        <x:v>454</x:v>
      </x:c>
      <x:c r="H118" s="12">
        <x:v>1.5</x:v>
      </x:c>
      <x:c r="I118" s="12">
        <x:v>0</x:v>
      </x:c>
      <x:c r="J118" s="12" t="s">
        <x:v>187</x:v>
      </x:c>
      <x:c r="K118" s="12" t="s">
        <x:v>169</x:v>
      </x:c>
      <x:c r="L118" s="12" t="s">
        <x:v>169</x:v>
      </x:c>
      <x:c r="M118" s="12" t="s">
        <x:v>172</x:v>
      </x:c>
      <x:c r="N118" s="12" t="s">
        <x:v>172</x:v>
      </x:c>
      <x:c r="O118" s="12" t="s">
        <x:v>172</x:v>
      </x:c>
      <x:c r="P118" s="12" t="s">
        <x:v>172</x:v>
      </x:c>
      <x:c r="Q118" s="12" t="s">
        <x:v>172</x:v>
      </x:c>
      <x:c r="R118" s="12" t="s">
        <x:v>193</x:v>
      </x:c>
      <x:c r="S118" s="12" t="s">
        <x:v>189</x:v>
      </x:c>
      <x:c r="T118" s="12" t="s">
        <x:v>253</x:v>
      </x:c>
      <x:c r="U118" s="12" t="s">
        <x:v>172</x:v>
      </x:c>
      <x:c r="V118" s="21" t="s">
        <x:v>176</x:v>
      </x:c>
      <x:c r="W118" s="12" t="str">
        <x:v>独立事件；按本行事实口径计数。</x:v>
      </x:c>
    </x:row>
    <x:row r="119" ht="58" customHeight="1">
      <x:c r="A119" s="14" t="s">
        <x:v>73</x:v>
      </x:c>
      <x:c r="B119" s="14" t="s">
        <x:v>455</x:v>
      </x:c>
      <x:c r="C119" s="14" t="s">
        <x:v>164</x:v>
      </x:c>
      <x:c r="D119" s="14" t="s">
        <x:v>184</x:v>
      </x:c>
      <x:c r="E119" s="14" t="s">
        <x:v>251</x:v>
      </x:c>
      <x:c r="F119" s="14" t="s">
        <x:v>185</x:v>
      </x:c>
      <x:c r="G119" s="14" t="s">
        <x:v>456</x:v>
      </x:c>
      <x:c r="H119" s="14">
        <x:v>3</x:v>
      </x:c>
      <x:c r="I119" s="14">
        <x:v>0</x:v>
      </x:c>
      <x:c r="J119" s="14" t="s">
        <x:v>187</x:v>
      </x:c>
      <x:c r="K119" s="14" t="s">
        <x:v>169</x:v>
      </x:c>
      <x:c r="L119" s="14" t="s">
        <x:v>169</x:v>
      </x:c>
      <x:c r="M119" s="14" t="s">
        <x:v>172</x:v>
      </x:c>
      <x:c r="N119" s="14" t="s">
        <x:v>172</x:v>
      </x:c>
      <x:c r="O119" s="14" t="s">
        <x:v>172</x:v>
      </x:c>
      <x:c r="P119" s="14" t="s">
        <x:v>172</x:v>
      </x:c>
      <x:c r="Q119" s="14" t="s">
        <x:v>172</x:v>
      </x:c>
      <x:c r="R119" s="14" t="s">
        <x:v>193</x:v>
      </x:c>
      <x:c r="S119" s="14" t="s">
        <x:v>189</x:v>
      </x:c>
      <x:c r="T119" s="14" t="s">
        <x:v>253</x:v>
      </x:c>
      <x:c r="U119" s="14" t="s">
        <x:v>172</x:v>
      </x:c>
      <x:c r="V119" s="21" t="s">
        <x:v>176</x:v>
      </x:c>
      <x:c r="W119" s="14" t="str">
        <x:v>独立事件；按本行事实口径计数。</x:v>
      </x:c>
    </x:row>
    <x:row r="120" ht="58" customHeight="1">
      <x:c r="A120" s="12" t="s">
        <x:v>73</x:v>
      </x:c>
      <x:c r="B120" s="12" t="s">
        <x:v>457</x:v>
      </x:c>
      <x:c r="C120" s="12" t="s">
        <x:v>164</x:v>
      </x:c>
      <x:c r="D120" s="12" t="s">
        <x:v>165</x:v>
      </x:c>
      <x:c r="E120" s="12" t="s">
        <x:v>259</x:v>
      </x:c>
      <x:c r="F120" s="12" t="s">
        <x:v>199</x:v>
      </x:c>
      <x:c r="G120" s="12" t="s">
        <x:v>458</x:v>
      </x:c>
      <x:c r="H120" s="12">
        <x:v>0.2</x:v>
      </x:c>
      <x:c r="I120" s="12">
        <x:v>0.2</x:v>
      </x:c>
      <x:c r="J120" s="12" t="s">
        <x:v>168</x:v>
      </x:c>
      <x:c r="K120" s="12" t="s">
        <x:v>169</x:v>
      </x:c>
      <x:c r="L120" s="12" t="s">
        <x:v>459</x:v>
      </x:c>
      <x:c r="M120" s="12" t="s">
        <x:v>171</x:v>
      </x:c>
      <x:c r="N120" s="12" t="s">
        <x:v>171</x:v>
      </x:c>
      <x:c r="O120" s="12" t="s">
        <x:v>172</x:v>
      </x:c>
      <x:c r="P120" s="12" t="s">
        <x:v>172</x:v>
      </x:c>
      <x:c r="Q120" s="12" t="s">
        <x:v>172</x:v>
      </x:c>
      <x:c r="R120" s="12" t="s">
        <x:v>16</x:v>
      </x:c>
      <x:c r="S120" s="12" t="s">
        <x:v>189</x:v>
      </x:c>
      <x:c r="T120" s="12" t="s">
        <x:v>460</x:v>
      </x:c>
      <x:c r="U120" s="12" t="s">
        <x:v>172</x:v>
      </x:c>
      <x:c r="V120" s="21" t="s">
        <x:v>176</x:v>
      </x:c>
      <x:c r="W120" s="12" t="str">
        <x:v>独立事件；按本行事实口径计数。</x:v>
      </x:c>
    </x:row>
    <x:row r="121" ht="58" customHeight="1">
      <x:c r="A121" s="14" t="s">
        <x:v>73</x:v>
      </x:c>
      <x:c r="B121" s="14" t="s">
        <x:v>461</x:v>
      </x:c>
      <x:c r="C121" s="14" t="s">
        <x:v>178</x:v>
      </x:c>
      <x:c r="D121" s="14" t="s">
        <x:v>165</x:v>
      </x:c>
      <x:c r="E121" s="14" t="s">
        <x:v>296</x:v>
      </x:c>
      <x:c r="F121" s="14" t="s">
        <x:v>199</x:v>
      </x:c>
      <x:c r="G121" s="14" t="s">
        <x:v>462</x:v>
      </x:c>
      <x:c r="H121" s="14">
        <x:v>0.1</x:v>
      </x:c>
      <x:c r="I121" s="14">
        <x:v>0.1</x:v>
      </x:c>
      <x:c r="J121" s="14" t="s">
        <x:v>168</x:v>
      </x:c>
      <x:c r="K121" s="14" t="s">
        <x:v>459</x:v>
      </x:c>
      <x:c r="L121" s="14" t="s">
        <x:v>463</x:v>
      </x:c>
      <x:c r="M121" s="14" t="s">
        <x:v>171</x:v>
      </x:c>
      <x:c r="N121" s="14" t="s">
        <x:v>172</x:v>
      </x:c>
      <x:c r="O121" s="14" t="s">
        <x:v>171</x:v>
      </x:c>
      <x:c r="P121" s="14" t="s">
        <x:v>172</x:v>
      </x:c>
      <x:c r="Q121" s="14" t="s">
        <x:v>172</x:v>
      </x:c>
      <x:c r="R121" s="14" t="s">
        <x:v>188</x:v>
      </x:c>
      <x:c r="S121" s="14" t="s">
        <x:v>174</x:v>
      </x:c>
      <x:c r="T121" s="14" t="s">
        <x:v>464</x:v>
      </x:c>
      <x:c r="U121" s="14" t="s">
        <x:v>172</x:v>
      </x:c>
      <x:c r="V121" s="21" t="s">
        <x:v>176</x:v>
      </x:c>
      <x:c r="W121" s="14" t="str">
        <x:v>独立事件；按本行事实口径计数。</x:v>
      </x:c>
    </x:row>
    <x:row r="122" ht="58" customHeight="1">
      <x:c r="A122" s="12" t="s">
        <x:v>73</x:v>
      </x:c>
      <x:c r="B122" s="12" t="s">
        <x:v>465</x:v>
      </x:c>
      <x:c r="C122" s="12" t="s">
        <x:v>178</x:v>
      </x:c>
      <x:c r="D122" s="12" t="s">
        <x:v>165</x:v>
      </x:c>
      <x:c r="E122" s="12" t="s">
        <x:v>312</x:v>
      </x:c>
      <x:c r="F122" s="12" t="s">
        <x:v>199</x:v>
      </x:c>
      <x:c r="G122" s="12" t="s">
        <x:v>466</x:v>
      </x:c>
      <x:c r="H122" s="12">
        <x:v>0.2</x:v>
      </x:c>
      <x:c r="I122" s="12">
        <x:v>0.2</x:v>
      </x:c>
      <x:c r="J122" s="12" t="s">
        <x:v>168</x:v>
      </x:c>
      <x:c r="K122" s="12" t="s">
        <x:v>463</x:v>
      </x:c>
      <x:c r="L122" s="12" t="s">
        <x:v>467</x:v>
      </x:c>
      <x:c r="M122" s="12" t="s">
        <x:v>171</x:v>
      </x:c>
      <x:c r="N122" s="12" t="s">
        <x:v>172</x:v>
      </x:c>
      <x:c r="O122" s="12" t="s">
        <x:v>172</x:v>
      </x:c>
      <x:c r="P122" s="12" t="s">
        <x:v>171</x:v>
      </x:c>
      <x:c r="Q122" s="12" t="s">
        <x:v>172</x:v>
      </x:c>
      <x:c r="R122" s="12" t="s">
        <x:v>195</x:v>
      </x:c>
      <x:c r="S122" s="12" t="s">
        <x:v>20</x:v>
      </x:c>
      <x:c r="T122" s="12" t="s">
        <x:v>468</x:v>
      </x:c>
      <x:c r="U122" s="12" t="s">
        <x:v>171</x:v>
      </x:c>
      <x:c r="V122" s="21" t="s">
        <x:v>176</x:v>
      </x:c>
      <x:c r="W122" s="12" t="str">
        <x:v>独立事件；按本行事实口径计数。</x:v>
      </x:c>
    </x:row>
    <x:row r="123" ht="58" customHeight="1">
      <x:c r="A123" s="14" t="s">
        <x:v>73</x:v>
      </x:c>
      <x:c r="B123" s="14" t="s">
        <x:v>469</x:v>
      </x:c>
      <x:c r="C123" s="14" t="s">
        <x:v>178</x:v>
      </x:c>
      <x:c r="D123" s="14" t="s">
        <x:v>165</x:v>
      </x:c>
      <x:c r="E123" s="14" t="s">
        <x:v>296</x:v>
      </x:c>
      <x:c r="F123" s="14" t="s">
        <x:v>199</x:v>
      </x:c>
      <x:c r="G123" s="14" t="s">
        <x:v>470</x:v>
      </x:c>
      <x:c r="H123" s="14">
        <x:v>0.1</x:v>
      </x:c>
      <x:c r="I123" s="14">
        <x:v>0.1</x:v>
      </x:c>
      <x:c r="J123" s="14" t="s">
        <x:v>168</x:v>
      </x:c>
      <x:c r="K123" s="14" t="s">
        <x:v>467</x:v>
      </x:c>
      <x:c r="L123" s="14" t="s">
        <x:v>459</x:v>
      </x:c>
      <x:c r="M123" s="14" t="s">
        <x:v>171</x:v>
      </x:c>
      <x:c r="N123" s="14" t="s">
        <x:v>172</x:v>
      </x:c>
      <x:c r="O123" s="14" t="s">
        <x:v>171</x:v>
      </x:c>
      <x:c r="P123" s="14" t="s">
        <x:v>172</x:v>
      </x:c>
      <x:c r="Q123" s="14" t="s">
        <x:v>172</x:v>
      </x:c>
      <x:c r="R123" s="14" t="s">
        <x:v>195</x:v>
      </x:c>
      <x:c r="S123" s="14" t="s">
        <x:v>20</x:v>
      </x:c>
      <x:c r="T123" s="14" t="s">
        <x:v>471</x:v>
      </x:c>
      <x:c r="U123" s="14" t="s">
        <x:v>171</x:v>
      </x:c>
      <x:c r="V123" s="21" t="s">
        <x:v>176</x:v>
      </x:c>
      <x:c r="W123" s="14" t="str">
        <x:v>独立事件；按本行事实口径计数。</x:v>
      </x:c>
    </x:row>
    <x:row r="124" ht="58" customHeight="1">
      <x:c r="A124" s="12" t="s">
        <x:v>73</x:v>
      </x:c>
      <x:c r="B124" s="12" t="s">
        <x:v>472</x:v>
      </x:c>
      <x:c r="C124" s="12" t="s">
        <x:v>178</x:v>
      </x:c>
      <x:c r="D124" s="12" t="s">
        <x:v>165</x:v>
      </x:c>
      <x:c r="E124" s="12" t="s">
        <x:v>296</x:v>
      </x:c>
      <x:c r="F124" s="12" t="s">
        <x:v>199</x:v>
      </x:c>
      <x:c r="G124" s="12" t="s">
        <x:v>473</x:v>
      </x:c>
      <x:c r="H124" s="12">
        <x:v>0.1</x:v>
      </x:c>
      <x:c r="I124" s="12">
        <x:v>0.1</x:v>
      </x:c>
      <x:c r="J124" s="12" t="s">
        <x:v>168</x:v>
      </x:c>
      <x:c r="K124" s="12" t="s">
        <x:v>459</x:v>
      </x:c>
      <x:c r="L124" s="12" t="s">
        <x:v>463</x:v>
      </x:c>
      <x:c r="M124" s="12" t="s">
        <x:v>171</x:v>
      </x:c>
      <x:c r="N124" s="12" t="s">
        <x:v>172</x:v>
      </x:c>
      <x:c r="O124" s="12" t="s">
        <x:v>171</x:v>
      </x:c>
      <x:c r="P124" s="12" t="s">
        <x:v>172</x:v>
      </x:c>
      <x:c r="Q124" s="12" t="s">
        <x:v>172</x:v>
      </x:c>
      <x:c r="R124" s="12" t="s">
        <x:v>195</x:v>
      </x:c>
      <x:c r="S124" s="12" t="s">
        <x:v>20</x:v>
      </x:c>
      <x:c r="T124" s="12" t="s">
        <x:v>474</x:v>
      </x:c>
      <x:c r="U124" s="12" t="s">
        <x:v>171</x:v>
      </x:c>
      <x:c r="V124" s="21" t="s">
        <x:v>176</x:v>
      </x:c>
      <x:c r="W124" s="12" t="str">
        <x:v>独立事件；按本行事实口径计数。</x:v>
      </x:c>
    </x:row>
    <x:row r="125" ht="58" customHeight="1">
      <x:c r="A125" s="14" t="s">
        <x:v>73</x:v>
      </x:c>
      <x:c r="B125" s="14" t="s">
        <x:v>475</x:v>
      </x:c>
      <x:c r="C125" s="14" t="s">
        <x:v>178</x:v>
      </x:c>
      <x:c r="D125" s="14" t="s">
        <x:v>202</x:v>
      </x:c>
      <x:c r="E125" s="14" t="s">
        <x:v>205</x:v>
      </x:c>
      <x:c r="F125" s="14" t="s">
        <x:v>205</x:v>
      </x:c>
      <x:c r="G125" s="14" t="s">
        <x:v>476</x:v>
      </x:c>
      <x:c r="H125" s="14">
        <x:v>0.3</x:v>
      </x:c>
      <x:c r="I125" s="14">
        <x:v>0.3</x:v>
      </x:c>
      <x:c r="J125" s="14" t="str">
        <x:v>已完成</x:v>
      </x:c>
      <x:c r="K125" s="14" t="s">
        <x:v>463</x:v>
      </x:c>
      <x:c r="L125" s="14" t="s">
        <x:v>169</x:v>
      </x:c>
      <x:c r="M125" s="14" t="s">
        <x:v>171</x:v>
      </x:c>
      <x:c r="N125" s="14" t="s">
        <x:v>172</x:v>
      </x:c>
      <x:c r="O125" s="14" t="s">
        <x:v>172</x:v>
      </x:c>
      <x:c r="P125" s="14" t="s">
        <x:v>172</x:v>
      </x:c>
      <x:c r="Q125" s="14" t="s">
        <x:v>172</x:v>
      </x:c>
      <x:c r="R125" s="14" t="str">
        <x:v>相邻记录</x:v>
      </x:c>
      <x:c r="S125" s="14" t="str">
        <x:v>基础订单直接关联</x:v>
      </x:c>
      <x:c r="T125" s="14" t="str">
        <x:v>条件委托已完成；算法编号1000001869832474；创建时间2026-06-05 22:50:05；触发时间2026-06-05 22:55:24；是否触发是；周期关联等级DIRECT_ORDER；取消/过期原因无法确认（已完成为不适用）。</x:v>
      </x:c>
      <x:c r="U125" s="14" t="s">
        <x:v>172</x:v>
      </x:c>
      <x:c r="V125" s="21" t="s">
        <x:v>176</x:v>
      </x:c>
      <x:c r="W125" s="14" t="str">
        <x:v>algorithm_id=1000001869832474；terminal_at=2026-06-05 22:55:24；关联=DIRECT_ORDER</x:v>
      </x:c>
    </x:row>
    <x:row r="126" ht="58" customHeight="1">
      <x:c r="A126" s="12" t="s">
        <x:v>73</x:v>
      </x:c>
      <x:c r="B126" s="12" t="s">
        <x:v>477</x:v>
      </x:c>
      <x:c r="C126" s="12" t="s">
        <x:v>178</x:v>
      </x:c>
      <x:c r="D126" s="12" t="s">
        <x:v>165</x:v>
      </x:c>
      <x:c r="E126" s="12" t="s">
        <x:v>246</x:v>
      </x:c>
      <x:c r="F126" s="12" t="s">
        <x:v>240</x:v>
      </x:c>
      <x:c r="G126" s="12"/>
      <x:c r="H126" s="12">
        <x:v>0.3</x:v>
      </x:c>
      <x:c r="I126" s="12">
        <x:v>0.3</x:v>
      </x:c>
      <x:c r="J126" s="12" t="s">
        <x:v>168</x:v>
      </x:c>
      <x:c r="K126" s="12" t="s">
        <x:v>463</x:v>
      </x:c>
      <x:c r="L126" s="12" t="s">
        <x:v>169</x:v>
      </x:c>
      <x:c r="M126" s="12" t="s">
        <x:v>171</x:v>
      </x:c>
      <x:c r="N126" s="12" t="s">
        <x:v>172</x:v>
      </x:c>
      <x:c r="O126" s="12" t="s">
        <x:v>172</x:v>
      </x:c>
      <x:c r="P126" s="12" t="s">
        <x:v>172</x:v>
      </x:c>
      <x:c r="Q126" s="12" t="s">
        <x:v>171</x:v>
      </x:c>
      <x:c r="R126" s="12" t="s">
        <x:v>195</x:v>
      </x:c>
      <x:c r="S126" s="12" t="s">
        <x:v>20</x:v>
      </x:c>
      <x:c r="T126" s="12" t="s">
        <x:v>478</x:v>
      </x:c>
      <x:c r="U126" s="12" t="s">
        <x:v>171</x:v>
      </x:c>
      <x:c r="V126" s="21" t="s">
        <x:v>176</x:v>
      </x:c>
      <x:c r="W126" s="12" t="str">
        <x:v>本基础单由条件委托触发生成；与条件委托行属于同一触发链，实际动作仅计一次。</x:v>
      </x:c>
    </x:row>
    <x:row r="127" ht="58" customHeight="1">
      <x:c r="A127" s="14" t="s">
        <x:v>73</x:v>
      </x:c>
      <x:c r="B127" s="14" t="s">
        <x:v>477</x:v>
      </x:c>
      <x:c r="C127" s="14" t="s">
        <x:v>211</x:v>
      </x:c>
      <x:c r="D127" s="14" t="s">
        <x:v>212</x:v>
      </x:c>
      <x:c r="E127" s="14" t="s">
        <x:v>213</x:v>
      </x:c>
      <x:c r="F127" s="14"/>
      <x:c r="G127" s="14"/>
      <x:c r="H127" s="14"/>
      <x:c r="I127" s="14"/>
      <x:c r="J127" s="14"/>
      <x:c r="K127" s="14"/>
      <x:c r="L127" s="14"/>
      <x:c r="M127" s="14" t="s">
        <x:v>172</x:v>
      </x:c>
      <x:c r="N127" s="14" t="s">
        <x:v>172</x:v>
      </x:c>
      <x:c r="O127" s="14" t="s">
        <x:v>172</x:v>
      </x:c>
      <x:c r="P127" s="14" t="s">
        <x:v>172</x:v>
      </x:c>
      <x:c r="Q127" s="14" t="s">
        <x:v>172</x:v>
      </x:c>
      <x:c r="R127" s="14"/>
      <x:c r="S127" s="14" t="s">
        <x:v>214</x:v>
      </x:c>
      <x:c r="T127" s="14" t="s">
        <x:v>479</x:v>
      </x:c>
      <x:c r="U127" s="14" t="s">
        <x:v>172</x:v>
      </x:c>
      <x:c r="V127" s="21" t="s">
        <x:v>176</x:v>
      </x:c>
      <x:c r="W127" s="14" t="str">
        <x:v>独立事件；按本行事实口径计数。</x:v>
      </x:c>
    </x:row>
    <x:row r="128" ht="58" customHeight="1">
      <x:c r="A128" s="12" t="s">
        <x:v>74</x:v>
      </x:c>
      <x:c r="B128" s="12" t="s">
        <x:v>480</x:v>
      </x:c>
      <x:c r="C128" s="12" t="s">
        <x:v>164</x:v>
      </x:c>
      <x:c r="D128" s="12" t="s">
        <x:v>184</x:v>
      </x:c>
      <x:c r="E128" s="12" t="s">
        <x:v>14</x:v>
      </x:c>
      <x:c r="F128" s="12" t="s">
        <x:v>185</x:v>
      </x:c>
      <x:c r="G128" s="12" t="s">
        <x:v>481</x:v>
      </x:c>
      <x:c r="H128" s="12">
        <x:v>5</x:v>
      </x:c>
      <x:c r="I128" s="12">
        <x:v>0</x:v>
      </x:c>
      <x:c r="J128" s="12" t="s">
        <x:v>187</x:v>
      </x:c>
      <x:c r="K128" s="12" t="s">
        <x:v>169</x:v>
      </x:c>
      <x:c r="L128" s="12" t="s">
        <x:v>169</x:v>
      </x:c>
      <x:c r="M128" s="12" t="s">
        <x:v>172</x:v>
      </x:c>
      <x:c r="N128" s="12" t="s">
        <x:v>172</x:v>
      </x:c>
      <x:c r="O128" s="12" t="s">
        <x:v>172</x:v>
      </x:c>
      <x:c r="P128" s="12" t="s">
        <x:v>172</x:v>
      </x:c>
      <x:c r="Q128" s="12" t="s">
        <x:v>172</x:v>
      </x:c>
      <x:c r="R128" s="12" t="s">
        <x:v>188</x:v>
      </x:c>
      <x:c r="S128" s="12" t="s">
        <x:v>189</x:v>
      </x:c>
      <x:c r="T128" s="12" t="s">
        <x:v>190</x:v>
      </x:c>
      <x:c r="U128" s="12" t="s">
        <x:v>172</x:v>
      </x:c>
      <x:c r="V128" s="21" t="s">
        <x:v>176</x:v>
      </x:c>
      <x:c r="W128" s="12" t="str">
        <x:v>独立事件；按本行事实口径计数。</x:v>
      </x:c>
    </x:row>
    <x:row r="129" ht="58" customHeight="1">
      <x:c r="A129" s="14" t="s">
        <x:v>74</x:v>
      </x:c>
      <x:c r="B129" s="14" t="s">
        <x:v>482</x:v>
      </x:c>
      <x:c r="C129" s="14" t="s">
        <x:v>164</x:v>
      </x:c>
      <x:c r="D129" s="14" t="s">
        <x:v>184</x:v>
      </x:c>
      <x:c r="E129" s="14" t="s">
        <x:v>14</x:v>
      </x:c>
      <x:c r="F129" s="14" t="s">
        <x:v>185</x:v>
      </x:c>
      <x:c r="G129" s="14" t="s">
        <x:v>483</x:v>
      </x:c>
      <x:c r="H129" s="14">
        <x:v>5</x:v>
      </x:c>
      <x:c r="I129" s="14">
        <x:v>0</x:v>
      </x:c>
      <x:c r="J129" s="14" t="s">
        <x:v>187</x:v>
      </x:c>
      <x:c r="K129" s="14" t="s">
        <x:v>169</x:v>
      </x:c>
      <x:c r="L129" s="14" t="s">
        <x:v>169</x:v>
      </x:c>
      <x:c r="M129" s="14" t="s">
        <x:v>172</x:v>
      </x:c>
      <x:c r="N129" s="14" t="s">
        <x:v>172</x:v>
      </x:c>
      <x:c r="O129" s="14" t="s">
        <x:v>172</x:v>
      </x:c>
      <x:c r="P129" s="14" t="s">
        <x:v>172</x:v>
      </x:c>
      <x:c r="Q129" s="14" t="s">
        <x:v>172</x:v>
      </x:c>
      <x:c r="R129" s="14" t="s">
        <x:v>193</x:v>
      </x:c>
      <x:c r="S129" s="14" t="s">
        <x:v>189</x:v>
      </x:c>
      <x:c r="T129" s="14" t="s">
        <x:v>190</x:v>
      </x:c>
      <x:c r="U129" s="14" t="s">
        <x:v>172</x:v>
      </x:c>
      <x:c r="V129" s="21" t="s">
        <x:v>176</x:v>
      </x:c>
      <x:c r="W129" s="14" t="str">
        <x:v>独立事件；按本行事实口径计数。</x:v>
      </x:c>
    </x:row>
    <x:row r="130" ht="58" customHeight="1">
      <x:c r="A130" s="12" t="s">
        <x:v>74</x:v>
      </x:c>
      <x:c r="B130" s="12" t="s">
        <x:v>484</x:v>
      </x:c>
      <x:c r="C130" s="12" t="s">
        <x:v>164</x:v>
      </x:c>
      <x:c r="D130" s="12" t="s">
        <x:v>184</x:v>
      </x:c>
      <x:c r="E130" s="12" t="s">
        <x:v>14</x:v>
      </x:c>
      <x:c r="F130" s="12" t="s">
        <x:v>185</x:v>
      </x:c>
      <x:c r="G130" s="12" t="s">
        <x:v>485</x:v>
      </x:c>
      <x:c r="H130" s="12">
        <x:v>4.755</x:v>
      </x:c>
      <x:c r="I130" s="12">
        <x:v>0</x:v>
      </x:c>
      <x:c r="J130" s="12" t="s">
        <x:v>187</x:v>
      </x:c>
      <x:c r="K130" s="12" t="s">
        <x:v>169</x:v>
      </x:c>
      <x:c r="L130" s="12" t="s">
        <x:v>169</x:v>
      </x:c>
      <x:c r="M130" s="12" t="s">
        <x:v>172</x:v>
      </x:c>
      <x:c r="N130" s="12" t="s">
        <x:v>172</x:v>
      </x:c>
      <x:c r="O130" s="12" t="s">
        <x:v>172</x:v>
      </x:c>
      <x:c r="P130" s="12" t="s">
        <x:v>172</x:v>
      </x:c>
      <x:c r="Q130" s="12" t="s">
        <x:v>172</x:v>
      </x:c>
      <x:c r="R130" s="12" t="s">
        <x:v>193</x:v>
      </x:c>
      <x:c r="S130" s="12" t="s">
        <x:v>189</x:v>
      </x:c>
      <x:c r="T130" s="12" t="s">
        <x:v>190</x:v>
      </x:c>
      <x:c r="U130" s="12" t="s">
        <x:v>172</x:v>
      </x:c>
      <x:c r="V130" s="21" t="s">
        <x:v>176</x:v>
      </x:c>
      <x:c r="W130" s="12" t="str">
        <x:v>独立事件；按本行事实口径计数。</x:v>
      </x:c>
    </x:row>
    <x:row r="131" ht="58" customHeight="1">
      <x:c r="A131" s="14" t="s">
        <x:v>74</x:v>
      </x:c>
      <x:c r="B131" s="14" t="s">
        <x:v>486</x:v>
      </x:c>
      <x:c r="C131" s="14" t="s">
        <x:v>164</x:v>
      </x:c>
      <x:c r="D131" s="14" t="s">
        <x:v>184</x:v>
      </x:c>
      <x:c r="E131" s="14" t="s">
        <x:v>14</x:v>
      </x:c>
      <x:c r="F131" s="14" t="s">
        <x:v>185</x:v>
      </x:c>
      <x:c r="G131" s="14" t="s">
        <x:v>433</x:v>
      </x:c>
      <x:c r="H131" s="14">
        <x:v>4.5</x:v>
      </x:c>
      <x:c r="I131" s="14">
        <x:v>0</x:v>
      </x:c>
      <x:c r="J131" s="14" t="s">
        <x:v>187</x:v>
      </x:c>
      <x:c r="K131" s="14" t="s">
        <x:v>169</x:v>
      </x:c>
      <x:c r="L131" s="14" t="s">
        <x:v>169</x:v>
      </x:c>
      <x:c r="M131" s="14" t="s">
        <x:v>172</x:v>
      </x:c>
      <x:c r="N131" s="14" t="s">
        <x:v>172</x:v>
      </x:c>
      <x:c r="O131" s="14" t="s">
        <x:v>172</x:v>
      </x:c>
      <x:c r="P131" s="14" t="s">
        <x:v>172</x:v>
      </x:c>
      <x:c r="Q131" s="14" t="s">
        <x:v>172</x:v>
      </x:c>
      <x:c r="R131" s="14" t="s">
        <x:v>193</x:v>
      </x:c>
      <x:c r="S131" s="14" t="s">
        <x:v>189</x:v>
      </x:c>
      <x:c r="T131" s="14" t="s">
        <x:v>190</x:v>
      </x:c>
      <x:c r="U131" s="14" t="s">
        <x:v>172</x:v>
      </x:c>
      <x:c r="V131" s="21" t="s">
        <x:v>176</x:v>
      </x:c>
      <x:c r="W131" s="14" t="str">
        <x:v>独立事件；按本行事实口径计数。</x:v>
      </x:c>
    </x:row>
    <x:row r="132" ht="58" customHeight="1">
      <x:c r="A132" s="12" t="s">
        <x:v>74</x:v>
      </x:c>
      <x:c r="B132" s="12" t="s">
        <x:v>487</x:v>
      </x:c>
      <x:c r="C132" s="12" t="s">
        <x:v>164</x:v>
      </x:c>
      <x:c r="D132" s="12" t="s">
        <x:v>184</x:v>
      </x:c>
      <x:c r="E132" s="12" t="s">
        <x:v>14</x:v>
      </x:c>
      <x:c r="F132" s="12" t="s">
        <x:v>185</x:v>
      </x:c>
      <x:c r="G132" s="12" t="s">
        <x:v>488</x:v>
      </x:c>
      <x:c r="H132" s="12">
        <x:v>4.5</x:v>
      </x:c>
      <x:c r="I132" s="12">
        <x:v>0</x:v>
      </x:c>
      <x:c r="J132" s="12" t="s">
        <x:v>187</x:v>
      </x:c>
      <x:c r="K132" s="12" t="s">
        <x:v>169</x:v>
      </x:c>
      <x:c r="L132" s="12" t="s">
        <x:v>169</x:v>
      </x:c>
      <x:c r="M132" s="12" t="s">
        <x:v>172</x:v>
      </x:c>
      <x:c r="N132" s="12" t="s">
        <x:v>172</x:v>
      </x:c>
      <x:c r="O132" s="12" t="s">
        <x:v>172</x:v>
      </x:c>
      <x:c r="P132" s="12" t="s">
        <x:v>172</x:v>
      </x:c>
      <x:c r="Q132" s="12" t="s">
        <x:v>172</x:v>
      </x:c>
      <x:c r="R132" s="12" t="s">
        <x:v>193</x:v>
      </x:c>
      <x:c r="S132" s="12" t="s">
        <x:v>189</x:v>
      </x:c>
      <x:c r="T132" s="12" t="s">
        <x:v>190</x:v>
      </x:c>
      <x:c r="U132" s="12" t="s">
        <x:v>172</x:v>
      </x:c>
      <x:c r="V132" s="21" t="s">
        <x:v>176</x:v>
      </x:c>
      <x:c r="W132" s="12" t="str">
        <x:v>独立事件；按本行事实口径计数。</x:v>
      </x:c>
    </x:row>
    <x:row r="133" ht="58" customHeight="1">
      <x:c r="A133" s="14" t="s">
        <x:v>74</x:v>
      </x:c>
      <x:c r="B133" s="14" t="s">
        <x:v>489</x:v>
      </x:c>
      <x:c r="C133" s="14" t="s">
        <x:v>164</x:v>
      </x:c>
      <x:c r="D133" s="14" t="s">
        <x:v>184</x:v>
      </x:c>
      <x:c r="E133" s="14" t="s">
        <x:v>14</x:v>
      </x:c>
      <x:c r="F133" s="14" t="s">
        <x:v>185</x:v>
      </x:c>
      <x:c r="G133" s="14" t="s">
        <x:v>490</x:v>
      </x:c>
      <x:c r="H133" s="14">
        <x:v>5.5</x:v>
      </x:c>
      <x:c r="I133" s="14">
        <x:v>0</x:v>
      </x:c>
      <x:c r="J133" s="14" t="s">
        <x:v>187</x:v>
      </x:c>
      <x:c r="K133" s="14" t="s">
        <x:v>169</x:v>
      </x:c>
      <x:c r="L133" s="14" t="s">
        <x:v>169</x:v>
      </x:c>
      <x:c r="M133" s="14" t="s">
        <x:v>172</x:v>
      </x:c>
      <x:c r="N133" s="14" t="s">
        <x:v>172</x:v>
      </x:c>
      <x:c r="O133" s="14" t="s">
        <x:v>172</x:v>
      </x:c>
      <x:c r="P133" s="14" t="s">
        <x:v>172</x:v>
      </x:c>
      <x:c r="Q133" s="14" t="s">
        <x:v>172</x:v>
      </x:c>
      <x:c r="R133" s="14" t="s">
        <x:v>193</x:v>
      </x:c>
      <x:c r="S133" s="14" t="s">
        <x:v>189</x:v>
      </x:c>
      <x:c r="T133" s="14" t="s">
        <x:v>190</x:v>
      </x:c>
      <x:c r="U133" s="14" t="s">
        <x:v>172</x:v>
      </x:c>
      <x:c r="V133" s="21" t="s">
        <x:v>176</x:v>
      </x:c>
      <x:c r="W133" s="14" t="str">
        <x:v>独立事件；按本行事实口径计数。</x:v>
      </x:c>
    </x:row>
    <x:row r="134" ht="58" customHeight="1">
      <x:c r="A134" s="12" t="s">
        <x:v>74</x:v>
      </x:c>
      <x:c r="B134" s="12" t="s">
        <x:v>491</x:v>
      </x:c>
      <x:c r="C134" s="12" t="s">
        <x:v>164</x:v>
      </x:c>
      <x:c r="D134" s="12" t="s">
        <x:v>184</x:v>
      </x:c>
      <x:c r="E134" s="12" t="s">
        <x:v>14</x:v>
      </x:c>
      <x:c r="F134" s="12" t="s">
        <x:v>185</x:v>
      </x:c>
      <x:c r="G134" s="12" t="s">
        <x:v>492</x:v>
      </x:c>
      <x:c r="H134" s="12">
        <x:v>5.5</x:v>
      </x:c>
      <x:c r="I134" s="12">
        <x:v>0</x:v>
      </x:c>
      <x:c r="J134" s="12" t="s">
        <x:v>187</x:v>
      </x:c>
      <x:c r="K134" s="12" t="s">
        <x:v>169</x:v>
      </x:c>
      <x:c r="L134" s="12" t="s">
        <x:v>169</x:v>
      </x:c>
      <x:c r="M134" s="12" t="s">
        <x:v>172</x:v>
      </x:c>
      <x:c r="N134" s="12" t="s">
        <x:v>172</x:v>
      </x:c>
      <x:c r="O134" s="12" t="s">
        <x:v>172</x:v>
      </x:c>
      <x:c r="P134" s="12" t="s">
        <x:v>172</x:v>
      </x:c>
      <x:c r="Q134" s="12" t="s">
        <x:v>172</x:v>
      </x:c>
      <x:c r="R134" s="12" t="s">
        <x:v>193</x:v>
      </x:c>
      <x:c r="S134" s="12" t="s">
        <x:v>189</x:v>
      </x:c>
      <x:c r="T134" s="12" t="s">
        <x:v>190</x:v>
      </x:c>
      <x:c r="U134" s="12" t="s">
        <x:v>172</x:v>
      </x:c>
      <x:c r="V134" s="21" t="s">
        <x:v>176</x:v>
      </x:c>
      <x:c r="W134" s="12" t="str">
        <x:v>独立事件；按本行事实口径计数。</x:v>
      </x:c>
    </x:row>
    <x:row r="135" ht="58" customHeight="1">
      <x:c r="A135" s="14" t="s">
        <x:v>74</x:v>
      </x:c>
      <x:c r="B135" s="14" t="s">
        <x:v>493</x:v>
      </x:c>
      <x:c r="C135" s="14" t="s">
        <x:v>164</x:v>
      </x:c>
      <x:c r="D135" s="14" t="s">
        <x:v>184</x:v>
      </x:c>
      <x:c r="E135" s="14" t="s">
        <x:v>14</x:v>
      </x:c>
      <x:c r="F135" s="14" t="s">
        <x:v>185</x:v>
      </x:c>
      <x:c r="G135" s="14" t="s">
        <x:v>494</x:v>
      </x:c>
      <x:c r="H135" s="14">
        <x:v>5.5</x:v>
      </x:c>
      <x:c r="I135" s="14">
        <x:v>0</x:v>
      </x:c>
      <x:c r="J135" s="14" t="s">
        <x:v>187</x:v>
      </x:c>
      <x:c r="K135" s="14" t="s">
        <x:v>169</x:v>
      </x:c>
      <x:c r="L135" s="14" t="s">
        <x:v>169</x:v>
      </x:c>
      <x:c r="M135" s="14" t="s">
        <x:v>172</x:v>
      </x:c>
      <x:c r="N135" s="14" t="s">
        <x:v>172</x:v>
      </x:c>
      <x:c r="O135" s="14" t="s">
        <x:v>172</x:v>
      </x:c>
      <x:c r="P135" s="14" t="s">
        <x:v>172</x:v>
      </x:c>
      <x:c r="Q135" s="14" t="s">
        <x:v>172</x:v>
      </x:c>
      <x:c r="R135" s="14" t="s">
        <x:v>193</x:v>
      </x:c>
      <x:c r="S135" s="14" t="s">
        <x:v>189</x:v>
      </x:c>
      <x:c r="T135" s="14" t="s">
        <x:v>190</x:v>
      </x:c>
      <x:c r="U135" s="14" t="s">
        <x:v>172</x:v>
      </x:c>
      <x:c r="V135" s="21" t="s">
        <x:v>176</x:v>
      </x:c>
      <x:c r="W135" s="14" t="str">
        <x:v>独立事件；按本行事实口径计数。</x:v>
      </x:c>
    </x:row>
    <x:row r="136" ht="58" customHeight="1">
      <x:c r="A136" s="12" t="s">
        <x:v>74</x:v>
      </x:c>
      <x:c r="B136" s="12" t="s">
        <x:v>495</x:v>
      </x:c>
      <x:c r="C136" s="12" t="s">
        <x:v>164</x:v>
      </x:c>
      <x:c r="D136" s="12" t="s">
        <x:v>184</x:v>
      </x:c>
      <x:c r="E136" s="12" t="s">
        <x:v>14</x:v>
      </x:c>
      <x:c r="F136" s="12" t="s">
        <x:v>185</x:v>
      </x:c>
      <x:c r="G136" s="12" t="s">
        <x:v>496</x:v>
      </x:c>
      <x:c r="H136" s="12">
        <x:v>5.69</x:v>
      </x:c>
      <x:c r="I136" s="12">
        <x:v>0</x:v>
      </x:c>
      <x:c r="J136" s="12" t="s">
        <x:v>187</x:v>
      </x:c>
      <x:c r="K136" s="12" t="s">
        <x:v>169</x:v>
      </x:c>
      <x:c r="L136" s="12" t="s">
        <x:v>169</x:v>
      </x:c>
      <x:c r="M136" s="12" t="s">
        <x:v>172</x:v>
      </x:c>
      <x:c r="N136" s="12" t="s">
        <x:v>172</x:v>
      </x:c>
      <x:c r="O136" s="12" t="s">
        <x:v>172</x:v>
      </x:c>
      <x:c r="P136" s="12" t="s">
        <x:v>172</x:v>
      </x:c>
      <x:c r="Q136" s="12" t="s">
        <x:v>172</x:v>
      </x:c>
      <x:c r="R136" s="12" t="s">
        <x:v>193</x:v>
      </x:c>
      <x:c r="S136" s="12" t="s">
        <x:v>189</x:v>
      </x:c>
      <x:c r="T136" s="12" t="s">
        <x:v>190</x:v>
      </x:c>
      <x:c r="U136" s="12" t="s">
        <x:v>172</x:v>
      </x:c>
      <x:c r="V136" s="21" t="s">
        <x:v>176</x:v>
      </x:c>
      <x:c r="W136" s="12" t="str">
        <x:v>独立事件；按本行事实口径计数。</x:v>
      </x:c>
    </x:row>
    <x:row r="137" ht="58" customHeight="1">
      <x:c r="A137" s="14" t="s">
        <x:v>74</x:v>
      </x:c>
      <x:c r="B137" s="14" t="s">
        <x:v>497</x:v>
      </x:c>
      <x:c r="C137" s="14" t="s">
        <x:v>164</x:v>
      </x:c>
      <x:c r="D137" s="14" t="s">
        <x:v>184</x:v>
      </x:c>
      <x:c r="E137" s="14" t="s">
        <x:v>14</x:v>
      </x:c>
      <x:c r="F137" s="14" t="s">
        <x:v>185</x:v>
      </x:c>
      <x:c r="G137" s="14" t="s">
        <x:v>498</x:v>
      </x:c>
      <x:c r="H137" s="14">
        <x:v>5.5</x:v>
      </x:c>
      <x:c r="I137" s="14">
        <x:v>0</x:v>
      </x:c>
      <x:c r="J137" s="14" t="s">
        <x:v>187</x:v>
      </x:c>
      <x:c r="K137" s="14" t="s">
        <x:v>169</x:v>
      </x:c>
      <x:c r="L137" s="14" t="s">
        <x:v>169</x:v>
      </x:c>
      <x:c r="M137" s="14" t="s">
        <x:v>172</x:v>
      </x:c>
      <x:c r="N137" s="14" t="s">
        <x:v>172</x:v>
      </x:c>
      <x:c r="O137" s="14" t="s">
        <x:v>172</x:v>
      </x:c>
      <x:c r="P137" s="14" t="s">
        <x:v>172</x:v>
      </x:c>
      <x:c r="Q137" s="14" t="s">
        <x:v>172</x:v>
      </x:c>
      <x:c r="R137" s="14" t="s">
        <x:v>193</x:v>
      </x:c>
      <x:c r="S137" s="14" t="s">
        <x:v>189</x:v>
      </x:c>
      <x:c r="T137" s="14" t="s">
        <x:v>190</x:v>
      </x:c>
      <x:c r="U137" s="14" t="s">
        <x:v>172</x:v>
      </x:c>
      <x:c r="V137" s="21" t="s">
        <x:v>176</x:v>
      </x:c>
      <x:c r="W137" s="14" t="str">
        <x:v>独立事件；按本行事实口径计数。</x:v>
      </x:c>
    </x:row>
    <x:row r="138" ht="58" customHeight="1">
      <x:c r="A138" s="12" t="s">
        <x:v>74</x:v>
      </x:c>
      <x:c r="B138" s="12" t="s">
        <x:v>499</x:v>
      </x:c>
      <x:c r="C138" s="12" t="s">
        <x:v>164</x:v>
      </x:c>
      <x:c r="D138" s="12" t="s">
        <x:v>184</x:v>
      </x:c>
      <x:c r="E138" s="12" t="s">
        <x:v>14</x:v>
      </x:c>
      <x:c r="F138" s="12" t="s">
        <x:v>185</x:v>
      </x:c>
      <x:c r="G138" s="12" t="s">
        <x:v>500</x:v>
      </x:c>
      <x:c r="H138" s="12">
        <x:v>5.5</x:v>
      </x:c>
      <x:c r="I138" s="12">
        <x:v>0</x:v>
      </x:c>
      <x:c r="J138" s="12" t="s">
        <x:v>187</x:v>
      </x:c>
      <x:c r="K138" s="12" t="s">
        <x:v>169</x:v>
      </x:c>
      <x:c r="L138" s="12" t="s">
        <x:v>169</x:v>
      </x:c>
      <x:c r="M138" s="12" t="s">
        <x:v>172</x:v>
      </x:c>
      <x:c r="N138" s="12" t="s">
        <x:v>172</x:v>
      </x:c>
      <x:c r="O138" s="12" t="s">
        <x:v>172</x:v>
      </x:c>
      <x:c r="P138" s="12" t="s">
        <x:v>172</x:v>
      </x:c>
      <x:c r="Q138" s="12" t="s">
        <x:v>172</x:v>
      </x:c>
      <x:c r="R138" s="12" t="s">
        <x:v>193</x:v>
      </x:c>
      <x:c r="S138" s="12" t="s">
        <x:v>189</x:v>
      </x:c>
      <x:c r="T138" s="12" t="s">
        <x:v>190</x:v>
      </x:c>
      <x:c r="U138" s="12" t="s">
        <x:v>172</x:v>
      </x:c>
      <x:c r="V138" s="21" t="s">
        <x:v>176</x:v>
      </x:c>
      <x:c r="W138" s="12" t="str">
        <x:v>独立事件；按本行事实口径计数。</x:v>
      </x:c>
    </x:row>
    <x:row r="139" ht="58" customHeight="1">
      <x:c r="A139" s="14" t="s">
        <x:v>74</x:v>
      </x:c>
      <x:c r="B139" s="14" t="s">
        <x:v>501</x:v>
      </x:c>
      <x:c r="C139" s="14" t="s">
        <x:v>164</x:v>
      </x:c>
      <x:c r="D139" s="14" t="s">
        <x:v>165</x:v>
      </x:c>
      <x:c r="E139" s="14" t="s">
        <x:v>198</x:v>
      </x:c>
      <x:c r="F139" s="14" t="s">
        <x:v>199</x:v>
      </x:c>
      <x:c r="G139" s="14" t="s">
        <x:v>502</x:v>
      </x:c>
      <x:c r="H139" s="14">
        <x:v>5</x:v>
      </x:c>
      <x:c r="I139" s="14">
        <x:v>5</x:v>
      </x:c>
      <x:c r="J139" s="14" t="s">
        <x:v>168</x:v>
      </x:c>
      <x:c r="K139" s="14" t="s">
        <x:v>169</x:v>
      </x:c>
      <x:c r="L139" s="14" t="s">
        <x:v>314</x:v>
      </x:c>
      <x:c r="M139" s="14" t="s">
        <x:v>171</x:v>
      </x:c>
      <x:c r="N139" s="14" t="s">
        <x:v>171</x:v>
      </x:c>
      <x:c r="O139" s="14" t="s">
        <x:v>172</x:v>
      </x:c>
      <x:c r="P139" s="14" t="s">
        <x:v>172</x:v>
      </x:c>
      <x:c r="Q139" s="14" t="s">
        <x:v>172</x:v>
      </x:c>
      <x:c r="R139" s="14" t="s">
        <x:v>193</x:v>
      </x:c>
      <x:c r="S139" s="14" t="s">
        <x:v>189</x:v>
      </x:c>
      <x:c r="T139" s="14" t="s">
        <x:v>503</x:v>
      </x:c>
      <x:c r="U139" s="14" t="s">
        <x:v>172</x:v>
      </x:c>
      <x:c r="V139" s="21" t="s">
        <x:v>176</x:v>
      </x:c>
      <x:c r="W139" s="14" t="str">
        <x:v>独立事件；按本行事实口径计数。</x:v>
      </x:c>
    </x:row>
    <x:row r="140" ht="58" customHeight="1">
      <x:c r="A140" s="12" t="s">
        <x:v>74</x:v>
      </x:c>
      <x:c r="B140" s="12" t="s">
        <x:v>504</x:v>
      </x:c>
      <x:c r="C140" s="12" t="s">
        <x:v>178</x:v>
      </x:c>
      <x:c r="D140" s="12" t="s">
        <x:v>202</x:v>
      </x:c>
      <x:c r="E140" s="12" t="s">
        <x:v>203</x:v>
      </x:c>
      <x:c r="F140" s="12" t="s">
        <x:v>203</x:v>
      </x:c>
      <x:c r="G140" s="12" t="s">
        <x:v>505</x:v>
      </x:c>
      <x:c r="H140" s="12">
        <x:v>0</x:v>
      </x:c>
      <x:c r="I140" s="12">
        <x:v>0</x:v>
      </x:c>
      <x:c r="J140" s="12" t="str">
        <x:v>已取消</x:v>
      </x:c>
      <x:c r="K140" s="12"/>
      <x:c r="L140" s="12"/>
      <x:c r="M140" s="12" t="s">
        <x:v>172</x:v>
      </x:c>
      <x:c r="N140" s="12" t="s">
        <x:v>172</x:v>
      </x:c>
      <x:c r="O140" s="12" t="s">
        <x:v>172</x:v>
      </x:c>
      <x:c r="P140" s="12" t="s">
        <x:v>172</x:v>
      </x:c>
      <x:c r="Q140" s="12" t="s">
        <x:v>172</x:v>
      </x:c>
      <x:c r="R140" s="12" t="str">
        <x:v>疑似连续调整</x:v>
      </x:c>
      <x:c r="S140" s="12" t="str">
        <x:v>平台直接字段</x:v>
      </x:c>
      <x:c r="T140" s="12" t="str">
        <x:v>条件委托已取消；算法编号1000001993332450；创建时间2026-06-17 21:39:24；撤销时间2026-06-17 22:49:38；是否触发否；周期关联等级STRONG_CONTEXT；取消/过期原因无法确认（已完成为不适用）。</x:v>
      </x:c>
      <x:c r="U140" s="12" t="s">
        <x:v>172</x:v>
      </x:c>
      <x:c r="V140" s="21" t="s">
        <x:v>176</x:v>
      </x:c>
      <x:c r="W140" s="12" t="str">
        <x:v>algorithm_id=1000001993332450；terminal_at=2026-06-17 22:49:38；关联=STRONG_CONTEXT</x:v>
      </x:c>
    </x:row>
    <x:row r="141" ht="58" customHeight="1">
      <x:c r="A141" s="14" t="s">
        <x:v>74</x:v>
      </x:c>
      <x:c r="B141" s="14" t="s">
        <x:v>504</x:v>
      </x:c>
      <x:c r="C141" s="14" t="s">
        <x:v>178</x:v>
      </x:c>
      <x:c r="D141" s="14" t="s">
        <x:v>202</x:v>
      </x:c>
      <x:c r="E141" s="14" t="s">
        <x:v>205</x:v>
      </x:c>
      <x:c r="F141" s="14" t="s">
        <x:v>205</x:v>
      </x:c>
      <x:c r="G141" s="14" t="s">
        <x:v>506</x:v>
      </x:c>
      <x:c r="H141" s="14">
        <x:v>0</x:v>
      </x:c>
      <x:c r="I141" s="14">
        <x:v>0</x:v>
      </x:c>
      <x:c r="J141" s="14" t="str">
        <x:v>已取消</x:v>
      </x:c>
      <x:c r="K141" s="14"/>
      <x:c r="L141" s="14"/>
      <x:c r="M141" s="14" t="s">
        <x:v>172</x:v>
      </x:c>
      <x:c r="N141" s="14" t="s">
        <x:v>172</x:v>
      </x:c>
      <x:c r="O141" s="14" t="s">
        <x:v>172</x:v>
      </x:c>
      <x:c r="P141" s="14" t="s">
        <x:v>172</x:v>
      </x:c>
      <x:c r="Q141" s="14" t="s">
        <x:v>172</x:v>
      </x:c>
      <x:c r="R141" s="14" t="str">
        <x:v>疑似连续调整</x:v>
      </x:c>
      <x:c r="S141" s="14" t="str">
        <x:v>平台直接字段</x:v>
      </x:c>
      <x:c r="T141" s="14" t="str">
        <x:v>条件委托已取消；算法编号1000001993332450；创建时间2026-06-17 21:39:24；撤销时间2026-06-17 22:49:38；是否触发否；周期关联等级STRONG_CONTEXT；取消/过期原因无法确认（已完成为不适用）。</x:v>
      </x:c>
      <x:c r="U141" s="14" t="s">
        <x:v>172</x:v>
      </x:c>
      <x:c r="V141" s="21" t="s">
        <x:v>176</x:v>
      </x:c>
      <x:c r="W141" s="14" t="str">
        <x:v>algorithm_id=1000001993332450；terminal_at=2026-06-17 22:49:38；关联=STRONG_CONTEXT</x:v>
      </x:c>
    </x:row>
    <x:row r="142" ht="58" customHeight="1">
      <x:c r="A142" s="12" t="s">
        <x:v>74</x:v>
      </x:c>
      <x:c r="B142" s="12" t="s">
        <x:v>507</x:v>
      </x:c>
      <x:c r="C142" s="12" t="s">
        <x:v>178</x:v>
      </x:c>
      <x:c r="D142" s="12" t="s">
        <x:v>184</x:v>
      </x:c>
      <x:c r="E142" s="12" t="s">
        <x:v>223</x:v>
      </x:c>
      <x:c r="F142" s="12" t="s">
        <x:v>185</x:v>
      </x:c>
      <x:c r="G142" s="12" t="s">
        <x:v>508</x:v>
      </x:c>
      <x:c r="H142" s="12">
        <x:v>10</x:v>
      </x:c>
      <x:c r="I142" s="12">
        <x:v>0</x:v>
      </x:c>
      <x:c r="J142" s="12" t="s">
        <x:v>187</x:v>
      </x:c>
      <x:c r="K142" s="12" t="s">
        <x:v>314</x:v>
      </x:c>
      <x:c r="L142" s="12" t="s">
        <x:v>314</x:v>
      </x:c>
      <x:c r="M142" s="12" t="s">
        <x:v>172</x:v>
      </x:c>
      <x:c r="N142" s="12" t="s">
        <x:v>172</x:v>
      </x:c>
      <x:c r="O142" s="12" t="s">
        <x:v>172</x:v>
      </x:c>
      <x:c r="P142" s="12" t="s">
        <x:v>172</x:v>
      </x:c>
      <x:c r="Q142" s="12" t="s">
        <x:v>172</x:v>
      </x:c>
      <x:c r="R142" s="12" t="s">
        <x:v>188</x:v>
      </x:c>
      <x:c r="S142" s="12" t="s">
        <x:v>189</x:v>
      </x:c>
      <x:c r="T142" s="12" t="s">
        <x:v>509</x:v>
      </x:c>
      <x:c r="U142" s="12" t="s">
        <x:v>172</x:v>
      </x:c>
      <x:c r="V142" s="21" t="s">
        <x:v>176</x:v>
      </x:c>
      <x:c r="W142" s="12" t="str">
        <x:v>独立事件；按本行事实口径计数。</x:v>
      </x:c>
    </x:row>
    <x:row r="143" ht="58" customHeight="1">
      <x:c r="A143" s="14" t="s">
        <x:v>74</x:v>
      </x:c>
      <x:c r="B143" s="14" t="s">
        <x:v>510</x:v>
      </x:c>
      <x:c r="C143" s="14" t="s">
        <x:v>178</x:v>
      </x:c>
      <x:c r="D143" s="14" t="s">
        <x:v>184</x:v>
      </x:c>
      <x:c r="E143" s="14" t="s">
        <x:v>223</x:v>
      </x:c>
      <x:c r="F143" s="14" t="s">
        <x:v>185</x:v>
      </x:c>
      <x:c r="G143" s="14" t="s">
        <x:v>508</x:v>
      </x:c>
      <x:c r="H143" s="14">
        <x:v>5</x:v>
      </x:c>
      <x:c r="I143" s="14">
        <x:v>0</x:v>
      </x:c>
      <x:c r="J143" s="14" t="s">
        <x:v>187</x:v>
      </x:c>
      <x:c r="K143" s="14" t="s">
        <x:v>314</x:v>
      </x:c>
      <x:c r="L143" s="14" t="s">
        <x:v>314</x:v>
      </x:c>
      <x:c r="M143" s="14" t="s">
        <x:v>172</x:v>
      </x:c>
      <x:c r="N143" s="14" t="s">
        <x:v>172</x:v>
      </x:c>
      <x:c r="O143" s="14" t="s">
        <x:v>172</x:v>
      </x:c>
      <x:c r="P143" s="14" t="s">
        <x:v>172</x:v>
      </x:c>
      <x:c r="Q143" s="14" t="s">
        <x:v>172</x:v>
      </x:c>
      <x:c r="R143" s="14" t="s">
        <x:v>193</x:v>
      </x:c>
      <x:c r="S143" s="14" t="s">
        <x:v>189</x:v>
      </x:c>
      <x:c r="T143" s="14" t="s">
        <x:v>509</x:v>
      </x:c>
      <x:c r="U143" s="14" t="s">
        <x:v>172</x:v>
      </x:c>
      <x:c r="V143" s="21" t="s">
        <x:v>176</x:v>
      </x:c>
      <x:c r="W143" s="14" t="str">
        <x:v>独立事件；按本行事实口径计数。</x:v>
      </x:c>
    </x:row>
    <x:row r="144" ht="58" customHeight="1">
      <x:c r="A144" s="12" t="s">
        <x:v>74</x:v>
      </x:c>
      <x:c r="B144" s="12" t="s">
        <x:v>511</x:v>
      </x:c>
      <x:c r="C144" s="12" t="s">
        <x:v>178</x:v>
      </x:c>
      <x:c r="D144" s="12" t="s">
        <x:v>184</x:v>
      </x:c>
      <x:c r="E144" s="12" t="s">
        <x:v>223</x:v>
      </x:c>
      <x:c r="F144" s="12" t="s">
        <x:v>185</x:v>
      </x:c>
      <x:c r="G144" s="12" t="s">
        <x:v>512</x:v>
      </x:c>
      <x:c r="H144" s="12">
        <x:v>5</x:v>
      </x:c>
      <x:c r="I144" s="12">
        <x:v>0</x:v>
      </x:c>
      <x:c r="J144" s="12" t="s">
        <x:v>187</x:v>
      </x:c>
      <x:c r="K144" s="12" t="s">
        <x:v>314</x:v>
      </x:c>
      <x:c r="L144" s="12" t="s">
        <x:v>314</x:v>
      </x:c>
      <x:c r="M144" s="12" t="s">
        <x:v>172</x:v>
      </x:c>
      <x:c r="N144" s="12" t="s">
        <x:v>172</x:v>
      </x:c>
      <x:c r="O144" s="12" t="s">
        <x:v>172</x:v>
      </x:c>
      <x:c r="P144" s="12" t="s">
        <x:v>172</x:v>
      </x:c>
      <x:c r="Q144" s="12" t="s">
        <x:v>172</x:v>
      </x:c>
      <x:c r="R144" s="12" t="s">
        <x:v>193</x:v>
      </x:c>
      <x:c r="S144" s="12" t="s">
        <x:v>189</x:v>
      </x:c>
      <x:c r="T144" s="12" t="s">
        <x:v>509</x:v>
      </x:c>
      <x:c r="U144" s="12" t="s">
        <x:v>172</x:v>
      </x:c>
      <x:c r="V144" s="21" t="s">
        <x:v>176</x:v>
      </x:c>
      <x:c r="W144" s="12" t="str">
        <x:v>独立事件；按本行事实口径计数。</x:v>
      </x:c>
    </x:row>
    <x:row r="145" ht="58" customHeight="1">
      <x:c r="A145" s="14" t="s">
        <x:v>74</x:v>
      </x:c>
      <x:c r="B145" s="14" t="s">
        <x:v>513</x:v>
      </x:c>
      <x:c r="C145" s="14" t="s">
        <x:v>178</x:v>
      </x:c>
      <x:c r="D145" s="14" t="s">
        <x:v>202</x:v>
      </x:c>
      <x:c r="E145" s="14" t="s">
        <x:v>205</x:v>
      </x:c>
      <x:c r="F145" s="14" t="s">
        <x:v>205</x:v>
      </x:c>
      <x:c r="G145" s="14" t="s">
        <x:v>514</x:v>
      </x:c>
      <x:c r="H145" s="14">
        <x:v>0</x:v>
      </x:c>
      <x:c r="I145" s="14">
        <x:v>0</x:v>
      </x:c>
      <x:c r="J145" s="14" t="str">
        <x:v>已取消</x:v>
      </x:c>
      <x:c r="K145" s="14"/>
      <x:c r="L145" s="14"/>
      <x:c r="M145" s="14" t="s">
        <x:v>172</x:v>
      </x:c>
      <x:c r="N145" s="14" t="s">
        <x:v>172</x:v>
      </x:c>
      <x:c r="O145" s="14" t="s">
        <x:v>172</x:v>
      </x:c>
      <x:c r="P145" s="14" t="s">
        <x:v>172</x:v>
      </x:c>
      <x:c r="Q145" s="14" t="s">
        <x:v>172</x:v>
      </x:c>
      <x:c r="R145" s="14" t="str">
        <x:v>疑似连续调整</x:v>
      </x:c>
      <x:c r="S145" s="14" t="str">
        <x:v>平台直接字段</x:v>
      </x:c>
      <x:c r="T145" s="14" t="str">
        <x:v>条件委托已取消；算法编号1000001993957175；创建时间2026-06-17 22:49:38；撤销时间2026-06-18 00:00:16；是否触发否；周期关联等级STRONG_CONTEXT；取消/过期原因无法确认（已完成为不适用）。</x:v>
      </x:c>
      <x:c r="U145" s="14" t="s">
        <x:v>172</x:v>
      </x:c>
      <x:c r="V145" s="21" t="s">
        <x:v>176</x:v>
      </x:c>
      <x:c r="W145" s="14" t="str">
        <x:v>algorithm_id=1000001993957175；terminal_at=2026-06-18 00:00:16；关联=STRONG_CONTEXT</x:v>
      </x:c>
    </x:row>
    <x:row r="146" ht="58" customHeight="1">
      <x:c r="A146" s="12" t="s">
        <x:v>74</x:v>
      </x:c>
      <x:c r="B146" s="12" t="s">
        <x:v>513</x:v>
      </x:c>
      <x:c r="C146" s="12" t="s">
        <x:v>178</x:v>
      </x:c>
      <x:c r="D146" s="12" t="s">
        <x:v>202</x:v>
      </x:c>
      <x:c r="E146" s="12" t="s">
        <x:v>203</x:v>
      </x:c>
      <x:c r="F146" s="12" t="s">
        <x:v>203</x:v>
      </x:c>
      <x:c r="G146" s="12" t="s">
        <x:v>409</x:v>
      </x:c>
      <x:c r="H146" s="12">
        <x:v>0</x:v>
      </x:c>
      <x:c r="I146" s="12">
        <x:v>0</x:v>
      </x:c>
      <x:c r="J146" s="12" t="str">
        <x:v>已取消</x:v>
      </x:c>
      <x:c r="K146" s="12"/>
      <x:c r="L146" s="12"/>
      <x:c r="M146" s="12" t="s">
        <x:v>172</x:v>
      </x:c>
      <x:c r="N146" s="12" t="s">
        <x:v>172</x:v>
      </x:c>
      <x:c r="O146" s="12" t="s">
        <x:v>172</x:v>
      </x:c>
      <x:c r="P146" s="12" t="s">
        <x:v>172</x:v>
      </x:c>
      <x:c r="Q146" s="12" t="s">
        <x:v>172</x:v>
      </x:c>
      <x:c r="R146" s="12" t="str">
        <x:v>疑似连续调整</x:v>
      </x:c>
      <x:c r="S146" s="12" t="str">
        <x:v>平台直接字段</x:v>
      </x:c>
      <x:c r="T146" s="12" t="str">
        <x:v>条件委托已取消；算法编号1000001993957175；创建时间2026-06-17 22:49:38；撤销时间2026-06-18 00:00:16；是否触发否；周期关联等级STRONG_CONTEXT；取消/过期原因无法确认（已完成为不适用）。</x:v>
      </x:c>
      <x:c r="U146" s="12" t="s">
        <x:v>172</x:v>
      </x:c>
      <x:c r="V146" s="21" t="s">
        <x:v>176</x:v>
      </x:c>
      <x:c r="W146" s="12" t="str">
        <x:v>algorithm_id=1000001993957175；terminal_at=2026-06-18 00:00:16；关联=STRONG_CONTEXT</x:v>
      </x:c>
    </x:row>
    <x:row r="147" ht="58" customHeight="1">
      <x:c r="A147" s="14" t="s">
        <x:v>74</x:v>
      </x:c>
      <x:c r="B147" s="14" t="s">
        <x:v>515</x:v>
      </x:c>
      <x:c r="C147" s="14" t="s">
        <x:v>178</x:v>
      </x:c>
      <x:c r="D147" s="14" t="s">
        <x:v>184</x:v>
      </x:c>
      <x:c r="E147" s="14" t="s">
        <x:v>223</x:v>
      </x:c>
      <x:c r="F147" s="14" t="s">
        <x:v>185</x:v>
      </x:c>
      <x:c r="G147" s="14" t="s">
        <x:v>516</x:v>
      </x:c>
      <x:c r="H147" s="14">
        <x:v>5</x:v>
      </x:c>
      <x:c r="I147" s="14">
        <x:v>0</x:v>
      </x:c>
      <x:c r="J147" s="14" t="s">
        <x:v>187</x:v>
      </x:c>
      <x:c r="K147" s="14" t="s">
        <x:v>314</x:v>
      </x:c>
      <x:c r="L147" s="14" t="s">
        <x:v>314</x:v>
      </x:c>
      <x:c r="M147" s="14" t="s">
        <x:v>172</x:v>
      </x:c>
      <x:c r="N147" s="14" t="s">
        <x:v>172</x:v>
      </x:c>
      <x:c r="O147" s="14" t="s">
        <x:v>172</x:v>
      </x:c>
      <x:c r="P147" s="14" t="s">
        <x:v>172</x:v>
      </x:c>
      <x:c r="Q147" s="14" t="s">
        <x:v>172</x:v>
      </x:c>
      <x:c r="R147" s="14" t="s">
        <x:v>193</x:v>
      </x:c>
      <x:c r="S147" s="14" t="s">
        <x:v>189</x:v>
      </x:c>
      <x:c r="T147" s="14" t="s">
        <x:v>509</x:v>
      </x:c>
      <x:c r="U147" s="14" t="s">
        <x:v>172</x:v>
      </x:c>
      <x:c r="V147" s="21" t="s">
        <x:v>176</x:v>
      </x:c>
      <x:c r="W147" s="14" t="str">
        <x:v>独立事件；按本行事实口径计数。</x:v>
      </x:c>
    </x:row>
    <x:row r="148" ht="58" customHeight="1">
      <x:c r="A148" s="12" t="s">
        <x:v>74</x:v>
      </x:c>
      <x:c r="B148" s="12" t="s">
        <x:v>517</x:v>
      </x:c>
      <x:c r="C148" s="12" t="s">
        <x:v>178</x:v>
      </x:c>
      <x:c r="D148" s="12" t="s">
        <x:v>184</x:v>
      </x:c>
      <x:c r="E148" s="12" t="s">
        <x:v>223</x:v>
      </x:c>
      <x:c r="F148" s="12" t="s">
        <x:v>185</x:v>
      </x:c>
      <x:c r="G148" s="12" t="s">
        <x:v>518</x:v>
      </x:c>
      <x:c r="H148" s="12">
        <x:v>5</x:v>
      </x:c>
      <x:c r="I148" s="12">
        <x:v>0</x:v>
      </x:c>
      <x:c r="J148" s="12" t="s">
        <x:v>187</x:v>
      </x:c>
      <x:c r="K148" s="12" t="s">
        <x:v>314</x:v>
      </x:c>
      <x:c r="L148" s="12" t="s">
        <x:v>314</x:v>
      </x:c>
      <x:c r="M148" s="12" t="s">
        <x:v>172</x:v>
      </x:c>
      <x:c r="N148" s="12" t="s">
        <x:v>172</x:v>
      </x:c>
      <x:c r="O148" s="12" t="s">
        <x:v>172</x:v>
      </x:c>
      <x:c r="P148" s="12" t="s">
        <x:v>172</x:v>
      </x:c>
      <x:c r="Q148" s="12" t="s">
        <x:v>172</x:v>
      </x:c>
      <x:c r="R148" s="12" t="s">
        <x:v>193</x:v>
      </x:c>
      <x:c r="S148" s="12" t="s">
        <x:v>189</x:v>
      </x:c>
      <x:c r="T148" s="12" t="s">
        <x:v>509</x:v>
      </x:c>
      <x:c r="U148" s="12" t="s">
        <x:v>172</x:v>
      </x:c>
      <x:c r="V148" s="21" t="s">
        <x:v>176</x:v>
      </x:c>
      <x:c r="W148" s="12" t="str">
        <x:v>独立事件；按本行事实口径计数。</x:v>
      </x:c>
    </x:row>
    <x:row r="149" ht="58" customHeight="1">
      <x:c r="A149" s="14" t="s">
        <x:v>74</x:v>
      </x:c>
      <x:c r="B149" s="14" t="s">
        <x:v>519</x:v>
      </x:c>
      <x:c r="C149" s="14" t="s">
        <x:v>178</x:v>
      </x:c>
      <x:c r="D149" s="14" t="s">
        <x:v>184</x:v>
      </x:c>
      <x:c r="E149" s="14" t="s">
        <x:v>223</x:v>
      </x:c>
      <x:c r="F149" s="14" t="s">
        <x:v>185</x:v>
      </x:c>
      <x:c r="G149" s="14" t="s">
        <x:v>518</x:v>
      </x:c>
      <x:c r="H149" s="14">
        <x:v>5</x:v>
      </x:c>
      <x:c r="I149" s="14">
        <x:v>0</x:v>
      </x:c>
      <x:c r="J149" s="14" t="s">
        <x:v>187</x:v>
      </x:c>
      <x:c r="K149" s="14" t="s">
        <x:v>314</x:v>
      </x:c>
      <x:c r="L149" s="14" t="s">
        <x:v>314</x:v>
      </x:c>
      <x:c r="M149" s="14" t="s">
        <x:v>172</x:v>
      </x:c>
      <x:c r="N149" s="14" t="s">
        <x:v>172</x:v>
      </x:c>
      <x:c r="O149" s="14" t="s">
        <x:v>172</x:v>
      </x:c>
      <x:c r="P149" s="14" t="s">
        <x:v>172</x:v>
      </x:c>
      <x:c r="Q149" s="14" t="s">
        <x:v>172</x:v>
      </x:c>
      <x:c r="R149" s="14" t="s">
        <x:v>195</x:v>
      </x:c>
      <x:c r="S149" s="14" t="s">
        <x:v>20</x:v>
      </x:c>
      <x:c r="T149" s="14" t="s">
        <x:v>323</x:v>
      </x:c>
      <x:c r="U149" s="14" t="s">
        <x:v>171</x:v>
      </x:c>
      <x:c r="V149" s="21" t="s">
        <x:v>176</x:v>
      </x:c>
      <x:c r="W149" s="14" t="str">
        <x:v>独立事件；按本行事实口径计数。</x:v>
      </x:c>
    </x:row>
    <x:row r="150" ht="58" customHeight="1">
      <x:c r="A150" s="12" t="s">
        <x:v>74</x:v>
      </x:c>
      <x:c r="B150" s="12" t="s">
        <x:v>520</x:v>
      </x:c>
      <x:c r="C150" s="12" t="s">
        <x:v>178</x:v>
      </x:c>
      <x:c r="D150" s="12" t="s">
        <x:v>165</x:v>
      </x:c>
      <x:c r="E150" s="12" t="s">
        <x:v>227</x:v>
      </x:c>
      <x:c r="F150" s="12" t="s">
        <x:v>199</x:v>
      </x:c>
      <x:c r="G150" s="12" t="s">
        <x:v>518</x:v>
      </x:c>
      <x:c r="H150" s="12">
        <x:v>5</x:v>
      </x:c>
      <x:c r="I150" s="12">
        <x:v>1.226</x:v>
      </x:c>
      <x:c r="J150" s="12" t="s">
        <x:v>187</x:v>
      </x:c>
      <x:c r="K150" s="12" t="s">
        <x:v>314</x:v>
      </x:c>
      <x:c r="L150" s="12" t="s">
        <x:v>521</x:v>
      </x:c>
      <x:c r="M150" s="12" t="s">
        <x:v>171</x:v>
      </x:c>
      <x:c r="N150" s="12" t="s">
        <x:v>172</x:v>
      </x:c>
      <x:c r="O150" s="12" t="s">
        <x:v>171</x:v>
      </x:c>
      <x:c r="P150" s="12" t="s">
        <x:v>172</x:v>
      </x:c>
      <x:c r="Q150" s="12" t="s">
        <x:v>172</x:v>
      </x:c>
      <x:c r="R150" s="12" t="s">
        <x:v>195</x:v>
      </x:c>
      <x:c r="S150" s="12" t="s">
        <x:v>20</x:v>
      </x:c>
      <x:c r="T150" s="12" t="s">
        <x:v>522</x:v>
      </x:c>
      <x:c r="U150" s="12" t="s">
        <x:v>171</x:v>
      </x:c>
      <x:c r="V150" s="21" t="s">
        <x:v>176</x:v>
      </x:c>
      <x:c r="W150" s="12" t="str">
        <x:v>独立事件；按本行事实口径计数。</x:v>
      </x:c>
    </x:row>
    <x:row r="151" ht="58" customHeight="1">
      <x:c r="A151" s="14" t="s">
        <x:v>74</x:v>
      </x:c>
      <x:c r="B151" s="14" t="s">
        <x:v>523</x:v>
      </x:c>
      <x:c r="C151" s="14" t="s">
        <x:v>178</x:v>
      </x:c>
      <x:c r="D151" s="14" t="s">
        <x:v>184</x:v>
      </x:c>
      <x:c r="E151" s="14" t="s">
        <x:v>223</x:v>
      </x:c>
      <x:c r="F151" s="14" t="s">
        <x:v>185</x:v>
      </x:c>
      <x:c r="G151" s="14" t="s">
        <x:v>524</x:v>
      </x:c>
      <x:c r="H151" s="14">
        <x:v>3.8</x:v>
      </x:c>
      <x:c r="I151" s="14">
        <x:v>0</x:v>
      </x:c>
      <x:c r="J151" s="14" t="s">
        <x:v>187</x:v>
      </x:c>
      <x:c r="K151" s="14" t="s">
        <x:v>521</x:v>
      </x:c>
      <x:c r="L151" s="14" t="s">
        <x:v>521</x:v>
      </x:c>
      <x:c r="M151" s="14" t="s">
        <x:v>172</x:v>
      </x:c>
      <x:c r="N151" s="14" t="s">
        <x:v>172</x:v>
      </x:c>
      <x:c r="O151" s="14" t="s">
        <x:v>172</x:v>
      </x:c>
      <x:c r="P151" s="14" t="s">
        <x:v>172</x:v>
      </x:c>
      <x:c r="Q151" s="14" t="s">
        <x:v>172</x:v>
      </x:c>
      <x:c r="R151" s="14" t="s">
        <x:v>193</x:v>
      </x:c>
      <x:c r="S151" s="14" t="s">
        <x:v>189</x:v>
      </x:c>
      <x:c r="T151" s="14" t="s">
        <x:v>525</x:v>
      </x:c>
      <x:c r="U151" s="14" t="s">
        <x:v>172</x:v>
      </x:c>
      <x:c r="V151" s="21" t="s">
        <x:v>176</x:v>
      </x:c>
      <x:c r="W151" s="14" t="str">
        <x:v>独立事件；按本行事实口径计数。</x:v>
      </x:c>
    </x:row>
    <x:row r="152" ht="58" customHeight="1">
      <x:c r="A152" s="12" t="s">
        <x:v>74</x:v>
      </x:c>
      <x:c r="B152" s="12" t="s">
        <x:v>526</x:v>
      </x:c>
      <x:c r="C152" s="12" t="s">
        <x:v>178</x:v>
      </x:c>
      <x:c r="D152" s="12" t="s">
        <x:v>202</x:v>
      </x:c>
      <x:c r="E152" s="12" t="s">
        <x:v>205</x:v>
      </x:c>
      <x:c r="F152" s="12" t="s">
        <x:v>205</x:v>
      </x:c>
      <x:c r="G152" s="12" t="s">
        <x:v>527</x:v>
      </x:c>
      <x:c r="H152" s="12">
        <x:v>0</x:v>
      </x:c>
      <x:c r="I152" s="12">
        <x:v>0</x:v>
      </x:c>
      <x:c r="J152" s="12" t="str">
        <x:v>已取消</x:v>
      </x:c>
      <x:c r="K152" s="12"/>
      <x:c r="L152" s="12"/>
      <x:c r="M152" s="12" t="s">
        <x:v>172</x:v>
      </x:c>
      <x:c r="N152" s="12" t="s">
        <x:v>172</x:v>
      </x:c>
      <x:c r="O152" s="12" t="s">
        <x:v>172</x:v>
      </x:c>
      <x:c r="P152" s="12" t="s">
        <x:v>172</x:v>
      </x:c>
      <x:c r="Q152" s="12" t="s">
        <x:v>172</x:v>
      </x:c>
      <x:c r="R152" s="12" t="str">
        <x:v>疑似连续调整</x:v>
      </x:c>
      <x:c r="S152" s="12" t="str">
        <x:v>平台直接字段</x:v>
      </x:c>
      <x:c r="T152" s="12" t="str">
        <x:v>条件委托已取消；算法编号1000001994401535；创建时间2026-06-17 23:43:45；撤销时间2026-06-18 00:00:16；是否触发否；周期关联等级STRONG_CONTEXT；取消/过期原因无法确认（已完成为不适用）。</x:v>
      </x:c>
      <x:c r="U152" s="12" t="s">
        <x:v>172</x:v>
      </x:c>
      <x:c r="V152" s="21" t="s">
        <x:v>176</x:v>
      </x:c>
      <x:c r="W152" s="12" t="str">
        <x:v>algorithm_id=1000001994401535；terminal_at=2026-06-18 00:00:16；关联=STRONG_CONTEXT</x:v>
      </x:c>
    </x:row>
    <x:row r="153" ht="58" customHeight="1">
      <x:c r="A153" s="14" t="s">
        <x:v>74</x:v>
      </x:c>
      <x:c r="B153" s="14" t="s">
        <x:v>528</x:v>
      </x:c>
      <x:c r="C153" s="14" t="s">
        <x:v>178</x:v>
      </x:c>
      <x:c r="D153" s="14" t="s">
        <x:v>165</x:v>
      </x:c>
      <x:c r="E153" s="14" t="s">
        <x:v>227</x:v>
      </x:c>
      <x:c r="F153" s="14" t="s">
        <x:v>199</x:v>
      </x:c>
      <x:c r="G153" s="14" t="s">
        <x:v>529</x:v>
      </x:c>
      <x:c r="H153" s="14">
        <x:v>3.8</x:v>
      </x:c>
      <x:c r="I153" s="14">
        <x:v>3.8</x:v>
      </x:c>
      <x:c r="J153" s="14" t="s">
        <x:v>168</x:v>
      </x:c>
      <x:c r="K153" s="14" t="s">
        <x:v>521</x:v>
      </x:c>
      <x:c r="L153" s="14" t="s">
        <x:v>530</x:v>
      </x:c>
      <x:c r="M153" s="14" t="s">
        <x:v>171</x:v>
      </x:c>
      <x:c r="N153" s="14" t="s">
        <x:v>172</x:v>
      </x:c>
      <x:c r="O153" s="14" t="s">
        <x:v>171</x:v>
      </x:c>
      <x:c r="P153" s="14" t="s">
        <x:v>172</x:v>
      </x:c>
      <x:c r="Q153" s="14" t="s">
        <x:v>172</x:v>
      </x:c>
      <x:c r="R153" s="14" t="s">
        <x:v>193</x:v>
      </x:c>
      <x:c r="S153" s="14" t="s">
        <x:v>189</x:v>
      </x:c>
      <x:c r="T153" s="14" t="s">
        <x:v>531</x:v>
      </x:c>
      <x:c r="U153" s="14" t="s">
        <x:v>172</x:v>
      </x:c>
      <x:c r="V153" s="21" t="s">
        <x:v>176</x:v>
      </x:c>
      <x:c r="W153" s="14" t="str">
        <x:v>独立事件；按本行事实口径计数。</x:v>
      </x:c>
    </x:row>
    <x:row r="154" ht="58" customHeight="1">
      <x:c r="A154" s="12" t="s">
        <x:v>74</x:v>
      </x:c>
      <x:c r="B154" s="12" t="s">
        <x:v>532</x:v>
      </x:c>
      <x:c r="C154" s="12" t="s">
        <x:v>178</x:v>
      </x:c>
      <x:c r="D154" s="12" t="s">
        <x:v>184</x:v>
      </x:c>
      <x:c r="E154" s="12" t="s">
        <x:v>223</x:v>
      </x:c>
      <x:c r="F154" s="12" t="s">
        <x:v>185</x:v>
      </x:c>
      <x:c r="G154" s="12" t="s">
        <x:v>533</x:v>
      </x:c>
      <x:c r="H154" s="12">
        <x:v>2.755</x:v>
      </x:c>
      <x:c r="I154" s="12">
        <x:v>0</x:v>
      </x:c>
      <x:c r="J154" s="12" t="s">
        <x:v>187</x:v>
      </x:c>
      <x:c r="K154" s="12" t="s">
        <x:v>530</x:v>
      </x:c>
      <x:c r="L154" s="12" t="s">
        <x:v>530</x:v>
      </x:c>
      <x:c r="M154" s="12" t="s">
        <x:v>172</x:v>
      </x:c>
      <x:c r="N154" s="12" t="s">
        <x:v>172</x:v>
      </x:c>
      <x:c r="O154" s="12" t="s">
        <x:v>172</x:v>
      </x:c>
      <x:c r="P154" s="12" t="s">
        <x:v>172</x:v>
      </x:c>
      <x:c r="Q154" s="12" t="s">
        <x:v>172</x:v>
      </x:c>
      <x:c r="R154" s="12" t="s">
        <x:v>195</x:v>
      </x:c>
      <x:c r="S154" s="12" t="s">
        <x:v>20</x:v>
      </x:c>
      <x:c r="T154" s="12" t="s">
        <x:v>534</x:v>
      </x:c>
      <x:c r="U154" s="12" t="s">
        <x:v>171</x:v>
      </x:c>
      <x:c r="V154" s="21" t="s">
        <x:v>176</x:v>
      </x:c>
      <x:c r="W154" s="12" t="str">
        <x:v>独立事件；按本行事实口径计数。</x:v>
      </x:c>
    </x:row>
    <x:row r="155" ht="58" customHeight="1">
      <x:c r="A155" s="14" t="s">
        <x:v>74</x:v>
      </x:c>
      <x:c r="B155" s="14" t="s">
        <x:v>535</x:v>
      </x:c>
      <x:c r="C155" s="14" t="s">
        <x:v>178</x:v>
      </x:c>
      <x:c r="D155" s="14" t="s">
        <x:v>184</x:v>
      </x:c>
      <x:c r="E155" s="14" t="s">
        <x:v>234</x:v>
      </x:c>
      <x:c r="F155" s="14" t="s">
        <x:v>185</x:v>
      </x:c>
      <x:c r="G155" s="14" t="s">
        <x:v>536</x:v>
      </x:c>
      <x:c r="H155" s="14">
        <x:v>10.026</x:v>
      </x:c>
      <x:c r="I155" s="14">
        <x:v>0</x:v>
      </x:c>
      <x:c r="J155" s="14" t="s">
        <x:v>187</x:v>
      </x:c>
      <x:c r="K155" s="14" t="s">
        <x:v>530</x:v>
      </x:c>
      <x:c r="L155" s="14" t="s">
        <x:v>530</x:v>
      </x:c>
      <x:c r="M155" s="14" t="s">
        <x:v>172</x:v>
      </x:c>
      <x:c r="N155" s="14" t="s">
        <x:v>172</x:v>
      </x:c>
      <x:c r="O155" s="14" t="s">
        <x:v>172</x:v>
      </x:c>
      <x:c r="P155" s="14" t="s">
        <x:v>172</x:v>
      </x:c>
      <x:c r="Q155" s="14" t="s">
        <x:v>172</x:v>
      </x:c>
      <x:c r="R155" s="14" t="s">
        <x:v>195</x:v>
      </x:c>
      <x:c r="S155" s="14" t="s">
        <x:v>20</x:v>
      </x:c>
      <x:c r="T155" s="14" t="s">
        <x:v>537</x:v>
      </x:c>
      <x:c r="U155" s="14" t="s">
        <x:v>171</x:v>
      </x:c>
      <x:c r="V155" s="21" t="s">
        <x:v>176</x:v>
      </x:c>
      <x:c r="W155" s="14" t="str">
        <x:v>独立事件；按本行事实口径计数。</x:v>
      </x:c>
    </x:row>
    <x:row r="156" ht="58" customHeight="1">
      <x:c r="A156" s="12" t="s">
        <x:v>74</x:v>
      </x:c>
      <x:c r="B156" s="12" t="s">
        <x:v>538</x:v>
      </x:c>
      <x:c r="C156" s="12" t="s">
        <x:v>178</x:v>
      </x:c>
      <x:c r="D156" s="12" t="s">
        <x:v>202</x:v>
      </x:c>
      <x:c r="E156" s="12" t="s">
        <x:v>205</x:v>
      </x:c>
      <x:c r="F156" s="12" t="s">
        <x:v>205</x:v>
      </x:c>
      <x:c r="G156" s="12" t="s">
        <x:v>539</x:v>
      </x:c>
      <x:c r="H156" s="12">
        <x:v>0</x:v>
      </x:c>
      <x:c r="I156" s="12">
        <x:v>0</x:v>
      </x:c>
      <x:c r="J156" s="12" t="str">
        <x:v>已取消</x:v>
      </x:c>
      <x:c r="K156" s="12"/>
      <x:c r="L156" s="12"/>
      <x:c r="M156" s="12" t="s">
        <x:v>172</x:v>
      </x:c>
      <x:c r="N156" s="12" t="s">
        <x:v>172</x:v>
      </x:c>
      <x:c r="O156" s="12" t="s">
        <x:v>172</x:v>
      </x:c>
      <x:c r="P156" s="12" t="s">
        <x:v>172</x:v>
      </x:c>
      <x:c r="Q156" s="12" t="s">
        <x:v>172</x:v>
      </x:c>
      <x:c r="R156" s="12" t="str">
        <x:v>疑似连续调整</x:v>
      </x:c>
      <x:c r="S156" s="12" t="str">
        <x:v>平台直接字段</x:v>
      </x:c>
      <x:c r="T156" s="12" t="str">
        <x:v>条件委托已取消；算法编号1000001994540911；创建时间2026-06-18 00:00:16；撤销时间2026-06-18 00:40:46；是否触发否；周期关联等级STRONG_CONTEXT；取消/过期原因无法确认（已完成为不适用）。</x:v>
      </x:c>
      <x:c r="U156" s="12" t="s">
        <x:v>172</x:v>
      </x:c>
      <x:c r="V156" s="21" t="s">
        <x:v>176</x:v>
      </x:c>
      <x:c r="W156" s="12" t="str">
        <x:v>algorithm_id=1000001994540911；terminal_at=2026-06-18 00:40:46；关联=STRONG_CONTEXT</x:v>
      </x:c>
    </x:row>
    <x:row r="157" ht="58" customHeight="1">
      <x:c r="A157" s="14" t="s">
        <x:v>74</x:v>
      </x:c>
      <x:c r="B157" s="14" t="s">
        <x:v>538</x:v>
      </x:c>
      <x:c r="C157" s="14" t="s">
        <x:v>178</x:v>
      </x:c>
      <x:c r="D157" s="14" t="s">
        <x:v>202</x:v>
      </x:c>
      <x:c r="E157" s="14" t="s">
        <x:v>203</x:v>
      </x:c>
      <x:c r="F157" s="14" t="s">
        <x:v>203</x:v>
      </x:c>
      <x:c r="G157" s="14" t="s">
        <x:v>536</x:v>
      </x:c>
      <x:c r="H157" s="14">
        <x:v>0</x:v>
      </x:c>
      <x:c r="I157" s="14">
        <x:v>0</x:v>
      </x:c>
      <x:c r="J157" s="14" t="str">
        <x:v>已取消</x:v>
      </x:c>
      <x:c r="K157" s="14"/>
      <x:c r="L157" s="14"/>
      <x:c r="M157" s="14" t="s">
        <x:v>172</x:v>
      </x:c>
      <x:c r="N157" s="14" t="s">
        <x:v>172</x:v>
      </x:c>
      <x:c r="O157" s="14" t="s">
        <x:v>172</x:v>
      </x:c>
      <x:c r="P157" s="14" t="s">
        <x:v>172</x:v>
      </x:c>
      <x:c r="Q157" s="14" t="s">
        <x:v>172</x:v>
      </x:c>
      <x:c r="R157" s="14" t="str">
        <x:v>疑似连续调整</x:v>
      </x:c>
      <x:c r="S157" s="14" t="str">
        <x:v>平台直接字段</x:v>
      </x:c>
      <x:c r="T157" s="14" t="str">
        <x:v>条件委托已取消；算法编号1000001994540911；创建时间2026-06-18 00:00:16；撤销时间2026-06-18 00:40:46；是否触发否；周期关联等级STRONG_CONTEXT；取消/过期原因无法确认（已完成为不适用）。</x:v>
      </x:c>
      <x:c r="U157" s="14" t="s">
        <x:v>172</x:v>
      </x:c>
      <x:c r="V157" s="21" t="s">
        <x:v>176</x:v>
      </x:c>
      <x:c r="W157" s="14" t="str">
        <x:v>algorithm_id=1000001994540911；terminal_at=2026-06-18 00:40:46；关联=STRONG_CONTEXT</x:v>
      </x:c>
    </x:row>
    <x:row r="158" ht="58" customHeight="1">
      <x:c r="A158" s="12" t="s">
        <x:v>74</x:v>
      </x:c>
      <x:c r="B158" s="12" t="s">
        <x:v>540</x:v>
      </x:c>
      <x:c r="C158" s="12" t="s">
        <x:v>178</x:v>
      </x:c>
      <x:c r="D158" s="12" t="s">
        <x:v>202</x:v>
      </x:c>
      <x:c r="E158" s="12" t="s">
        <x:v>205</x:v>
      </x:c>
      <x:c r="F158" s="12" t="s">
        <x:v>205</x:v>
      </x:c>
      <x:c r="G158" s="12" t="s">
        <x:v>541</x:v>
      </x:c>
      <x:c r="H158" s="12">
        <x:v>0</x:v>
      </x:c>
      <x:c r="I158" s="12">
        <x:v>0</x:v>
      </x:c>
      <x:c r="J158" s="12" t="str">
        <x:v>已取消</x:v>
      </x:c>
      <x:c r="K158" s="12"/>
      <x:c r="L158" s="12"/>
      <x:c r="M158" s="12" t="s">
        <x:v>172</x:v>
      </x:c>
      <x:c r="N158" s="12" t="s">
        <x:v>172</x:v>
      </x:c>
      <x:c r="O158" s="12" t="s">
        <x:v>172</x:v>
      </x:c>
      <x:c r="P158" s="12" t="s">
        <x:v>172</x:v>
      </x:c>
      <x:c r="Q158" s="12" t="s">
        <x:v>172</x:v>
      </x:c>
      <x:c r="R158" s="12" t="str">
        <x:v>疑似连续调整</x:v>
      </x:c>
      <x:c r="S158" s="12" t="str">
        <x:v>平台直接字段</x:v>
      </x:c>
      <x:c r="T158" s="12" t="str">
        <x:v>条件委托已取消；算法编号1000001994548658；创建时间2026-06-18 00:01:11；撤销时间2026-06-18 00:41:58；是否触发否；周期关联等级STRONG_CONTEXT；取消/过期原因无法确认（已完成为不适用）。</x:v>
      </x:c>
      <x:c r="U158" s="12" t="s">
        <x:v>172</x:v>
      </x:c>
      <x:c r="V158" s="21" t="s">
        <x:v>176</x:v>
      </x:c>
      <x:c r="W158" s="12" t="str">
        <x:v>algorithm_id=1000001994548658；terminal_at=2026-06-18 00:41:58；关联=STRONG_CONTEXT</x:v>
      </x:c>
    </x:row>
    <x:row r="159" ht="58" customHeight="1">
      <x:c r="A159" s="14" t="s">
        <x:v>74</x:v>
      </x:c>
      <x:c r="B159" s="14" t="s">
        <x:v>542</x:v>
      </x:c>
      <x:c r="C159" s="14" t="s">
        <x:v>178</x:v>
      </x:c>
      <x:c r="D159" s="14" t="s">
        <x:v>184</x:v>
      </x:c>
      <x:c r="E159" s="14" t="s">
        <x:v>223</x:v>
      </x:c>
      <x:c r="F159" s="14" t="s">
        <x:v>185</x:v>
      </x:c>
      <x:c r="G159" s="14" t="s">
        <x:v>327</x:v>
      </x:c>
      <x:c r="H159" s="14">
        <x:v>5.365</x:v>
      </x:c>
      <x:c r="I159" s="14">
        <x:v>0</x:v>
      </x:c>
      <x:c r="J159" s="14" t="s">
        <x:v>187</x:v>
      </x:c>
      <x:c r="K159" s="14" t="s">
        <x:v>530</x:v>
      </x:c>
      <x:c r="L159" s="14" t="s">
        <x:v>530</x:v>
      </x:c>
      <x:c r="M159" s="14" t="s">
        <x:v>172</x:v>
      </x:c>
      <x:c r="N159" s="14" t="s">
        <x:v>172</x:v>
      </x:c>
      <x:c r="O159" s="14" t="s">
        <x:v>172</x:v>
      </x:c>
      <x:c r="P159" s="14" t="s">
        <x:v>172</x:v>
      </x:c>
      <x:c r="Q159" s="14" t="s">
        <x:v>172</x:v>
      </x:c>
      <x:c r="R159" s="14" t="s">
        <x:v>195</x:v>
      </x:c>
      <x:c r="S159" s="14" t="s">
        <x:v>20</x:v>
      </x:c>
      <x:c r="T159" s="14" t="s">
        <x:v>534</x:v>
      </x:c>
      <x:c r="U159" s="14" t="s">
        <x:v>171</x:v>
      </x:c>
      <x:c r="V159" s="21" t="s">
        <x:v>176</x:v>
      </x:c>
      <x:c r="W159" s="14" t="str">
        <x:v>独立事件；按本行事实口径计数。</x:v>
      </x:c>
    </x:row>
    <x:row r="160" ht="58" customHeight="1">
      <x:c r="A160" s="12" t="s">
        <x:v>74</x:v>
      </x:c>
      <x:c r="B160" s="12" t="s">
        <x:v>543</x:v>
      </x:c>
      <x:c r="C160" s="12" t="s">
        <x:v>178</x:v>
      </x:c>
      <x:c r="D160" s="12" t="s">
        <x:v>184</x:v>
      </x:c>
      <x:c r="E160" s="12" t="s">
        <x:v>234</x:v>
      </x:c>
      <x:c r="F160" s="12" t="s">
        <x:v>185</x:v>
      </x:c>
      <x:c r="G160" s="12" t="s">
        <x:v>544</x:v>
      </x:c>
      <x:c r="H160" s="12">
        <x:v>10.026</x:v>
      </x:c>
      <x:c r="I160" s="12">
        <x:v>0</x:v>
      </x:c>
      <x:c r="J160" s="12" t="s">
        <x:v>187</x:v>
      </x:c>
      <x:c r="K160" s="12" t="s">
        <x:v>530</x:v>
      </x:c>
      <x:c r="L160" s="12" t="s">
        <x:v>530</x:v>
      </x:c>
      <x:c r="M160" s="12" t="s">
        <x:v>172</x:v>
      </x:c>
      <x:c r="N160" s="12" t="s">
        <x:v>172</x:v>
      </x:c>
      <x:c r="O160" s="12" t="s">
        <x:v>172</x:v>
      </x:c>
      <x:c r="P160" s="12" t="s">
        <x:v>172</x:v>
      </x:c>
      <x:c r="Q160" s="12" t="s">
        <x:v>172</x:v>
      </x:c>
      <x:c r="R160" s="12" t="s">
        <x:v>195</x:v>
      </x:c>
      <x:c r="S160" s="12" t="s">
        <x:v>20</x:v>
      </x:c>
      <x:c r="T160" s="12" t="s">
        <x:v>537</x:v>
      </x:c>
      <x:c r="U160" s="12" t="s">
        <x:v>171</x:v>
      </x:c>
      <x:c r="V160" s="21" t="s">
        <x:v>176</x:v>
      </x:c>
      <x:c r="W160" s="12" t="str">
        <x:v>独立事件；按本行事实口径计数。</x:v>
      </x:c>
    </x:row>
    <x:row r="161" ht="58" customHeight="1">
      <x:c r="A161" s="14" t="s">
        <x:v>74</x:v>
      </x:c>
      <x:c r="B161" s="14" t="s">
        <x:v>545</x:v>
      </x:c>
      <x:c r="C161" s="14" t="s">
        <x:v>178</x:v>
      </x:c>
      <x:c r="D161" s="14" t="s">
        <x:v>202</x:v>
      </x:c>
      <x:c r="E161" s="14" t="s">
        <x:v>205</x:v>
      </x:c>
      <x:c r="F161" s="14" t="s">
        <x:v>205</x:v>
      </x:c>
      <x:c r="G161" s="14" t="s">
        <x:v>527</x:v>
      </x:c>
      <x:c r="H161" s="14">
        <x:v>0</x:v>
      </x:c>
      <x:c r="I161" s="14">
        <x:v>0</x:v>
      </x:c>
      <x:c r="J161" s="14" t="str">
        <x:v>已取消</x:v>
      </x:c>
      <x:c r="K161" s="14"/>
      <x:c r="L161" s="14"/>
      <x:c r="M161" s="14" t="s">
        <x:v>172</x:v>
      </x:c>
      <x:c r="N161" s="14" t="s">
        <x:v>172</x:v>
      </x:c>
      <x:c r="O161" s="14" t="s">
        <x:v>172</x:v>
      </x:c>
      <x:c r="P161" s="14" t="s">
        <x:v>172</x:v>
      </x:c>
      <x:c r="Q161" s="14" t="s">
        <x:v>172</x:v>
      </x:c>
      <x:c r="R161" s="14" t="str">
        <x:v>疑似连续调整</x:v>
      </x:c>
      <x:c r="S161" s="14" t="str">
        <x:v>平台直接字段</x:v>
      </x:c>
      <x:c r="T161" s="14" t="str">
        <x:v>条件委托已取消；算法编号1000001994901412；创建时间2026-06-18 00:41:58；撤销时间2026-06-18 01:33:10；是否触发否；周期关联等级STRONG_CONTEXT；取消/过期原因无法确认（已完成为不适用）。</x:v>
      </x:c>
      <x:c r="U161" s="14" t="s">
        <x:v>172</x:v>
      </x:c>
      <x:c r="V161" s="21" t="s">
        <x:v>176</x:v>
      </x:c>
      <x:c r="W161" s="14" t="str">
        <x:v>algorithm_id=1000001994901412；terminal_at=2026-06-18 01:33:10；关联=STRONG_CONTEXT</x:v>
      </x:c>
    </x:row>
    <x:row r="162" ht="58" customHeight="1">
      <x:c r="A162" s="12" t="s">
        <x:v>74</x:v>
      </x:c>
      <x:c r="B162" s="12" t="s">
        <x:v>546</x:v>
      </x:c>
      <x:c r="C162" s="12" t="s">
        <x:v>178</x:v>
      </x:c>
      <x:c r="D162" s="12" t="s">
        <x:v>184</x:v>
      </x:c>
      <x:c r="E162" s="12" t="s">
        <x:v>234</x:v>
      </x:c>
      <x:c r="F162" s="12" t="s">
        <x:v>185</x:v>
      </x:c>
      <x:c r="G162" s="12" t="s">
        <x:v>547</x:v>
      </x:c>
      <x:c r="H162" s="12">
        <x:v>10.026</x:v>
      </x:c>
      <x:c r="I162" s="12">
        <x:v>0</x:v>
      </x:c>
      <x:c r="J162" s="12" t="s">
        <x:v>187</x:v>
      </x:c>
      <x:c r="K162" s="12" t="s">
        <x:v>530</x:v>
      </x:c>
      <x:c r="L162" s="12" t="s">
        <x:v>530</x:v>
      </x:c>
      <x:c r="M162" s="12" t="s">
        <x:v>172</x:v>
      </x:c>
      <x:c r="N162" s="12" t="s">
        <x:v>172</x:v>
      </x:c>
      <x:c r="O162" s="12" t="s">
        <x:v>172</x:v>
      </x:c>
      <x:c r="P162" s="12" t="s">
        <x:v>172</x:v>
      </x:c>
      <x:c r="Q162" s="12" t="s">
        <x:v>172</x:v>
      </x:c>
      <x:c r="R162" s="12" t="s">
        <x:v>193</x:v>
      </x:c>
      <x:c r="S162" s="12" t="s">
        <x:v>189</x:v>
      </x:c>
      <x:c r="T162" s="12" t="s">
        <x:v>548</x:v>
      </x:c>
      <x:c r="U162" s="12" t="s">
        <x:v>172</x:v>
      </x:c>
      <x:c r="V162" s="21" t="s">
        <x:v>176</x:v>
      </x:c>
      <x:c r="W162" s="12" t="str">
        <x:v>独立事件；按本行事实口径计数。</x:v>
      </x:c>
    </x:row>
    <x:row r="163" ht="58" customHeight="1">
      <x:c r="A163" s="14" t="s">
        <x:v>74</x:v>
      </x:c>
      <x:c r="B163" s="14" t="s">
        <x:v>549</x:v>
      </x:c>
      <x:c r="C163" s="14" t="s">
        <x:v>178</x:v>
      </x:c>
      <x:c r="D163" s="14" t="s">
        <x:v>202</x:v>
      </x:c>
      <x:c r="E163" s="14" t="s">
        <x:v>205</x:v>
      </x:c>
      <x:c r="F163" s="14" t="s">
        <x:v>205</x:v>
      </x:c>
      <x:c r="G163" s="14" t="s">
        <x:v>550</x:v>
      </x:c>
      <x:c r="H163" s="14">
        <x:v>0</x:v>
      </x:c>
      <x:c r="I163" s="14">
        <x:v>0</x:v>
      </x:c>
      <x:c r="J163" s="14" t="str">
        <x:v>已过期</x:v>
      </x:c>
      <x:c r="K163" s="14"/>
      <x:c r="L163" s="14"/>
      <x:c r="M163" s="14" t="s">
        <x:v>172</x:v>
      </x:c>
      <x:c r="N163" s="14" t="s">
        <x:v>172</x:v>
      </x:c>
      <x:c r="O163" s="14" t="s">
        <x:v>172</x:v>
      </x:c>
      <x:c r="P163" s="14" t="s">
        <x:v>172</x:v>
      </x:c>
      <x:c r="Q163" s="14" t="s">
        <x:v>172</x:v>
      </x:c>
      <x:c r="R163" s="14" t="str">
        <x:v>疑似连续调整</x:v>
      </x:c>
      <x:c r="S163" s="14" t="str">
        <x:v>平台直接字段</x:v>
      </x:c>
      <x:c r="T163" s="14" t="str">
        <x:v>条件委托已过期；算法编号1000001995274327；创建时间2026-06-18 01:33:10；过期时间2026-06-18 02:00:24；是否触发否；周期关联等级STRONG_CONTEXT；取消/过期原因无法确认（已完成为不适用）。</x:v>
      </x:c>
      <x:c r="U163" s="14" t="s">
        <x:v>172</x:v>
      </x:c>
      <x:c r="V163" s="21" t="s">
        <x:v>176</x:v>
      </x:c>
      <x:c r="W163" s="14" t="str">
        <x:v>algorithm_id=1000001995274327；terminal_at=2026-06-18 02:00:24；关联=STRONG_CONTEXT</x:v>
      </x:c>
    </x:row>
    <x:row r="164" ht="58" customHeight="1">
      <x:c r="A164" s="12" t="s">
        <x:v>74</x:v>
      </x:c>
      <x:c r="B164" s="12" t="s">
        <x:v>551</x:v>
      </x:c>
      <x:c r="C164" s="12" t="s">
        <x:v>178</x:v>
      </x:c>
      <x:c r="D164" s="12" t="s">
        <x:v>165</x:v>
      </x:c>
      <x:c r="E164" s="12" t="s">
        <x:v>208</x:v>
      </x:c>
      <x:c r="F164" s="12" t="s">
        <x:v>199</x:v>
      </x:c>
      <x:c r="G164" s="12" t="s">
        <x:v>552</x:v>
      </x:c>
      <x:c r="H164" s="12">
        <x:v>10.026</x:v>
      </x:c>
      <x:c r="I164" s="12">
        <x:v>10.026</x:v>
      </x:c>
      <x:c r="J164" s="12" t="s">
        <x:v>168</x:v>
      </x:c>
      <x:c r="K164" s="12" t="s">
        <x:v>530</x:v>
      </x:c>
      <x:c r="L164" s="12" t="s">
        <x:v>169</x:v>
      </x:c>
      <x:c r="M164" s="12" t="s">
        <x:v>171</x:v>
      </x:c>
      <x:c r="N164" s="12" t="s">
        <x:v>172</x:v>
      </x:c>
      <x:c r="O164" s="12" t="s">
        <x:v>172</x:v>
      </x:c>
      <x:c r="P164" s="12" t="s">
        <x:v>172</x:v>
      </x:c>
      <x:c r="Q164" s="12" t="s">
        <x:v>171</x:v>
      </x:c>
      <x:c r="R164" s="12" t="s">
        <x:v>193</x:v>
      </x:c>
      <x:c r="S164" s="12" t="s">
        <x:v>189</x:v>
      </x:c>
      <x:c r="T164" s="12" t="s">
        <x:v>553</x:v>
      </x:c>
      <x:c r="U164" s="12" t="s">
        <x:v>172</x:v>
      </x:c>
      <x:c r="V164" s="21" t="s">
        <x:v>176</x:v>
      </x:c>
      <x:c r="W164" s="12" t="str">
        <x:v>独立事件；按本行事实口径计数。</x:v>
      </x:c>
    </x:row>
    <x:row r="165" ht="58" customHeight="1">
      <x:c r="A165" s="14" t="s">
        <x:v>74</x:v>
      </x:c>
      <x:c r="B165" s="14" t="s">
        <x:v>551</x:v>
      </x:c>
      <x:c r="C165" s="14" t="s">
        <x:v>211</x:v>
      </x:c>
      <x:c r="D165" s="14" t="s">
        <x:v>212</x:v>
      </x:c>
      <x:c r="E165" s="14" t="s">
        <x:v>213</x:v>
      </x:c>
      <x:c r="F165" s="14"/>
      <x:c r="G165" s="14"/>
      <x:c r="H165" s="14"/>
      <x:c r="I165" s="14"/>
      <x:c r="J165" s="14"/>
      <x:c r="K165" s="14"/>
      <x:c r="L165" s="14"/>
      <x:c r="M165" s="14" t="s">
        <x:v>172</x:v>
      </x:c>
      <x:c r="N165" s="14" t="s">
        <x:v>172</x:v>
      </x:c>
      <x:c r="O165" s="14" t="s">
        <x:v>172</x:v>
      </x:c>
      <x:c r="P165" s="14" t="s">
        <x:v>172</x:v>
      </x:c>
      <x:c r="Q165" s="14" t="s">
        <x:v>172</x:v>
      </x:c>
      <x:c r="R165" s="14"/>
      <x:c r="S165" s="14" t="s">
        <x:v>214</x:v>
      </x:c>
      <x:c r="T165" s="14" t="s">
        <x:v>554</x:v>
      </x:c>
      <x:c r="U165" s="14" t="s">
        <x:v>172</x:v>
      </x:c>
      <x:c r="V165" s="21" t="s">
        <x:v>176</x:v>
      </x:c>
      <x:c r="W165" s="14" t="str">
        <x:v>独立事件；按本行事实口径计数。</x:v>
      </x:c>
    </x:row>
    <x:row r="166" ht="58" customHeight="1">
      <x:c r="A166" s="12" t="s">
        <x:v>75</x:v>
      </x:c>
      <x:c r="B166" s="12" t="s">
        <x:v>555</x:v>
      </x:c>
      <x:c r="C166" s="12" t="s">
        <x:v>164</x:v>
      </x:c>
      <x:c r="D166" s="12" t="s">
        <x:v>184</x:v>
      </x:c>
      <x:c r="E166" s="12" t="s">
        <x:v>14</x:v>
      </x:c>
      <x:c r="F166" s="12" t="s">
        <x:v>185</x:v>
      </x:c>
      <x:c r="G166" s="12" t="s">
        <x:v>556</x:v>
      </x:c>
      <x:c r="H166" s="12">
        <x:v>100</x:v>
      </x:c>
      <x:c r="I166" s="12">
        <x:v>0</x:v>
      </x:c>
      <x:c r="J166" s="12" t="s">
        <x:v>187</x:v>
      </x:c>
      <x:c r="K166" s="12" t="s">
        <x:v>169</x:v>
      </x:c>
      <x:c r="L166" s="12" t="s">
        <x:v>169</x:v>
      </x:c>
      <x:c r="M166" s="12" t="s">
        <x:v>172</x:v>
      </x:c>
      <x:c r="N166" s="12" t="s">
        <x:v>172</x:v>
      </x:c>
      <x:c r="O166" s="12" t="s">
        <x:v>172</x:v>
      </x:c>
      <x:c r="P166" s="12" t="s">
        <x:v>172</x:v>
      </x:c>
      <x:c r="Q166" s="12" t="s">
        <x:v>172</x:v>
      </x:c>
      <x:c r="R166" s="12" t="s">
        <x:v>188</x:v>
      </x:c>
      <x:c r="S166" s="12" t="s">
        <x:v>189</x:v>
      </x:c>
      <x:c r="T166" s="12" t="s">
        <x:v>190</x:v>
      </x:c>
      <x:c r="U166" s="12" t="s">
        <x:v>172</x:v>
      </x:c>
      <x:c r="V166" s="21" t="s">
        <x:v>176</x:v>
      </x:c>
      <x:c r="W166" s="12" t="str">
        <x:v>独立事件；按本行事实口径计数。</x:v>
      </x:c>
    </x:row>
    <x:row r="167" ht="58" customHeight="1">
      <x:c r="A167" s="14" t="s">
        <x:v>75</x:v>
      </x:c>
      <x:c r="B167" s="14" t="s">
        <x:v>557</x:v>
      </x:c>
      <x:c r="C167" s="14" t="s">
        <x:v>164</x:v>
      </x:c>
      <x:c r="D167" s="14" t="s">
        <x:v>184</x:v>
      </x:c>
      <x:c r="E167" s="14" t="s">
        <x:v>14</x:v>
      </x:c>
      <x:c r="F167" s="14" t="s">
        <x:v>185</x:v>
      </x:c>
      <x:c r="G167" s="14" t="s">
        <x:v>558</x:v>
      </x:c>
      <x:c r="H167" s="14">
        <x:v>100</x:v>
      </x:c>
      <x:c r="I167" s="14">
        <x:v>0</x:v>
      </x:c>
      <x:c r="J167" s="14" t="s">
        <x:v>187</x:v>
      </x:c>
      <x:c r="K167" s="14" t="s">
        <x:v>169</x:v>
      </x:c>
      <x:c r="L167" s="14" t="s">
        <x:v>169</x:v>
      </x:c>
      <x:c r="M167" s="14" t="s">
        <x:v>172</x:v>
      </x:c>
      <x:c r="N167" s="14" t="s">
        <x:v>172</x:v>
      </x:c>
      <x:c r="O167" s="14" t="s">
        <x:v>172</x:v>
      </x:c>
      <x:c r="P167" s="14" t="s">
        <x:v>172</x:v>
      </x:c>
      <x:c r="Q167" s="14" t="s">
        <x:v>172</x:v>
      </x:c>
      <x:c r="R167" s="14" t="s">
        <x:v>193</x:v>
      </x:c>
      <x:c r="S167" s="14" t="s">
        <x:v>189</x:v>
      </x:c>
      <x:c r="T167" s="14" t="s">
        <x:v>190</x:v>
      </x:c>
      <x:c r="U167" s="14" t="s">
        <x:v>172</x:v>
      </x:c>
      <x:c r="V167" s="21" t="s">
        <x:v>176</x:v>
      </x:c>
      <x:c r="W167" s="14" t="str">
        <x:v>独立事件；按本行事实口径计数。</x:v>
      </x:c>
    </x:row>
    <x:row r="168" ht="58" customHeight="1">
      <x:c r="A168" s="12" t="s">
        <x:v>75</x:v>
      </x:c>
      <x:c r="B168" s="12" t="s">
        <x:v>559</x:v>
      </x:c>
      <x:c r="C168" s="12" t="s">
        <x:v>164</x:v>
      </x:c>
      <x:c r="D168" s="12" t="s">
        <x:v>184</x:v>
      </x:c>
      <x:c r="E168" s="12" t="s">
        <x:v>14</x:v>
      </x:c>
      <x:c r="F168" s="12" t="s">
        <x:v>185</x:v>
      </x:c>
      <x:c r="G168" s="12" t="s">
        <x:v>560</x:v>
      </x:c>
      <x:c r="H168" s="12">
        <x:v>100</x:v>
      </x:c>
      <x:c r="I168" s="12">
        <x:v>0</x:v>
      </x:c>
      <x:c r="J168" s="12" t="s">
        <x:v>187</x:v>
      </x:c>
      <x:c r="K168" s="12" t="s">
        <x:v>169</x:v>
      </x:c>
      <x:c r="L168" s="12" t="s">
        <x:v>169</x:v>
      </x:c>
      <x:c r="M168" s="12" t="s">
        <x:v>172</x:v>
      </x:c>
      <x:c r="N168" s="12" t="s">
        <x:v>172</x:v>
      </x:c>
      <x:c r="O168" s="12" t="s">
        <x:v>172</x:v>
      </x:c>
      <x:c r="P168" s="12" t="s">
        <x:v>172</x:v>
      </x:c>
      <x:c r="Q168" s="12" t="s">
        <x:v>172</x:v>
      </x:c>
      <x:c r="R168" s="12" t="s">
        <x:v>193</x:v>
      </x:c>
      <x:c r="S168" s="12" t="s">
        <x:v>189</x:v>
      </x:c>
      <x:c r="T168" s="12" t="s">
        <x:v>190</x:v>
      </x:c>
      <x:c r="U168" s="12" t="s">
        <x:v>172</x:v>
      </x:c>
      <x:c r="V168" s="21" t="s">
        <x:v>176</x:v>
      </x:c>
      <x:c r="W168" s="12" t="str">
        <x:v>独立事件；按本行事实口径计数。</x:v>
      </x:c>
    </x:row>
    <x:row r="169" ht="58" customHeight="1">
      <x:c r="A169" s="14" t="s">
        <x:v>75</x:v>
      </x:c>
      <x:c r="B169" s="14" t="s">
        <x:v>561</x:v>
      </x:c>
      <x:c r="C169" s="14" t="s">
        <x:v>164</x:v>
      </x:c>
      <x:c r="D169" s="14" t="s">
        <x:v>165</x:v>
      </x:c>
      <x:c r="E169" s="14" t="s">
        <x:v>198</x:v>
      </x:c>
      <x:c r="F169" s="14" t="s">
        <x:v>199</x:v>
      </x:c>
      <x:c r="G169" s="14" t="s">
        <x:v>562</x:v>
      </x:c>
      <x:c r="H169" s="14">
        <x:v>100</x:v>
      </x:c>
      <x:c r="I169" s="14">
        <x:v>100</x:v>
      </x:c>
      <x:c r="J169" s="14" t="s">
        <x:v>168</x:v>
      </x:c>
      <x:c r="K169" s="14" t="s">
        <x:v>169</x:v>
      </x:c>
      <x:c r="L169" s="14" t="s">
        <x:v>563</x:v>
      </x:c>
      <x:c r="M169" s="14" t="s">
        <x:v>171</x:v>
      </x:c>
      <x:c r="N169" s="14" t="s">
        <x:v>171</x:v>
      </x:c>
      <x:c r="O169" s="14" t="s">
        <x:v>172</x:v>
      </x:c>
      <x:c r="P169" s="14" t="s">
        <x:v>172</x:v>
      </x:c>
      <x:c r="Q169" s="14" t="s">
        <x:v>172</x:v>
      </x:c>
      <x:c r="R169" s="14" t="s">
        <x:v>193</x:v>
      </x:c>
      <x:c r="S169" s="14" t="s">
        <x:v>189</x:v>
      </x:c>
      <x:c r="T169" s="14" t="s">
        <x:v>564</x:v>
      </x:c>
      <x:c r="U169" s="14" t="s">
        <x:v>172</x:v>
      </x:c>
      <x:c r="V169" s="21" t="s">
        <x:v>176</x:v>
      </x:c>
      <x:c r="W169" s="14" t="str">
        <x:v>独立事件；按本行事实口径计数。</x:v>
      </x:c>
    </x:row>
    <x:row r="170" ht="58" customHeight="1">
      <x:c r="A170" s="12" t="s">
        <x:v>75</x:v>
      </x:c>
      <x:c r="B170" s="12" t="s">
        <x:v>561</x:v>
      </x:c>
      <x:c r="C170" s="12" t="s">
        <x:v>178</x:v>
      </x:c>
      <x:c r="D170" s="12" t="s">
        <x:v>202</x:v>
      </x:c>
      <x:c r="E170" s="12" t="s">
        <x:v>203</x:v>
      </x:c>
      <x:c r="F170" s="12" t="s">
        <x:v>203</x:v>
      </x:c>
      <x:c r="G170" s="12" t="s">
        <x:v>565</x:v>
      </x:c>
      <x:c r="H170" s="12">
        <x:v>100</x:v>
      </x:c>
      <x:c r="I170" s="12">
        <x:v>0</x:v>
      </x:c>
      <x:c r="J170" s="12" t="str">
        <x:v>已取消</x:v>
      </x:c>
      <x:c r="K170" s="12"/>
      <x:c r="L170" s="12"/>
      <x:c r="M170" s="12" t="s">
        <x:v>172</x:v>
      </x:c>
      <x:c r="N170" s="12" t="s">
        <x:v>172</x:v>
      </x:c>
      <x:c r="O170" s="12" t="s">
        <x:v>172</x:v>
      </x:c>
      <x:c r="P170" s="12" t="s">
        <x:v>172</x:v>
      </x:c>
      <x:c r="Q170" s="12" t="s">
        <x:v>172</x:v>
      </x:c>
      <x:c r="R170" s="12" t="str">
        <x:v>相邻记录</x:v>
      </x:c>
      <x:c r="S170" s="12" t="str">
        <x:v>平台直接字段</x:v>
      </x:c>
      <x:c r="T170" s="12" t="str">
        <x:v>条件委托已取消；算法编号1000002004099293；创建时间2026-06-18 21:38:59；撤销时间2026-06-18 21:53:39；是否触发否；周期关联等级STRONG_CONTEXT；取消/过期原因无法确认（已完成为不适用）。</x:v>
      </x:c>
      <x:c r="U170" s="12" t="s">
        <x:v>171</x:v>
      </x:c>
      <x:c r="V170" s="21" t="s">
        <x:v>176</x:v>
      </x:c>
      <x:c r="W170" s="12" t="str">
        <x:v>algorithm_id=1000002004099293；terminal_at=2026-06-18 21:53:39；关联=STRONG_CONTEXT</x:v>
      </x:c>
    </x:row>
    <x:row r="171" ht="58" customHeight="1">
      <x:c r="A171" s="14" t="s">
        <x:v>75</x:v>
      </x:c>
      <x:c r="B171" s="14" t="s">
        <x:v>566</x:v>
      </x:c>
      <x:c r="C171" s="14" t="s">
        <x:v>178</x:v>
      </x:c>
      <x:c r="D171" s="14" t="s">
        <x:v>184</x:v>
      </x:c>
      <x:c r="E171" s="14" t="s">
        <x:v>234</x:v>
      </x:c>
      <x:c r="F171" s="14" t="s">
        <x:v>185</x:v>
      </x:c>
      <x:c r="G171" s="14" t="s">
        <x:v>567</x:v>
      </x:c>
      <x:c r="H171" s="14">
        <x:v>100</x:v>
      </x:c>
      <x:c r="I171" s="14">
        <x:v>0</x:v>
      </x:c>
      <x:c r="J171" s="14" t="s">
        <x:v>187</x:v>
      </x:c>
      <x:c r="K171" s="14" t="s">
        <x:v>563</x:v>
      </x:c>
      <x:c r="L171" s="14" t="s">
        <x:v>563</x:v>
      </x:c>
      <x:c r="M171" s="14" t="s">
        <x:v>172</x:v>
      </x:c>
      <x:c r="N171" s="14" t="s">
        <x:v>172</x:v>
      </x:c>
      <x:c r="O171" s="14" t="s">
        <x:v>172</x:v>
      </x:c>
      <x:c r="P171" s="14" t="s">
        <x:v>172</x:v>
      </x:c>
      <x:c r="Q171" s="14" t="s">
        <x:v>172</x:v>
      </x:c>
      <x:c r="R171" s="14" t="s">
        <x:v>188</x:v>
      </x:c>
      <x:c r="S171" s="14" t="s">
        <x:v>189</x:v>
      </x:c>
      <x:c r="T171" s="14" t="s">
        <x:v>568</x:v>
      </x:c>
      <x:c r="U171" s="14" t="s">
        <x:v>172</x:v>
      </x:c>
      <x:c r="V171" s="21" t="s">
        <x:v>176</x:v>
      </x:c>
      <x:c r="W171" s="14" t="str">
        <x:v>独立事件；按本行事实口径计数。</x:v>
      </x:c>
    </x:row>
    <x:row r="172" ht="58" customHeight="1">
      <x:c r="A172" s="12" t="s">
        <x:v>75</x:v>
      </x:c>
      <x:c r="B172" s="12" t="s">
        <x:v>569</x:v>
      </x:c>
      <x:c r="C172" s="12" t="s">
        <x:v>178</x:v>
      </x:c>
      <x:c r="D172" s="12" t="s">
        <x:v>165</x:v>
      </x:c>
      <x:c r="E172" s="12" t="s">
        <x:v>227</x:v>
      </x:c>
      <x:c r="F172" s="12" t="s">
        <x:v>199</x:v>
      </x:c>
      <x:c r="G172" s="12" t="s">
        <x:v>570</x:v>
      </x:c>
      <x:c r="H172" s="12">
        <x:v>100</x:v>
      </x:c>
      <x:c r="I172" s="12">
        <x:v>100</x:v>
      </x:c>
      <x:c r="J172" s="12" t="s">
        <x:v>168</x:v>
      </x:c>
      <x:c r="K172" s="12" t="s">
        <x:v>563</x:v>
      </x:c>
      <x:c r="L172" s="12" t="s">
        <x:v>571</x:v>
      </x:c>
      <x:c r="M172" s="12" t="s">
        <x:v>171</x:v>
      </x:c>
      <x:c r="N172" s="12" t="s">
        <x:v>172</x:v>
      </x:c>
      <x:c r="O172" s="12" t="s">
        <x:v>171</x:v>
      </x:c>
      <x:c r="P172" s="12" t="s">
        <x:v>172</x:v>
      </x:c>
      <x:c r="Q172" s="12" t="s">
        <x:v>172</x:v>
      </x:c>
      <x:c r="R172" s="12" t="s">
        <x:v>195</x:v>
      </x:c>
      <x:c r="S172" s="12" t="s">
        <x:v>20</x:v>
      </x:c>
      <x:c r="T172" s="12" t="s">
        <x:v>572</x:v>
      </x:c>
      <x:c r="U172" s="12" t="s">
        <x:v>171</x:v>
      </x:c>
      <x:c r="V172" s="21" t="s">
        <x:v>176</x:v>
      </x:c>
      <x:c r="W172" s="12" t="str">
        <x:v>独立事件；按本行事实口径计数。</x:v>
      </x:c>
    </x:row>
    <x:row r="173" ht="58" customHeight="1">
      <x:c r="A173" s="14" t="s">
        <x:v>75</x:v>
      </x:c>
      <x:c r="B173" s="14" t="s">
        <x:v>573</x:v>
      </x:c>
      <x:c r="C173" s="14" t="s">
        <x:v>178</x:v>
      </x:c>
      <x:c r="D173" s="14" t="s">
        <x:v>202</x:v>
      </x:c>
      <x:c r="E173" s="14" t="s">
        <x:v>205</x:v>
      </x:c>
      <x:c r="F173" s="14" t="s">
        <x:v>205</x:v>
      </x:c>
      <x:c r="G173" s="14" t="s">
        <x:v>574</x:v>
      </x:c>
      <x:c r="H173" s="14">
        <x:v>0</x:v>
      </x:c>
      <x:c r="I173" s="14">
        <x:v>0</x:v>
      </x:c>
      <x:c r="J173" s="14" t="str">
        <x:v>已取消</x:v>
      </x:c>
      <x:c r="K173" s="14"/>
      <x:c r="L173" s="14"/>
      <x:c r="M173" s="14" t="s">
        <x:v>172</x:v>
      </x:c>
      <x:c r="N173" s="14" t="s">
        <x:v>172</x:v>
      </x:c>
      <x:c r="O173" s="14" t="s">
        <x:v>172</x:v>
      </x:c>
      <x:c r="P173" s="14" t="s">
        <x:v>172</x:v>
      </x:c>
      <x:c r="Q173" s="14" t="s">
        <x:v>172</x:v>
      </x:c>
      <x:c r="R173" s="14" t="str">
        <x:v>疑似连续调整</x:v>
      </x:c>
      <x:c r="S173" s="14" t="str">
        <x:v>平台直接字段</x:v>
      </x:c>
      <x:c r="T173" s="14" t="str">
        <x:v>条件委托已取消；算法编号1000002004308210；创建时间2026-06-18 22:01:24；撤销时间2026-06-19 01:52:46；是否触发否；周期关联等级STRONG_CONTEXT；取消/过期原因无法确认（已完成为不适用）。</x:v>
      </x:c>
      <x:c r="U173" s="14" t="s">
        <x:v>172</x:v>
      </x:c>
      <x:c r="V173" s="21" t="s">
        <x:v>176</x:v>
      </x:c>
      <x:c r="W173" s="14" t="str">
        <x:v>algorithm_id=1000002004308210；terminal_at=2026-06-19 01:52:46；关联=STRONG_CONTEXT</x:v>
      </x:c>
    </x:row>
    <x:row r="174" ht="58" customHeight="1">
      <x:c r="A174" s="12" t="s">
        <x:v>75</x:v>
      </x:c>
      <x:c r="B174" s="12" t="s">
        <x:v>575</x:v>
      </x:c>
      <x:c r="C174" s="12" t="s">
        <x:v>178</x:v>
      </x:c>
      <x:c r="D174" s="12" t="s">
        <x:v>184</x:v>
      </x:c>
      <x:c r="E174" s="12" t="s">
        <x:v>234</x:v>
      </x:c>
      <x:c r="F174" s="12" t="s">
        <x:v>185</x:v>
      </x:c>
      <x:c r="G174" s="12" t="s">
        <x:v>576</x:v>
      </x:c>
      <x:c r="H174" s="12">
        <x:v>200</x:v>
      </x:c>
      <x:c r="I174" s="12">
        <x:v>0</x:v>
      </x:c>
      <x:c r="J174" s="12" t="s">
        <x:v>236</x:v>
      </x:c>
      <x:c r="K174" s="12" t="s">
        <x:v>571</x:v>
      </x:c>
      <x:c r="L174" s="12" t="s">
        <x:v>571</x:v>
      </x:c>
      <x:c r="M174" s="12" t="s">
        <x:v>172</x:v>
      </x:c>
      <x:c r="N174" s="12" t="s">
        <x:v>172</x:v>
      </x:c>
      <x:c r="O174" s="12" t="s">
        <x:v>172</x:v>
      </x:c>
      <x:c r="P174" s="12" t="s">
        <x:v>172</x:v>
      </x:c>
      <x:c r="Q174" s="12" t="s">
        <x:v>172</x:v>
      </x:c>
      <x:c r="R174" s="12" t="s">
        <x:v>195</x:v>
      </x:c>
      <x:c r="S174" s="12" t="s">
        <x:v>20</x:v>
      </x:c>
      <x:c r="T174" s="12" t="s">
        <x:v>577</x:v>
      </x:c>
      <x:c r="U174" s="12" t="s">
        <x:v>171</x:v>
      </x:c>
      <x:c r="V174" s="21" t="s">
        <x:v>176</x:v>
      </x:c>
      <x:c r="W174" s="12" t="str">
        <x:v>独立事件；按本行事实口径计数。</x:v>
      </x:c>
    </x:row>
    <x:row r="175" ht="58" customHeight="1">
      <x:c r="A175" s="14" t="s">
        <x:v>75</x:v>
      </x:c>
      <x:c r="B175" s="14" t="s">
        <x:v>578</x:v>
      </x:c>
      <x:c r="C175" s="14" t="s">
        <x:v>178</x:v>
      </x:c>
      <x:c r="D175" s="14" t="s">
        <x:v>184</x:v>
      </x:c>
      <x:c r="E175" s="14" t="s">
        <x:v>223</x:v>
      </x:c>
      <x:c r="F175" s="14" t="s">
        <x:v>185</x:v>
      </x:c>
      <x:c r="G175" s="14" t="s">
        <x:v>579</x:v>
      </x:c>
      <x:c r="H175" s="14">
        <x:v>100</x:v>
      </x:c>
      <x:c r="I175" s="14">
        <x:v>0</x:v>
      </x:c>
      <x:c r="J175" s="14" t="s">
        <x:v>187</x:v>
      </x:c>
      <x:c r="K175" s="14" t="s">
        <x:v>571</x:v>
      </x:c>
      <x:c r="L175" s="14" t="s">
        <x:v>571</x:v>
      </x:c>
      <x:c r="M175" s="14" t="s">
        <x:v>172</x:v>
      </x:c>
      <x:c r="N175" s="14" t="s">
        <x:v>172</x:v>
      </x:c>
      <x:c r="O175" s="14" t="s">
        <x:v>172</x:v>
      </x:c>
      <x:c r="P175" s="14" t="s">
        <x:v>172</x:v>
      </x:c>
      <x:c r="Q175" s="14" t="s">
        <x:v>172</x:v>
      </x:c>
      <x:c r="R175" s="14" t="s">
        <x:v>195</x:v>
      </x:c>
      <x:c r="S175" s="14" t="s">
        <x:v>20</x:v>
      </x:c>
      <x:c r="T175" s="14" t="s">
        <x:v>580</x:v>
      </x:c>
      <x:c r="U175" s="14" t="s">
        <x:v>171</x:v>
      </x:c>
      <x:c r="V175" s="21" t="s">
        <x:v>176</x:v>
      </x:c>
      <x:c r="W175" s="14" t="str">
        <x:v>独立事件；按本行事实口径计数。</x:v>
      </x:c>
    </x:row>
    <x:row r="176" ht="58" customHeight="1">
      <x:c r="A176" s="12" t="s">
        <x:v>75</x:v>
      </x:c>
      <x:c r="B176" s="12" t="s">
        <x:v>581</x:v>
      </x:c>
      <x:c r="C176" s="12" t="s">
        <x:v>178</x:v>
      </x:c>
      <x:c r="D176" s="12" t="s">
        <x:v>184</x:v>
      </x:c>
      <x:c r="E176" s="12" t="s">
        <x:v>234</x:v>
      </x:c>
      <x:c r="F176" s="12" t="s">
        <x:v>185</x:v>
      </x:c>
      <x:c r="G176" s="12" t="s">
        <x:v>582</x:v>
      </x:c>
      <x:c r="H176" s="12">
        <x:v>200</x:v>
      </x:c>
      <x:c r="I176" s="12">
        <x:v>0</x:v>
      </x:c>
      <x:c r="J176" s="12" t="s">
        <x:v>187</x:v>
      </x:c>
      <x:c r="K176" s="12" t="s">
        <x:v>571</x:v>
      </x:c>
      <x:c r="L176" s="12" t="s">
        <x:v>571</x:v>
      </x:c>
      <x:c r="M176" s="12" t="s">
        <x:v>172</x:v>
      </x:c>
      <x:c r="N176" s="12" t="s">
        <x:v>172</x:v>
      </x:c>
      <x:c r="O176" s="12" t="s">
        <x:v>172</x:v>
      </x:c>
      <x:c r="P176" s="12" t="s">
        <x:v>172</x:v>
      </x:c>
      <x:c r="Q176" s="12" t="s">
        <x:v>172</x:v>
      </x:c>
      <x:c r="R176" s="12" t="s">
        <x:v>195</x:v>
      </x:c>
      <x:c r="S176" s="12" t="s">
        <x:v>20</x:v>
      </x:c>
      <x:c r="T176" s="12" t="s">
        <x:v>583</x:v>
      </x:c>
      <x:c r="U176" s="12" t="s">
        <x:v>171</x:v>
      </x:c>
      <x:c r="V176" s="21" t="s">
        <x:v>176</x:v>
      </x:c>
      <x:c r="W176" s="12" t="str">
        <x:v>独立事件；按本行事实口径计数。</x:v>
      </x:c>
    </x:row>
    <x:row r="177" ht="58" customHeight="1">
      <x:c r="A177" s="14" t="s">
        <x:v>75</x:v>
      </x:c>
      <x:c r="B177" s="14" t="s">
        <x:v>584</x:v>
      </x:c>
      <x:c r="C177" s="14" t="s">
        <x:v>178</x:v>
      </x:c>
      <x:c r="D177" s="14" t="s">
        <x:v>184</x:v>
      </x:c>
      <x:c r="E177" s="14" t="s">
        <x:v>234</x:v>
      </x:c>
      <x:c r="F177" s="14" t="s">
        <x:v>185</x:v>
      </x:c>
      <x:c r="G177" s="14" t="s">
        <x:v>585</x:v>
      </x:c>
      <x:c r="H177" s="14">
        <x:v>200</x:v>
      </x:c>
      <x:c r="I177" s="14">
        <x:v>0</x:v>
      </x:c>
      <x:c r="J177" s="14" t="s">
        <x:v>187</x:v>
      </x:c>
      <x:c r="K177" s="14" t="s">
        <x:v>571</x:v>
      </x:c>
      <x:c r="L177" s="14" t="s">
        <x:v>571</x:v>
      </x:c>
      <x:c r="M177" s="14" t="s">
        <x:v>172</x:v>
      </x:c>
      <x:c r="N177" s="14" t="s">
        <x:v>172</x:v>
      </x:c>
      <x:c r="O177" s="14" t="s">
        <x:v>172</x:v>
      </x:c>
      <x:c r="P177" s="14" t="s">
        <x:v>172</x:v>
      </x:c>
      <x:c r="Q177" s="14" t="s">
        <x:v>172</x:v>
      </x:c>
      <x:c r="R177" s="14" t="s">
        <x:v>193</x:v>
      </x:c>
      <x:c r="S177" s="14" t="s">
        <x:v>189</x:v>
      </x:c>
      <x:c r="T177" s="14" t="s">
        <x:v>586</x:v>
      </x:c>
      <x:c r="U177" s="14" t="s">
        <x:v>172</x:v>
      </x:c>
      <x:c r="V177" s="21" t="s">
        <x:v>176</x:v>
      </x:c>
      <x:c r="W177" s="14" t="str">
        <x:v>独立事件；按本行事实口径计数。</x:v>
      </x:c>
    </x:row>
    <x:row r="178" ht="58" customHeight="1">
      <x:c r="A178" s="12" t="s">
        <x:v>75</x:v>
      </x:c>
      <x:c r="B178" s="12" t="s">
        <x:v>587</x:v>
      </x:c>
      <x:c r="C178" s="12" t="s">
        <x:v>178</x:v>
      </x:c>
      <x:c r="D178" s="12" t="s">
        <x:v>184</x:v>
      </x:c>
      <x:c r="E178" s="12" t="s">
        <x:v>234</x:v>
      </x:c>
      <x:c r="F178" s="12" t="s">
        <x:v>185</x:v>
      </x:c>
      <x:c r="G178" s="12" t="s">
        <x:v>588</x:v>
      </x:c>
      <x:c r="H178" s="12">
        <x:v>200</x:v>
      </x:c>
      <x:c r="I178" s="12">
        <x:v>0</x:v>
      </x:c>
      <x:c r="J178" s="12" t="s">
        <x:v>187</x:v>
      </x:c>
      <x:c r="K178" s="12" t="s">
        <x:v>571</x:v>
      </x:c>
      <x:c r="L178" s="12" t="s">
        <x:v>571</x:v>
      </x:c>
      <x:c r="M178" s="12" t="s">
        <x:v>172</x:v>
      </x:c>
      <x:c r="N178" s="12" t="s">
        <x:v>172</x:v>
      </x:c>
      <x:c r="O178" s="12" t="s">
        <x:v>172</x:v>
      </x:c>
      <x:c r="P178" s="12" t="s">
        <x:v>172</x:v>
      </x:c>
      <x:c r="Q178" s="12" t="s">
        <x:v>172</x:v>
      </x:c>
      <x:c r="R178" s="12" t="s">
        <x:v>193</x:v>
      </x:c>
      <x:c r="S178" s="12" t="s">
        <x:v>189</x:v>
      </x:c>
      <x:c r="T178" s="12" t="s">
        <x:v>586</x:v>
      </x:c>
      <x:c r="U178" s="12" t="s">
        <x:v>172</x:v>
      </x:c>
      <x:c r="V178" s="21" t="s">
        <x:v>176</x:v>
      </x:c>
      <x:c r="W178" s="12" t="str">
        <x:v>独立事件；按本行事实口径计数。</x:v>
      </x:c>
    </x:row>
    <x:row r="179" ht="58" customHeight="1">
      <x:c r="A179" s="14" t="s">
        <x:v>75</x:v>
      </x:c>
      <x:c r="B179" s="14" t="s">
        <x:v>589</x:v>
      </x:c>
      <x:c r="C179" s="14" t="s">
        <x:v>178</x:v>
      </x:c>
      <x:c r="D179" s="14" t="s">
        <x:v>184</x:v>
      </x:c>
      <x:c r="E179" s="14" t="s">
        <x:v>223</x:v>
      </x:c>
      <x:c r="F179" s="14" t="s">
        <x:v>185</x:v>
      </x:c>
      <x:c r="G179" s="14" t="s">
        <x:v>590</x:v>
      </x:c>
      <x:c r="H179" s="14">
        <x:v>70</x:v>
      </x:c>
      <x:c r="I179" s="14">
        <x:v>0</x:v>
      </x:c>
      <x:c r="J179" s="14" t="s">
        <x:v>187</x:v>
      </x:c>
      <x:c r="K179" s="14" t="s">
        <x:v>571</x:v>
      </x:c>
      <x:c r="L179" s="14" t="s">
        <x:v>571</x:v>
      </x:c>
      <x:c r="M179" s="14" t="s">
        <x:v>172</x:v>
      </x:c>
      <x:c r="N179" s="14" t="s">
        <x:v>172</x:v>
      </x:c>
      <x:c r="O179" s="14" t="s">
        <x:v>172</x:v>
      </x:c>
      <x:c r="P179" s="14" t="s">
        <x:v>172</x:v>
      </x:c>
      <x:c r="Q179" s="14" t="s">
        <x:v>172</x:v>
      </x:c>
      <x:c r="R179" s="14" t="s">
        <x:v>195</x:v>
      </x:c>
      <x:c r="S179" s="14" t="s">
        <x:v>20</x:v>
      </x:c>
      <x:c r="T179" s="14" t="s">
        <x:v>580</x:v>
      </x:c>
      <x:c r="U179" s="14" t="s">
        <x:v>171</x:v>
      </x:c>
      <x:c r="V179" s="21" t="s">
        <x:v>176</x:v>
      </x:c>
      <x:c r="W179" s="14" t="str">
        <x:v>独立事件；按本行事实口径计数。</x:v>
      </x:c>
    </x:row>
    <x:row r="180" ht="58" customHeight="1">
      <x:c r="A180" s="12" t="s">
        <x:v>75</x:v>
      </x:c>
      <x:c r="B180" s="12" t="s">
        <x:v>591</x:v>
      </x:c>
      <x:c r="C180" s="12" t="s">
        <x:v>178</x:v>
      </x:c>
      <x:c r="D180" s="12" t="s">
        <x:v>202</x:v>
      </x:c>
      <x:c r="E180" s="12" t="s">
        <x:v>203</x:v>
      </x:c>
      <x:c r="F180" s="12" t="s">
        <x:v>203</x:v>
      </x:c>
      <x:c r="G180" s="12" t="s">
        <x:v>592</x:v>
      </x:c>
      <x:c r="H180" s="12">
        <x:v>0</x:v>
      </x:c>
      <x:c r="I180" s="12">
        <x:v>0</x:v>
      </x:c>
      <x:c r="J180" s="12" t="str">
        <x:v>已取消</x:v>
      </x:c>
      <x:c r="K180" s="12"/>
      <x:c r="L180" s="12"/>
      <x:c r="M180" s="12" t="s">
        <x:v>172</x:v>
      </x:c>
      <x:c r="N180" s="12" t="s">
        <x:v>172</x:v>
      </x:c>
      <x:c r="O180" s="12" t="s">
        <x:v>172</x:v>
      </x:c>
      <x:c r="P180" s="12" t="s">
        <x:v>172</x:v>
      </x:c>
      <x:c r="Q180" s="12" t="s">
        <x:v>172</x:v>
      </x:c>
      <x:c r="R180" s="12" t="str">
        <x:v>相邻记录</x:v>
      </x:c>
      <x:c r="S180" s="12" t="str">
        <x:v>平台直接字段</x:v>
      </x:c>
      <x:c r="T180" s="12" t="str">
        <x:v>条件委托已取消；算法编号1000002004958122；创建时间2026-06-18 23:15:30；撤销时间2026-06-19 00:24:36；是否触发否；周期关联等级STRONG_CONTEXT；取消/过期原因无法确认（已完成为不适用）。</x:v>
      </x:c>
      <x:c r="U180" s="12" t="s">
        <x:v>171</x:v>
      </x:c>
      <x:c r="V180" s="21" t="s">
        <x:v>176</x:v>
      </x:c>
      <x:c r="W180" s="12" t="str">
        <x:v>algorithm_id=1000002004958122；terminal_at=2026-06-19 00:24:36；关联=STRONG_CONTEXT</x:v>
      </x:c>
    </x:row>
    <x:row r="181" ht="58" customHeight="1">
      <x:c r="A181" s="14" t="s">
        <x:v>75</x:v>
      </x:c>
      <x:c r="B181" s="14" t="s">
        <x:v>593</x:v>
      </x:c>
      <x:c r="C181" s="14" t="s">
        <x:v>178</x:v>
      </x:c>
      <x:c r="D181" s="14" t="s">
        <x:v>184</x:v>
      </x:c>
      <x:c r="E181" s="14" t="s">
        <x:v>223</x:v>
      </x:c>
      <x:c r="F181" s="14" t="s">
        <x:v>185</x:v>
      </x:c>
      <x:c r="G181" s="14" t="s">
        <x:v>594</x:v>
      </x:c>
      <x:c r="H181" s="14">
        <x:v>99.84</x:v>
      </x:c>
      <x:c r="I181" s="14">
        <x:v>0</x:v>
      </x:c>
      <x:c r="J181" s="14" t="s">
        <x:v>187</x:v>
      </x:c>
      <x:c r="K181" s="14" t="s">
        <x:v>571</x:v>
      </x:c>
      <x:c r="L181" s="14" t="s">
        <x:v>571</x:v>
      </x:c>
      <x:c r="M181" s="14" t="s">
        <x:v>172</x:v>
      </x:c>
      <x:c r="N181" s="14" t="s">
        <x:v>172</x:v>
      </x:c>
      <x:c r="O181" s="14" t="s">
        <x:v>172</x:v>
      </x:c>
      <x:c r="P181" s="14" t="s">
        <x:v>172</x:v>
      </x:c>
      <x:c r="Q181" s="14" t="s">
        <x:v>172</x:v>
      </x:c>
      <x:c r="R181" s="14" t="s">
        <x:v>193</x:v>
      </x:c>
      <x:c r="S181" s="14" t="s">
        <x:v>189</x:v>
      </x:c>
      <x:c r="T181" s="14" t="s">
        <x:v>595</x:v>
      </x:c>
      <x:c r="U181" s="14" t="s">
        <x:v>172</x:v>
      </x:c>
      <x:c r="V181" s="21" t="s">
        <x:v>176</x:v>
      </x:c>
      <x:c r="W181" s="14" t="str">
        <x:v>独立事件；按本行事实口径计数。</x:v>
      </x:c>
    </x:row>
    <x:row r="182" ht="58" customHeight="1">
      <x:c r="A182" s="12" t="s">
        <x:v>75</x:v>
      </x:c>
      <x:c r="B182" s="12" t="s">
        <x:v>596</x:v>
      </x:c>
      <x:c r="C182" s="12" t="s">
        <x:v>178</x:v>
      </x:c>
      <x:c r="D182" s="12" t="s">
        <x:v>184</x:v>
      </x:c>
      <x:c r="E182" s="12" t="s">
        <x:v>234</x:v>
      </x:c>
      <x:c r="F182" s="12" t="s">
        <x:v>185</x:v>
      </x:c>
      <x:c r="G182" s="12" t="s">
        <x:v>585</x:v>
      </x:c>
      <x:c r="H182" s="12">
        <x:v>200</x:v>
      </x:c>
      <x:c r="I182" s="12">
        <x:v>0</x:v>
      </x:c>
      <x:c r="J182" s="12" t="s">
        <x:v>236</x:v>
      </x:c>
      <x:c r="K182" s="12" t="s">
        <x:v>571</x:v>
      </x:c>
      <x:c r="L182" s="12" t="s">
        <x:v>571</x:v>
      </x:c>
      <x:c r="M182" s="12" t="s">
        <x:v>172</x:v>
      </x:c>
      <x:c r="N182" s="12" t="s">
        <x:v>172</x:v>
      </x:c>
      <x:c r="O182" s="12" t="s">
        <x:v>172</x:v>
      </x:c>
      <x:c r="P182" s="12" t="s">
        <x:v>172</x:v>
      </x:c>
      <x:c r="Q182" s="12" t="s">
        <x:v>172</x:v>
      </x:c>
      <x:c r="R182" s="12" t="s">
        <x:v>195</x:v>
      </x:c>
      <x:c r="S182" s="12" t="s">
        <x:v>20</x:v>
      </x:c>
      <x:c r="T182" s="12" t="s">
        <x:v>577</x:v>
      </x:c>
      <x:c r="U182" s="12" t="s">
        <x:v>171</x:v>
      </x:c>
      <x:c r="V182" s="21" t="s">
        <x:v>176</x:v>
      </x:c>
      <x:c r="W182" s="12" t="str">
        <x:v>独立事件；按本行事实口径计数。</x:v>
      </x:c>
    </x:row>
    <x:row r="183" ht="58" customHeight="1">
      <x:c r="A183" s="14" t="s">
        <x:v>75</x:v>
      </x:c>
      <x:c r="B183" s="14" t="s">
        <x:v>597</x:v>
      </x:c>
      <x:c r="C183" s="14" t="s">
        <x:v>178</x:v>
      </x:c>
      <x:c r="D183" s="14" t="s">
        <x:v>184</x:v>
      </x:c>
      <x:c r="E183" s="14" t="s">
        <x:v>234</x:v>
      </x:c>
      <x:c r="F183" s="14" t="s">
        <x:v>185</x:v>
      </x:c>
      <x:c r="G183" s="14" t="s">
        <x:v>598</x:v>
      </x:c>
      <x:c r="H183" s="14">
        <x:v>200</x:v>
      </x:c>
      <x:c r="I183" s="14">
        <x:v>0</x:v>
      </x:c>
      <x:c r="J183" s="14" t="s">
        <x:v>187</x:v>
      </x:c>
      <x:c r="K183" s="14" t="s">
        <x:v>571</x:v>
      </x:c>
      <x:c r="L183" s="14" t="s">
        <x:v>571</x:v>
      </x:c>
      <x:c r="M183" s="14" t="s">
        <x:v>172</x:v>
      </x:c>
      <x:c r="N183" s="14" t="s">
        <x:v>172</x:v>
      </x:c>
      <x:c r="O183" s="14" t="s">
        <x:v>172</x:v>
      </x:c>
      <x:c r="P183" s="14" t="s">
        <x:v>172</x:v>
      </x:c>
      <x:c r="Q183" s="14" t="s">
        <x:v>172</x:v>
      </x:c>
      <x:c r="R183" s="14" t="s">
        <x:v>193</x:v>
      </x:c>
      <x:c r="S183" s="14" t="s">
        <x:v>189</x:v>
      </x:c>
      <x:c r="T183" s="14" t="s">
        <x:v>586</x:v>
      </x:c>
      <x:c r="U183" s="14" t="s">
        <x:v>172</x:v>
      </x:c>
      <x:c r="V183" s="21" t="s">
        <x:v>176</x:v>
      </x:c>
      <x:c r="W183" s="14" t="str">
        <x:v>独立事件；按本行事实口径计数。</x:v>
      </x:c>
    </x:row>
    <x:row r="184" ht="58" customHeight="1">
      <x:c r="A184" s="12" t="s">
        <x:v>75</x:v>
      </x:c>
      <x:c r="B184" s="12" t="s">
        <x:v>599</x:v>
      </x:c>
      <x:c r="C184" s="12" t="s">
        <x:v>178</x:v>
      </x:c>
      <x:c r="D184" s="12" t="s">
        <x:v>202</x:v>
      </x:c>
      <x:c r="E184" s="12" t="s">
        <x:v>203</x:v>
      </x:c>
      <x:c r="F184" s="12" t="s">
        <x:v>203</x:v>
      </x:c>
      <x:c r="G184" s="12" t="s">
        <x:v>598</x:v>
      </x:c>
      <x:c r="H184" s="12">
        <x:v>0</x:v>
      </x:c>
      <x:c r="I184" s="12">
        <x:v>0</x:v>
      </x:c>
      <x:c r="J184" s="12" t="str">
        <x:v>已过期</x:v>
      </x:c>
      <x:c r="K184" s="12"/>
      <x:c r="L184" s="12"/>
      <x:c r="M184" s="12" t="s">
        <x:v>172</x:v>
      </x:c>
      <x:c r="N184" s="12" t="s">
        <x:v>172</x:v>
      </x:c>
      <x:c r="O184" s="12" t="s">
        <x:v>172</x:v>
      </x:c>
      <x:c r="P184" s="12" t="s">
        <x:v>172</x:v>
      </x:c>
      <x:c r="Q184" s="12" t="s">
        <x:v>172</x:v>
      </x:c>
      <x:c r="R184" s="12" t="str">
        <x:v>疑似连续调整</x:v>
      </x:c>
      <x:c r="S184" s="12" t="str">
        <x:v>平台直接字段</x:v>
      </x:c>
      <x:c r="T184" s="12" t="str">
        <x:v>条件委托已过期；算法编号1000002005798922；创建时间2026-06-19 00:29:36；过期时间2026-06-19 02:13:06；是否触发否；周期关联等级STRONG_CONTEXT；取消/过期原因无法确认（已完成为不适用）。</x:v>
      </x:c>
      <x:c r="U184" s="12" t="s">
        <x:v>172</x:v>
      </x:c>
      <x:c r="V184" s="21" t="s">
        <x:v>176</x:v>
      </x:c>
      <x:c r="W184" s="12" t="str">
        <x:v>algorithm_id=1000002005798922；terminal_at=2026-06-19 02:13:06；关联=STRONG_CONTEXT</x:v>
      </x:c>
    </x:row>
    <x:row r="185" ht="58" customHeight="1">
      <x:c r="A185" s="14" t="s">
        <x:v>75</x:v>
      </x:c>
      <x:c r="B185" s="14" t="s">
        <x:v>600</x:v>
      </x:c>
      <x:c r="C185" s="14" t="s">
        <x:v>178</x:v>
      </x:c>
      <x:c r="D185" s="14" t="s">
        <x:v>184</x:v>
      </x:c>
      <x:c r="E185" s="14" t="s">
        <x:v>223</x:v>
      </x:c>
      <x:c r="F185" s="14" t="s">
        <x:v>185</x:v>
      </x:c>
      <x:c r="G185" s="14" t="s">
        <x:v>601</x:v>
      </x:c>
      <x:c r="H185" s="14">
        <x:v>107.74</x:v>
      </x:c>
      <x:c r="I185" s="14">
        <x:v>0</x:v>
      </x:c>
      <x:c r="J185" s="14" t="s">
        <x:v>187</x:v>
      </x:c>
      <x:c r="K185" s="14" t="s">
        <x:v>571</x:v>
      </x:c>
      <x:c r="L185" s="14" t="s">
        <x:v>571</x:v>
      </x:c>
      <x:c r="M185" s="14" t="s">
        <x:v>172</x:v>
      </x:c>
      <x:c r="N185" s="14" t="s">
        <x:v>172</x:v>
      </x:c>
      <x:c r="O185" s="14" t="s">
        <x:v>172</x:v>
      </x:c>
      <x:c r="P185" s="14" t="s">
        <x:v>172</x:v>
      </x:c>
      <x:c r="Q185" s="14" t="s">
        <x:v>172</x:v>
      </x:c>
      <x:c r="R185" s="14" t="s">
        <x:v>195</x:v>
      </x:c>
      <x:c r="S185" s="14" t="s">
        <x:v>20</x:v>
      </x:c>
      <x:c r="T185" s="14" t="s">
        <x:v>580</x:v>
      </x:c>
      <x:c r="U185" s="14" t="s">
        <x:v>171</x:v>
      </x:c>
      <x:c r="V185" s="21" t="s">
        <x:v>176</x:v>
      </x:c>
      <x:c r="W185" s="14" t="str">
        <x:v>独立事件；按本行事实口径计数。</x:v>
      </x:c>
    </x:row>
    <x:row r="186" ht="58" customHeight="1">
      <x:c r="A186" s="12" t="s">
        <x:v>75</x:v>
      </x:c>
      <x:c r="B186" s="12" t="s">
        <x:v>602</x:v>
      </x:c>
      <x:c r="C186" s="12" t="s">
        <x:v>178</x:v>
      </x:c>
      <x:c r="D186" s="12" t="s">
        <x:v>184</x:v>
      </x:c>
      <x:c r="E186" s="12" t="s">
        <x:v>223</x:v>
      </x:c>
      <x:c r="F186" s="12" t="s">
        <x:v>185</x:v>
      </x:c>
      <x:c r="G186" s="12" t="s">
        <x:v>603</x:v>
      </x:c>
      <x:c r="H186" s="12">
        <x:v>106.41</x:v>
      </x:c>
      <x:c r="I186" s="12">
        <x:v>0</x:v>
      </x:c>
      <x:c r="J186" s="12" t="s">
        <x:v>187</x:v>
      </x:c>
      <x:c r="K186" s="12" t="s">
        <x:v>571</x:v>
      </x:c>
      <x:c r="L186" s="12" t="s">
        <x:v>571</x:v>
      </x:c>
      <x:c r="M186" s="12" t="s">
        <x:v>172</x:v>
      </x:c>
      <x:c r="N186" s="12" t="s">
        <x:v>172</x:v>
      </x:c>
      <x:c r="O186" s="12" t="s">
        <x:v>172</x:v>
      </x:c>
      <x:c r="P186" s="12" t="s">
        <x:v>172</x:v>
      </x:c>
      <x:c r="Q186" s="12" t="s">
        <x:v>172</x:v>
      </x:c>
      <x:c r="R186" s="12" t="s">
        <x:v>193</x:v>
      </x:c>
      <x:c r="S186" s="12" t="s">
        <x:v>189</x:v>
      </x:c>
      <x:c r="T186" s="12" t="s">
        <x:v>595</x:v>
      </x:c>
      <x:c r="U186" s="12" t="s">
        <x:v>172</x:v>
      </x:c>
      <x:c r="V186" s="21" t="s">
        <x:v>176</x:v>
      </x:c>
      <x:c r="W186" s="12" t="str">
        <x:v>独立事件；按本行事实口径计数。</x:v>
      </x:c>
    </x:row>
    <x:row r="187" ht="58" customHeight="1">
      <x:c r="A187" s="14" t="s">
        <x:v>75</x:v>
      </x:c>
      <x:c r="B187" s="14" t="s">
        <x:v>604</x:v>
      </x:c>
      <x:c r="C187" s="14" t="s">
        <x:v>178</x:v>
      </x:c>
      <x:c r="D187" s="14" t="s">
        <x:v>184</x:v>
      </x:c>
      <x:c r="E187" s="14" t="s">
        <x:v>223</x:v>
      </x:c>
      <x:c r="F187" s="14" t="s">
        <x:v>185</x:v>
      </x:c>
      <x:c r="G187" s="14" t="s">
        <x:v>605</x:v>
      </x:c>
      <x:c r="H187" s="14">
        <x:v>101.61</x:v>
      </x:c>
      <x:c r="I187" s="14">
        <x:v>0</x:v>
      </x:c>
      <x:c r="J187" s="14" t="s">
        <x:v>187</x:v>
      </x:c>
      <x:c r="K187" s="14" t="s">
        <x:v>571</x:v>
      </x:c>
      <x:c r="L187" s="14" t="s">
        <x:v>571</x:v>
      </x:c>
      <x:c r="M187" s="14" t="s">
        <x:v>172</x:v>
      </x:c>
      <x:c r="N187" s="14" t="s">
        <x:v>172</x:v>
      </x:c>
      <x:c r="O187" s="14" t="s">
        <x:v>172</x:v>
      </x:c>
      <x:c r="P187" s="14" t="s">
        <x:v>172</x:v>
      </x:c>
      <x:c r="Q187" s="14" t="s">
        <x:v>172</x:v>
      </x:c>
      <x:c r="R187" s="14" t="s">
        <x:v>193</x:v>
      </x:c>
      <x:c r="S187" s="14" t="s">
        <x:v>189</x:v>
      </x:c>
      <x:c r="T187" s="14" t="s">
        <x:v>595</x:v>
      </x:c>
      <x:c r="U187" s="14" t="s">
        <x:v>172</x:v>
      </x:c>
      <x:c r="V187" s="21" t="s">
        <x:v>176</x:v>
      </x:c>
      <x:c r="W187" s="14" t="str">
        <x:v>独立事件；按本行事实口径计数。</x:v>
      </x:c>
    </x:row>
    <x:row r="188" ht="58" customHeight="1">
      <x:c r="A188" s="12" t="s">
        <x:v>75</x:v>
      </x:c>
      <x:c r="B188" s="12" t="s">
        <x:v>606</x:v>
      </x:c>
      <x:c r="C188" s="12" t="s">
        <x:v>178</x:v>
      </x:c>
      <x:c r="D188" s="12" t="s">
        <x:v>184</x:v>
      </x:c>
      <x:c r="E188" s="12" t="s">
        <x:v>234</x:v>
      </x:c>
      <x:c r="F188" s="12" t="s">
        <x:v>185</x:v>
      </x:c>
      <x:c r="G188" s="12" t="s">
        <x:v>607</x:v>
      </x:c>
      <x:c r="H188" s="12">
        <x:v>200</x:v>
      </x:c>
      <x:c r="I188" s="12">
        <x:v>0</x:v>
      </x:c>
      <x:c r="J188" s="12" t="s">
        <x:v>187</x:v>
      </x:c>
      <x:c r="K188" s="12" t="s">
        <x:v>571</x:v>
      </x:c>
      <x:c r="L188" s="12" t="s">
        <x:v>571</x:v>
      </x:c>
      <x:c r="M188" s="12" t="s">
        <x:v>172</x:v>
      </x:c>
      <x:c r="N188" s="12" t="s">
        <x:v>172</x:v>
      </x:c>
      <x:c r="O188" s="12" t="s">
        <x:v>172</x:v>
      </x:c>
      <x:c r="P188" s="12" t="s">
        <x:v>172</x:v>
      </x:c>
      <x:c r="Q188" s="12" t="s">
        <x:v>172</x:v>
      </x:c>
      <x:c r="R188" s="12" t="s">
        <x:v>195</x:v>
      </x:c>
      <x:c r="S188" s="12" t="s">
        <x:v>20</x:v>
      </x:c>
      <x:c r="T188" s="12" t="s">
        <x:v>583</x:v>
      </x:c>
      <x:c r="U188" s="12" t="s">
        <x:v>171</x:v>
      </x:c>
      <x:c r="V188" s="21" t="s">
        <x:v>176</x:v>
      </x:c>
      <x:c r="W188" s="12" t="str">
        <x:v>独立事件；按本行事实口径计数。</x:v>
      </x:c>
    </x:row>
    <x:row r="189" ht="58" customHeight="1">
      <x:c r="A189" s="14" t="s">
        <x:v>75</x:v>
      </x:c>
      <x:c r="B189" s="14" t="s">
        <x:v>608</x:v>
      </x:c>
      <x:c r="C189" s="14" t="s">
        <x:v>178</x:v>
      </x:c>
      <x:c r="D189" s="14" t="s">
        <x:v>202</x:v>
      </x:c>
      <x:c r="E189" s="14" t="s">
        <x:v>205</x:v>
      </x:c>
      <x:c r="F189" s="14" t="s">
        <x:v>205</x:v>
      </x:c>
      <x:c r="G189" s="14" t="s">
        <x:v>609</x:v>
      </x:c>
      <x:c r="H189" s="14">
        <x:v>0</x:v>
      </x:c>
      <x:c r="I189" s="14">
        <x:v>0</x:v>
      </x:c>
      <x:c r="J189" s="14" t="str">
        <x:v>已取消</x:v>
      </x:c>
      <x:c r="K189" s="14"/>
      <x:c r="L189" s="14"/>
      <x:c r="M189" s="14" t="s">
        <x:v>172</x:v>
      </x:c>
      <x:c r="N189" s="14" t="s">
        <x:v>172</x:v>
      </x:c>
      <x:c r="O189" s="14" t="s">
        <x:v>172</x:v>
      </x:c>
      <x:c r="P189" s="14" t="s">
        <x:v>172</x:v>
      </x:c>
      <x:c r="Q189" s="14" t="s">
        <x:v>172</x:v>
      </x:c>
      <x:c r="R189" s="14" t="str">
        <x:v>疑似连续调整</x:v>
      </x:c>
      <x:c r="S189" s="14" t="str">
        <x:v>平台直接字段</x:v>
      </x:c>
      <x:c r="T189" s="14" t="str">
        <x:v>条件委托已取消；算法编号1000002006559867；创建时间2026-06-19 01:52:47；撤销时间2026-06-19 01:53:26；是否触发否；周期关联等级STRONG_CONTEXT；取消/过期原因无法确认（已完成为不适用）。</x:v>
      </x:c>
      <x:c r="U189" s="14" t="s">
        <x:v>172</x:v>
      </x:c>
      <x:c r="V189" s="21" t="s">
        <x:v>176</x:v>
      </x:c>
      <x:c r="W189" s="14" t="str">
        <x:v>algorithm_id=1000002006559867；terminal_at=2026-06-19 01:53:26；关联=STRONG_CONTEXT</x:v>
      </x:c>
    </x:row>
    <x:row r="190" ht="58" customHeight="1">
      <x:c r="A190" s="12" t="s">
        <x:v>75</x:v>
      </x:c>
      <x:c r="B190" s="12" t="s">
        <x:v>610</x:v>
      </x:c>
      <x:c r="C190" s="12" t="s">
        <x:v>178</x:v>
      </x:c>
      <x:c r="D190" s="12" t="s">
        <x:v>202</x:v>
      </x:c>
      <x:c r="E190" s="12" t="s">
        <x:v>205</x:v>
      </x:c>
      <x:c r="F190" s="12" t="s">
        <x:v>205</x:v>
      </x:c>
      <x:c r="G190" s="12" t="s">
        <x:v>611</x:v>
      </x:c>
      <x:c r="H190" s="12">
        <x:v>200</x:v>
      </x:c>
      <x:c r="I190" s="12">
        <x:v>200</x:v>
      </x:c>
      <x:c r="J190" s="12" t="str">
        <x:v>已完成</x:v>
      </x:c>
      <x:c r="K190" s="12" t="s">
        <x:v>571</x:v>
      </x:c>
      <x:c r="L190" s="12" t="s">
        <x:v>169</x:v>
      </x:c>
      <x:c r="M190" s="12" t="s">
        <x:v>171</x:v>
      </x:c>
      <x:c r="N190" s="12" t="s">
        <x:v>172</x:v>
      </x:c>
      <x:c r="O190" s="12" t="s">
        <x:v>172</x:v>
      </x:c>
      <x:c r="P190" s="12" t="s">
        <x:v>172</x:v>
      </x:c>
      <x:c r="Q190" s="12" t="s">
        <x:v>172</x:v>
      </x:c>
      <x:c r="R190" s="12" t="str">
        <x:v>可能无关</x:v>
      </x:c>
      <x:c r="S190" s="12" t="str">
        <x:v>基础订单直接关联</x:v>
      </x:c>
      <x:c r="T190" s="12" t="str">
        <x:v>条件委托已完成；算法编号1000002006565079；创建时间2026-06-19 01:53:26；触发时间2026-06-19 02:13:06；是否触发是；周期关联等级DIRECT_ORDER；取消/过期原因无法确认（已完成为不适用）。</x:v>
      </x:c>
      <x:c r="U190" s="12" t="s">
        <x:v>171</x:v>
      </x:c>
      <x:c r="V190" s="21" t="s">
        <x:v>176</x:v>
      </x:c>
      <x:c r="W190" s="12" t="str">
        <x:v>algorithm_id=1000002006565079；terminal_at=2026-06-19 02:13:06；关联=DIRECT_ORDER</x:v>
      </x:c>
    </x:row>
    <x:row r="191" ht="58" customHeight="1">
      <x:c r="A191" s="14" t="s">
        <x:v>75</x:v>
      </x:c>
      <x:c r="B191" s="14" t="s">
        <x:v>612</x:v>
      </x:c>
      <x:c r="C191" s="14" t="s">
        <x:v>178</x:v>
      </x:c>
      <x:c r="D191" s="14" t="s">
        <x:v>184</x:v>
      </x:c>
      <x:c r="E191" s="14" t="s">
        <x:v>234</x:v>
      </x:c>
      <x:c r="F191" s="14" t="s">
        <x:v>185</x:v>
      </x:c>
      <x:c r="G191" s="14" t="s">
        <x:v>613</x:v>
      </x:c>
      <x:c r="H191" s="14">
        <x:v>200</x:v>
      </x:c>
      <x:c r="I191" s="14">
        <x:v>0</x:v>
      </x:c>
      <x:c r="J191" s="14" t="s">
        <x:v>236</x:v>
      </x:c>
      <x:c r="K191" s="14" t="s">
        <x:v>571</x:v>
      </x:c>
      <x:c r="L191" s="14" t="s">
        <x:v>571</x:v>
      </x:c>
      <x:c r="M191" s="14" t="s">
        <x:v>172</x:v>
      </x:c>
      <x:c r="N191" s="14" t="s">
        <x:v>172</x:v>
      </x:c>
      <x:c r="O191" s="14" t="s">
        <x:v>172</x:v>
      </x:c>
      <x:c r="P191" s="14" t="s">
        <x:v>172</x:v>
      </x:c>
      <x:c r="Q191" s="14" t="s">
        <x:v>172</x:v>
      </x:c>
      <x:c r="R191" s="14" t="s">
        <x:v>193</x:v>
      </x:c>
      <x:c r="S191" s="14" t="s">
        <x:v>189</x:v>
      </x:c>
      <x:c r="T191" s="14" t="s">
        <x:v>614</x:v>
      </x:c>
      <x:c r="U191" s="14" t="s">
        <x:v>172</x:v>
      </x:c>
      <x:c r="V191" s="21" t="s">
        <x:v>176</x:v>
      </x:c>
      <x:c r="W191" s="14" t="str">
        <x:v>独立事件；按本行事实口径计数。</x:v>
      </x:c>
    </x:row>
    <x:row r="192" ht="58" customHeight="1">
      <x:c r="A192" s="12" t="s">
        <x:v>75</x:v>
      </x:c>
      <x:c r="B192" s="12" t="s">
        <x:v>615</x:v>
      </x:c>
      <x:c r="C192" s="12" t="s">
        <x:v>178</x:v>
      </x:c>
      <x:c r="D192" s="12" t="s">
        <x:v>165</x:v>
      </x:c>
      <x:c r="E192" s="12" t="s">
        <x:v>239</x:v>
      </x:c>
      <x:c r="F192" s="12" t="s">
        <x:v>240</x:v>
      </x:c>
      <x:c r="G192" s="12"/>
      <x:c r="H192" s="12">
        <x:v>200</x:v>
      </x:c>
      <x:c r="I192" s="12">
        <x:v>200</x:v>
      </x:c>
      <x:c r="J192" s="12" t="s">
        <x:v>168</x:v>
      </x:c>
      <x:c r="K192" s="12" t="s">
        <x:v>571</x:v>
      </x:c>
      <x:c r="L192" s="12" t="s">
        <x:v>169</x:v>
      </x:c>
      <x:c r="M192" s="12" t="s">
        <x:v>171</x:v>
      </x:c>
      <x:c r="N192" s="12" t="s">
        <x:v>172</x:v>
      </x:c>
      <x:c r="O192" s="12" t="s">
        <x:v>172</x:v>
      </x:c>
      <x:c r="P192" s="12" t="s">
        <x:v>172</x:v>
      </x:c>
      <x:c r="Q192" s="12" t="s">
        <x:v>171</x:v>
      </x:c>
      <x:c r="R192" s="12" t="s">
        <x:v>193</x:v>
      </x:c>
      <x:c r="S192" s="12" t="s">
        <x:v>189</x:v>
      </x:c>
      <x:c r="T192" s="12" t="s">
        <x:v>616</x:v>
      </x:c>
      <x:c r="U192" s="12" t="s">
        <x:v>172</x:v>
      </x:c>
      <x:c r="V192" s="21" t="s">
        <x:v>176</x:v>
      </x:c>
      <x:c r="W192" s="12" t="str">
        <x:v>本基础单由条件委托触发生成；与条件委托行属于同一触发链，实际动作仅计一次。</x:v>
      </x:c>
    </x:row>
    <x:row r="193" ht="58" customHeight="1">
      <x:c r="A193" s="14" t="s">
        <x:v>75</x:v>
      </x:c>
      <x:c r="B193" s="14" t="s">
        <x:v>615</x:v>
      </x:c>
      <x:c r="C193" s="14" t="s">
        <x:v>211</x:v>
      </x:c>
      <x:c r="D193" s="14" t="s">
        <x:v>212</x:v>
      </x:c>
      <x:c r="E193" s="14" t="s">
        <x:v>213</x:v>
      </x:c>
      <x:c r="F193" s="14"/>
      <x:c r="G193" s="14"/>
      <x:c r="H193" s="14"/>
      <x:c r="I193" s="14"/>
      <x:c r="J193" s="14"/>
      <x:c r="K193" s="14"/>
      <x:c r="L193" s="14"/>
      <x:c r="M193" s="14" t="s">
        <x:v>172</x:v>
      </x:c>
      <x:c r="N193" s="14" t="s">
        <x:v>172</x:v>
      </x:c>
      <x:c r="O193" s="14" t="s">
        <x:v>172</x:v>
      </x:c>
      <x:c r="P193" s="14" t="s">
        <x:v>172</x:v>
      </x:c>
      <x:c r="Q193" s="14" t="s">
        <x:v>172</x:v>
      </x:c>
      <x:c r="R193" s="14"/>
      <x:c r="S193" s="14" t="s">
        <x:v>214</x:v>
      </x:c>
      <x:c r="T193" s="14" t="s">
        <x:v>617</x:v>
      </x:c>
      <x:c r="U193" s="14" t="s">
        <x:v>172</x:v>
      </x:c>
      <x:c r="V193" s="21" t="s">
        <x:v>176</x:v>
      </x:c>
      <x:c r="W193" s="14" t="str">
        <x:v>独立事件；按本行事实口径计数。</x:v>
      </x:c>
    </x:row>
    <x:row r="194" ht="58" customHeight="1">
      <x:c r="A194" s="12" t="s">
        <x:v>76</x:v>
      </x:c>
      <x:c r="B194" s="12" t="s">
        <x:v>618</x:v>
      </x:c>
      <x:c r="C194" s="12" t="s">
        <x:v>164</x:v>
      </x:c>
      <x:c r="D194" s="12" t="s">
        <x:v>184</x:v>
      </x:c>
      <x:c r="E194" s="12" t="s">
        <x:v>14</x:v>
      </x:c>
      <x:c r="F194" s="12" t="s">
        <x:v>185</x:v>
      </x:c>
      <x:c r="G194" s="12" t="s">
        <x:v>619</x:v>
      </x:c>
      <x:c r="H194" s="12">
        <x:v>5</x:v>
      </x:c>
      <x:c r="I194" s="12">
        <x:v>0</x:v>
      </x:c>
      <x:c r="J194" s="12" t="s">
        <x:v>187</x:v>
      </x:c>
      <x:c r="K194" s="12" t="s">
        <x:v>169</x:v>
      </x:c>
      <x:c r="L194" s="12" t="s">
        <x:v>169</x:v>
      </x:c>
      <x:c r="M194" s="12" t="s">
        <x:v>172</x:v>
      </x:c>
      <x:c r="N194" s="12" t="s">
        <x:v>172</x:v>
      </x:c>
      <x:c r="O194" s="12" t="s">
        <x:v>172</x:v>
      </x:c>
      <x:c r="P194" s="12" t="s">
        <x:v>172</x:v>
      </x:c>
      <x:c r="Q194" s="12" t="s">
        <x:v>172</x:v>
      </x:c>
      <x:c r="R194" s="12" t="s">
        <x:v>188</x:v>
      </x:c>
      <x:c r="S194" s="12" t="s">
        <x:v>189</x:v>
      </x:c>
      <x:c r="T194" s="12" t="s">
        <x:v>190</x:v>
      </x:c>
      <x:c r="U194" s="12" t="s">
        <x:v>172</x:v>
      </x:c>
      <x:c r="V194" s="21" t="s">
        <x:v>176</x:v>
      </x:c>
      <x:c r="W194" s="12" t="str">
        <x:v>独立事件；按本行事实口径计数。</x:v>
      </x:c>
    </x:row>
    <x:row r="195" ht="58" customHeight="1">
      <x:c r="A195" s="14" t="s">
        <x:v>76</x:v>
      </x:c>
      <x:c r="B195" s="14" t="s">
        <x:v>620</x:v>
      </x:c>
      <x:c r="C195" s="14" t="s">
        <x:v>164</x:v>
      </x:c>
      <x:c r="D195" s="14" t="s">
        <x:v>184</x:v>
      </x:c>
      <x:c r="E195" s="14" t="s">
        <x:v>14</x:v>
      </x:c>
      <x:c r="F195" s="14" t="s">
        <x:v>185</x:v>
      </x:c>
      <x:c r="G195" s="14" t="s">
        <x:v>621</x:v>
      </x:c>
      <x:c r="H195" s="14">
        <x:v>8</x:v>
      </x:c>
      <x:c r="I195" s="14">
        <x:v>0</x:v>
      </x:c>
      <x:c r="J195" s="14" t="s">
        <x:v>187</x:v>
      </x:c>
      <x:c r="K195" s="14" t="s">
        <x:v>169</x:v>
      </x:c>
      <x:c r="L195" s="14" t="s">
        <x:v>169</x:v>
      </x:c>
      <x:c r="M195" s="14" t="s">
        <x:v>172</x:v>
      </x:c>
      <x:c r="N195" s="14" t="s">
        <x:v>172</x:v>
      </x:c>
      <x:c r="O195" s="14" t="s">
        <x:v>172</x:v>
      </x:c>
      <x:c r="P195" s="14" t="s">
        <x:v>172</x:v>
      </x:c>
      <x:c r="Q195" s="14" t="s">
        <x:v>172</x:v>
      </x:c>
      <x:c r="R195" s="14" t="s">
        <x:v>193</x:v>
      </x:c>
      <x:c r="S195" s="14" t="s">
        <x:v>189</x:v>
      </x:c>
      <x:c r="T195" s="14" t="s">
        <x:v>190</x:v>
      </x:c>
      <x:c r="U195" s="14" t="s">
        <x:v>172</x:v>
      </x:c>
      <x:c r="V195" s="21" t="s">
        <x:v>176</x:v>
      </x:c>
      <x:c r="W195" s="14" t="str">
        <x:v>独立事件；按本行事实口径计数。</x:v>
      </x:c>
    </x:row>
    <x:row r="196" ht="58" customHeight="1">
      <x:c r="A196" s="12" t="s">
        <x:v>76</x:v>
      </x:c>
      <x:c r="B196" s="12" t="s">
        <x:v>622</x:v>
      </x:c>
      <x:c r="C196" s="12" t="s">
        <x:v>164</x:v>
      </x:c>
      <x:c r="D196" s="12" t="s">
        <x:v>184</x:v>
      </x:c>
      <x:c r="E196" s="12" t="s">
        <x:v>14</x:v>
      </x:c>
      <x:c r="F196" s="12" t="s">
        <x:v>185</x:v>
      </x:c>
      <x:c r="G196" s="12" t="s">
        <x:v>623</x:v>
      </x:c>
      <x:c r="H196" s="12">
        <x:v>5</x:v>
      </x:c>
      <x:c r="I196" s="12">
        <x:v>0</x:v>
      </x:c>
      <x:c r="J196" s="12" t="s">
        <x:v>187</x:v>
      </x:c>
      <x:c r="K196" s="12" t="s">
        <x:v>169</x:v>
      </x:c>
      <x:c r="L196" s="12" t="s">
        <x:v>169</x:v>
      </x:c>
      <x:c r="M196" s="12" t="s">
        <x:v>172</x:v>
      </x:c>
      <x:c r="N196" s="12" t="s">
        <x:v>172</x:v>
      </x:c>
      <x:c r="O196" s="12" t="s">
        <x:v>172</x:v>
      </x:c>
      <x:c r="P196" s="12" t="s">
        <x:v>172</x:v>
      </x:c>
      <x:c r="Q196" s="12" t="s">
        <x:v>172</x:v>
      </x:c>
      <x:c r="R196" s="12" t="s">
        <x:v>193</x:v>
      </x:c>
      <x:c r="S196" s="12" t="s">
        <x:v>189</x:v>
      </x:c>
      <x:c r="T196" s="12" t="s">
        <x:v>190</x:v>
      </x:c>
      <x:c r="U196" s="12" t="s">
        <x:v>172</x:v>
      </x:c>
      <x:c r="V196" s="21" t="s">
        <x:v>176</x:v>
      </x:c>
      <x:c r="W196" s="12" t="str">
        <x:v>独立事件；按本行事实口径计数。</x:v>
      </x:c>
    </x:row>
    <x:row r="197" ht="58" customHeight="1">
      <x:c r="A197" s="14" t="s">
        <x:v>76</x:v>
      </x:c>
      <x:c r="B197" s="14" t="s">
        <x:v>624</x:v>
      </x:c>
      <x:c r="C197" s="14" t="s">
        <x:v>164</x:v>
      </x:c>
      <x:c r="D197" s="14" t="s">
        <x:v>184</x:v>
      </x:c>
      <x:c r="E197" s="14" t="s">
        <x:v>14</x:v>
      </x:c>
      <x:c r="F197" s="14" t="s">
        <x:v>185</x:v>
      </x:c>
      <x:c r="G197" s="14" t="s">
        <x:v>623</x:v>
      </x:c>
      <x:c r="H197" s="14">
        <x:v>5</x:v>
      </x:c>
      <x:c r="I197" s="14">
        <x:v>0</x:v>
      </x:c>
      <x:c r="J197" s="14" t="s">
        <x:v>187</x:v>
      </x:c>
      <x:c r="K197" s="14" t="s">
        <x:v>169</x:v>
      </x:c>
      <x:c r="L197" s="14" t="s">
        <x:v>169</x:v>
      </x:c>
      <x:c r="M197" s="14" t="s">
        <x:v>172</x:v>
      </x:c>
      <x:c r="N197" s="14" t="s">
        <x:v>172</x:v>
      </x:c>
      <x:c r="O197" s="14" t="s">
        <x:v>172</x:v>
      </x:c>
      <x:c r="P197" s="14" t="s">
        <x:v>172</x:v>
      </x:c>
      <x:c r="Q197" s="14" t="s">
        <x:v>172</x:v>
      </x:c>
      <x:c r="R197" s="14" t="s">
        <x:v>195</x:v>
      </x:c>
      <x:c r="S197" s="14" t="s">
        <x:v>20</x:v>
      </x:c>
      <x:c r="T197" s="14" t="s">
        <x:v>196</x:v>
      </x:c>
      <x:c r="U197" s="14" t="s">
        <x:v>171</x:v>
      </x:c>
      <x:c r="V197" s="21" t="s">
        <x:v>176</x:v>
      </x:c>
      <x:c r="W197" s="14" t="str">
        <x:v>独立事件；按本行事实口径计数。</x:v>
      </x:c>
    </x:row>
    <x:row r="198" ht="58" customHeight="1">
      <x:c r="A198" s="12" t="s">
        <x:v>76</x:v>
      </x:c>
      <x:c r="B198" s="12" t="s">
        <x:v>625</x:v>
      </x:c>
      <x:c r="C198" s="12" t="s">
        <x:v>164</x:v>
      </x:c>
      <x:c r="D198" s="12" t="s">
        <x:v>184</x:v>
      </x:c>
      <x:c r="E198" s="12" t="s">
        <x:v>14</x:v>
      </x:c>
      <x:c r="F198" s="12" t="s">
        <x:v>185</x:v>
      </x:c>
      <x:c r="G198" s="12" t="s">
        <x:v>626</x:v>
      </x:c>
      <x:c r="H198" s="12">
        <x:v>10</x:v>
      </x:c>
      <x:c r="I198" s="12">
        <x:v>0</x:v>
      </x:c>
      <x:c r="J198" s="12" t="s">
        <x:v>187</x:v>
      </x:c>
      <x:c r="K198" s="12" t="s">
        <x:v>169</x:v>
      </x:c>
      <x:c r="L198" s="12" t="s">
        <x:v>169</x:v>
      </x:c>
      <x:c r="M198" s="12" t="s">
        <x:v>172</x:v>
      </x:c>
      <x:c r="N198" s="12" t="s">
        <x:v>172</x:v>
      </x:c>
      <x:c r="O198" s="12" t="s">
        <x:v>172</x:v>
      </x:c>
      <x:c r="P198" s="12" t="s">
        <x:v>172</x:v>
      </x:c>
      <x:c r="Q198" s="12" t="s">
        <x:v>172</x:v>
      </x:c>
      <x:c r="R198" s="12" t="s">
        <x:v>193</x:v>
      </x:c>
      <x:c r="S198" s="12" t="s">
        <x:v>189</x:v>
      </x:c>
      <x:c r="T198" s="12" t="s">
        <x:v>190</x:v>
      </x:c>
      <x:c r="U198" s="12" t="s">
        <x:v>172</x:v>
      </x:c>
      <x:c r="V198" s="21" t="s">
        <x:v>176</x:v>
      </x:c>
      <x:c r="W198" s="12" t="str">
        <x:v>独立事件；按本行事实口径计数。</x:v>
      </x:c>
    </x:row>
    <x:row r="199" ht="58" customHeight="1">
      <x:c r="A199" s="14" t="s">
        <x:v>76</x:v>
      </x:c>
      <x:c r="B199" s="14" t="s">
        <x:v>627</x:v>
      </x:c>
      <x:c r="C199" s="14" t="s">
        <x:v>164</x:v>
      </x:c>
      <x:c r="D199" s="14" t="s">
        <x:v>184</x:v>
      </x:c>
      <x:c r="E199" s="14" t="s">
        <x:v>14</x:v>
      </x:c>
      <x:c r="F199" s="14" t="s">
        <x:v>185</x:v>
      </x:c>
      <x:c r="G199" s="14" t="s">
        <x:v>628</x:v>
      </x:c>
      <x:c r="H199" s="14">
        <x:v>10</x:v>
      </x:c>
      <x:c r="I199" s="14">
        <x:v>0</x:v>
      </x:c>
      <x:c r="J199" s="14" t="s">
        <x:v>187</x:v>
      </x:c>
      <x:c r="K199" s="14" t="s">
        <x:v>169</x:v>
      </x:c>
      <x:c r="L199" s="14" t="s">
        <x:v>169</x:v>
      </x:c>
      <x:c r="M199" s="14" t="s">
        <x:v>172</x:v>
      </x:c>
      <x:c r="N199" s="14" t="s">
        <x:v>172</x:v>
      </x:c>
      <x:c r="O199" s="14" t="s">
        <x:v>172</x:v>
      </x:c>
      <x:c r="P199" s="14" t="s">
        <x:v>172</x:v>
      </x:c>
      <x:c r="Q199" s="14" t="s">
        <x:v>172</x:v>
      </x:c>
      <x:c r="R199" s="14" t="s">
        <x:v>193</x:v>
      </x:c>
      <x:c r="S199" s="14" t="s">
        <x:v>189</x:v>
      </x:c>
      <x:c r="T199" s="14" t="s">
        <x:v>190</x:v>
      </x:c>
      <x:c r="U199" s="14" t="s">
        <x:v>172</x:v>
      </x:c>
      <x:c r="V199" s="21" t="s">
        <x:v>176</x:v>
      </x:c>
      <x:c r="W199" s="14" t="str">
        <x:v>独立事件；按本行事实口径计数。</x:v>
      </x:c>
    </x:row>
    <x:row r="200" ht="58" customHeight="1">
      <x:c r="A200" s="12" t="s">
        <x:v>76</x:v>
      </x:c>
      <x:c r="B200" s="12" t="s">
        <x:v>629</x:v>
      </x:c>
      <x:c r="C200" s="12" t="s">
        <x:v>164</x:v>
      </x:c>
      <x:c r="D200" s="12" t="s">
        <x:v>184</x:v>
      </x:c>
      <x:c r="E200" s="12" t="s">
        <x:v>14</x:v>
      </x:c>
      <x:c r="F200" s="12" t="s">
        <x:v>185</x:v>
      </x:c>
      <x:c r="G200" s="12" t="s">
        <x:v>628</x:v>
      </x:c>
      <x:c r="H200" s="12">
        <x:v>10</x:v>
      </x:c>
      <x:c r="I200" s="12">
        <x:v>0</x:v>
      </x:c>
      <x:c r="J200" s="12" t="s">
        <x:v>187</x:v>
      </x:c>
      <x:c r="K200" s="12" t="s">
        <x:v>169</x:v>
      </x:c>
      <x:c r="L200" s="12" t="s">
        <x:v>169</x:v>
      </x:c>
      <x:c r="M200" s="12" t="s">
        <x:v>172</x:v>
      </x:c>
      <x:c r="N200" s="12" t="s">
        <x:v>172</x:v>
      </x:c>
      <x:c r="O200" s="12" t="s">
        <x:v>172</x:v>
      </x:c>
      <x:c r="P200" s="12" t="s">
        <x:v>172</x:v>
      </x:c>
      <x:c r="Q200" s="12" t="s">
        <x:v>172</x:v>
      </x:c>
      <x:c r="R200" s="12" t="s">
        <x:v>195</x:v>
      </x:c>
      <x:c r="S200" s="12" t="s">
        <x:v>20</x:v>
      </x:c>
      <x:c r="T200" s="12" t="s">
        <x:v>196</x:v>
      </x:c>
      <x:c r="U200" s="12" t="s">
        <x:v>171</x:v>
      </x:c>
      <x:c r="V200" s="21" t="s">
        <x:v>176</x:v>
      </x:c>
      <x:c r="W200" s="12" t="str">
        <x:v>独立事件；按本行事实口径计数。</x:v>
      </x:c>
    </x:row>
    <x:row r="201" ht="58" customHeight="1">
      <x:c r="A201" s="14" t="s">
        <x:v>76</x:v>
      </x:c>
      <x:c r="B201" s="14" t="s">
        <x:v>630</x:v>
      </x:c>
      <x:c r="C201" s="14" t="s">
        <x:v>164</x:v>
      </x:c>
      <x:c r="D201" s="14" t="s">
        <x:v>165</x:v>
      </x:c>
      <x:c r="E201" s="14" t="s">
        <x:v>198</x:v>
      </x:c>
      <x:c r="F201" s="14" t="s">
        <x:v>199</x:v>
      </x:c>
      <x:c r="G201" s="14" t="s">
        <x:v>631</x:v>
      </x:c>
      <x:c r="H201" s="14">
        <x:v>10</x:v>
      </x:c>
      <x:c r="I201" s="14">
        <x:v>10</x:v>
      </x:c>
      <x:c r="J201" s="14" t="s">
        <x:v>168</x:v>
      </x:c>
      <x:c r="K201" s="14" t="s">
        <x:v>169</x:v>
      </x:c>
      <x:c r="L201" s="14" t="s">
        <x:v>632</x:v>
      </x:c>
      <x:c r="M201" s="14" t="s">
        <x:v>171</x:v>
      </x:c>
      <x:c r="N201" s="14" t="s">
        <x:v>171</x:v>
      </x:c>
      <x:c r="O201" s="14" t="s">
        <x:v>172</x:v>
      </x:c>
      <x:c r="P201" s="14" t="s">
        <x:v>172</x:v>
      </x:c>
      <x:c r="Q201" s="14" t="s">
        <x:v>172</x:v>
      </x:c>
      <x:c r="R201" s="14" t="s">
        <x:v>193</x:v>
      </x:c>
      <x:c r="S201" s="14" t="s">
        <x:v>189</x:v>
      </x:c>
      <x:c r="T201" s="14" t="s">
        <x:v>633</x:v>
      </x:c>
      <x:c r="U201" s="14" t="s">
        <x:v>172</x:v>
      </x:c>
      <x:c r="V201" s="21" t="s">
        <x:v>176</x:v>
      </x:c>
      <x:c r="W201" s="14" t="str">
        <x:v>独立事件；按本行事实口径计数。</x:v>
      </x:c>
    </x:row>
    <x:row r="202" ht="58" customHeight="1">
      <x:c r="A202" s="12" t="s">
        <x:v>76</x:v>
      </x:c>
      <x:c r="B202" s="12" t="s">
        <x:v>634</x:v>
      </x:c>
      <x:c r="C202" s="12" t="s">
        <x:v>178</x:v>
      </x:c>
      <x:c r="D202" s="12" t="s">
        <x:v>184</x:v>
      </x:c>
      <x:c r="E202" s="12" t="s">
        <x:v>223</x:v>
      </x:c>
      <x:c r="F202" s="12" t="s">
        <x:v>185</x:v>
      </x:c>
      <x:c r="G202" s="12" t="s">
        <x:v>635</x:v>
      </x:c>
      <x:c r="H202" s="12">
        <x:v>8.143</x:v>
      </x:c>
      <x:c r="I202" s="12">
        <x:v>0</x:v>
      </x:c>
      <x:c r="J202" s="12" t="s">
        <x:v>187</x:v>
      </x:c>
      <x:c r="K202" s="12" t="s">
        <x:v>632</x:v>
      </x:c>
      <x:c r="L202" s="12" t="s">
        <x:v>632</x:v>
      </x:c>
      <x:c r="M202" s="12" t="s">
        <x:v>172</x:v>
      </x:c>
      <x:c r="N202" s="12" t="s">
        <x:v>172</x:v>
      </x:c>
      <x:c r="O202" s="12" t="s">
        <x:v>172</x:v>
      </x:c>
      <x:c r="P202" s="12" t="s">
        <x:v>172</x:v>
      </x:c>
      <x:c r="Q202" s="12" t="s">
        <x:v>172</x:v>
      </x:c>
      <x:c r="R202" s="12" t="s">
        <x:v>188</x:v>
      </x:c>
      <x:c r="S202" s="12" t="s">
        <x:v>20</x:v>
      </x:c>
      <x:c r="T202" s="12" t="s">
        <x:v>636</x:v>
      </x:c>
      <x:c r="U202" s="12" t="s">
        <x:v>171</x:v>
      </x:c>
      <x:c r="V202" s="21" t="s">
        <x:v>176</x:v>
      </x:c>
      <x:c r="W202" s="12" t="str">
        <x:v>独立事件；按本行事实口径计数。</x:v>
      </x:c>
    </x:row>
    <x:row r="203" ht="58" customHeight="1">
      <x:c r="A203" s="14" t="s">
        <x:v>76</x:v>
      </x:c>
      <x:c r="B203" s="14" t="s">
        <x:v>637</x:v>
      </x:c>
      <x:c r="C203" s="14" t="s">
        <x:v>178</x:v>
      </x:c>
      <x:c r="D203" s="14" t="s">
        <x:v>165</x:v>
      </x:c>
      <x:c r="E203" s="14" t="s">
        <x:v>227</x:v>
      </x:c>
      <x:c r="F203" s="14" t="s">
        <x:v>199</x:v>
      </x:c>
      <x:c r="G203" s="14" t="s">
        <x:v>635</x:v>
      </x:c>
      <x:c r="H203" s="14">
        <x:v>5</x:v>
      </x:c>
      <x:c r="I203" s="14">
        <x:v>5</x:v>
      </x:c>
      <x:c r="J203" s="14" t="s">
        <x:v>168</x:v>
      </x:c>
      <x:c r="K203" s="14" t="s">
        <x:v>632</x:v>
      </x:c>
      <x:c r="L203" s="14" t="s">
        <x:v>638</x:v>
      </x:c>
      <x:c r="M203" s="14" t="s">
        <x:v>171</x:v>
      </x:c>
      <x:c r="N203" s="14" t="s">
        <x:v>172</x:v>
      </x:c>
      <x:c r="O203" s="14" t="s">
        <x:v>171</x:v>
      </x:c>
      <x:c r="P203" s="14" t="s">
        <x:v>172</x:v>
      </x:c>
      <x:c r="Q203" s="14" t="s">
        <x:v>172</x:v>
      </x:c>
      <x:c r="R203" s="14" t="s">
        <x:v>193</x:v>
      </x:c>
      <x:c r="S203" s="14" t="s">
        <x:v>189</x:v>
      </x:c>
      <x:c r="T203" s="14" t="s">
        <x:v>639</x:v>
      </x:c>
      <x:c r="U203" s="14" t="s">
        <x:v>172</x:v>
      </x:c>
      <x:c r="V203" s="21" t="s">
        <x:v>176</x:v>
      </x:c>
      <x:c r="W203" s="14" t="str">
        <x:v>独立事件；按本行事实口径计数。</x:v>
      </x:c>
    </x:row>
    <x:row r="204" ht="58" customHeight="1">
      <x:c r="A204" s="12" t="s">
        <x:v>76</x:v>
      </x:c>
      <x:c r="B204" s="12" t="s">
        <x:v>640</x:v>
      </x:c>
      <x:c r="C204" s="12" t="s">
        <x:v>178</x:v>
      </x:c>
      <x:c r="D204" s="12" t="s">
        <x:v>184</x:v>
      </x:c>
      <x:c r="E204" s="12" t="s">
        <x:v>234</x:v>
      </x:c>
      <x:c r="F204" s="12" t="s">
        <x:v>185</x:v>
      </x:c>
      <x:c r="G204" s="12" t="s">
        <x:v>641</x:v>
      </x:c>
      <x:c r="H204" s="12">
        <x:v>5</x:v>
      </x:c>
      <x:c r="I204" s="12">
        <x:v>0</x:v>
      </x:c>
      <x:c r="J204" s="12" t="s">
        <x:v>187</x:v>
      </x:c>
      <x:c r="K204" s="12" t="s">
        <x:v>638</x:v>
      </x:c>
      <x:c r="L204" s="12" t="s">
        <x:v>638</x:v>
      </x:c>
      <x:c r="M204" s="12" t="s">
        <x:v>172</x:v>
      </x:c>
      <x:c r="N204" s="12" t="s">
        <x:v>172</x:v>
      </x:c>
      <x:c r="O204" s="12" t="s">
        <x:v>172</x:v>
      </x:c>
      <x:c r="P204" s="12" t="s">
        <x:v>172</x:v>
      </x:c>
      <x:c r="Q204" s="12" t="s">
        <x:v>172</x:v>
      </x:c>
      <x:c r="R204" s="12" t="s">
        <x:v>195</x:v>
      </x:c>
      <x:c r="S204" s="12" t="s">
        <x:v>20</x:v>
      </x:c>
      <x:c r="T204" s="12" t="s">
        <x:v>642</x:v>
      </x:c>
      <x:c r="U204" s="12" t="s">
        <x:v>171</x:v>
      </x:c>
      <x:c r="V204" s="21" t="s">
        <x:v>176</x:v>
      </x:c>
      <x:c r="W204" s="12" t="str">
        <x:v>独立事件；按本行事实口径计数。</x:v>
      </x:c>
    </x:row>
    <x:row r="205" ht="58" customHeight="1">
      <x:c r="A205" s="14" t="s">
        <x:v>76</x:v>
      </x:c>
      <x:c r="B205" s="14" t="s">
        <x:v>643</x:v>
      </x:c>
      <x:c r="C205" s="14" t="s">
        <x:v>178</x:v>
      </x:c>
      <x:c r="D205" s="14" t="s">
        <x:v>202</x:v>
      </x:c>
      <x:c r="E205" s="14" t="s">
        <x:v>205</x:v>
      </x:c>
      <x:c r="F205" s="14" t="s">
        <x:v>205</x:v>
      </x:c>
      <x:c r="G205" s="14" t="s">
        <x:v>644</x:v>
      </x:c>
      <x:c r="H205" s="14">
        <x:v>0</x:v>
      </x:c>
      <x:c r="I205" s="14">
        <x:v>0</x:v>
      </x:c>
      <x:c r="J205" s="14" t="s">
        <x:v>187</x:v>
      </x:c>
      <x:c r="K205" s="14"/>
      <x:c r="L205" s="14"/>
      <x:c r="M205" s="14" t="s">
        <x:v>172</x:v>
      </x:c>
      <x:c r="N205" s="14" t="s">
        <x:v>172</x:v>
      </x:c>
      <x:c r="O205" s="14" t="s">
        <x:v>172</x:v>
      </x:c>
      <x:c r="P205" s="14" t="s">
        <x:v>172</x:v>
      </x:c>
      <x:c r="Q205" s="14" t="s">
        <x:v>172</x:v>
      </x:c>
      <x:c r="R205" s="14" t="s">
        <x:v>645</x:v>
      </x:c>
      <x:c r="S205" s="14" t="s">
        <x:v>20</x:v>
      </x:c>
      <x:c r="T205" s="14" t="s">
        <x:v>646</x:v>
      </x:c>
      <x:c r="U205" s="14" t="s">
        <x:v>171</x:v>
      </x:c>
      <x:c r="V205" s="21" t="s">
        <x:v>176</x:v>
      </x:c>
      <x:c r="W205" s="14" t="str">
        <x:v>独立事件；按本行事实口径计数。</x:v>
      </x:c>
    </x:row>
    <x:row r="206" ht="58" customHeight="1">
      <x:c r="A206" s="12" t="s">
        <x:v>76</x:v>
      </x:c>
      <x:c r="B206" s="12" t="s">
        <x:v>647</x:v>
      </x:c>
      <x:c r="C206" s="12" t="s">
        <x:v>178</x:v>
      </x:c>
      <x:c r="D206" s="12" t="s">
        <x:v>202</x:v>
      </x:c>
      <x:c r="E206" s="12" t="s">
        <x:v>205</x:v>
      </x:c>
      <x:c r="F206" s="12" t="s">
        <x:v>205</x:v>
      </x:c>
      <x:c r="G206" s="12" t="s">
        <x:v>648</x:v>
      </x:c>
      <x:c r="H206" s="12">
        <x:v>0</x:v>
      </x:c>
      <x:c r="I206" s="12">
        <x:v>0</x:v>
      </x:c>
      <x:c r="J206" s="12" t="s">
        <x:v>187</x:v>
      </x:c>
      <x:c r="K206" s="12"/>
      <x:c r="L206" s="12"/>
      <x:c r="M206" s="12" t="s">
        <x:v>172</x:v>
      </x:c>
      <x:c r="N206" s="12" t="s">
        <x:v>172</x:v>
      </x:c>
      <x:c r="O206" s="12" t="s">
        <x:v>172</x:v>
      </x:c>
      <x:c r="P206" s="12" t="s">
        <x:v>172</x:v>
      </x:c>
      <x:c r="Q206" s="12" t="s">
        <x:v>172</x:v>
      </x:c>
      <x:c r="R206" s="12" t="s">
        <x:v>649</x:v>
      </x:c>
      <x:c r="S206" s="12" t="s">
        <x:v>20</x:v>
      </x:c>
      <x:c r="T206" s="12" t="s">
        <x:v>650</x:v>
      </x:c>
      <x:c r="U206" s="12" t="s">
        <x:v>171</x:v>
      </x:c>
      <x:c r="V206" s="21" t="s">
        <x:v>176</x:v>
      </x:c>
      <x:c r="W206" s="12" t="str">
        <x:v>独立事件；按本行事实口径计数。</x:v>
      </x:c>
    </x:row>
    <x:row r="207" ht="58" customHeight="1">
      <x:c r="A207" s="14" t="s">
        <x:v>76</x:v>
      </x:c>
      <x:c r="B207" s="14" t="s">
        <x:v>651</x:v>
      </x:c>
      <x:c r="C207" s="14" t="s">
        <x:v>178</x:v>
      </x:c>
      <x:c r="D207" s="14" t="s">
        <x:v>184</x:v>
      </x:c>
      <x:c r="E207" s="14" t="s">
        <x:v>234</x:v>
      </x:c>
      <x:c r="F207" s="14" t="s">
        <x:v>185</x:v>
      </x:c>
      <x:c r="G207" s="14" t="s">
        <x:v>652</x:v>
      </x:c>
      <x:c r="H207" s="14">
        <x:v>15</x:v>
      </x:c>
      <x:c r="I207" s="14">
        <x:v>0</x:v>
      </x:c>
      <x:c r="J207" s="14" t="s">
        <x:v>187</x:v>
      </x:c>
      <x:c r="K207" s="14" t="s">
        <x:v>638</x:v>
      </x:c>
      <x:c r="L207" s="14" t="s">
        <x:v>638</x:v>
      </x:c>
      <x:c r="M207" s="14" t="s">
        <x:v>172</x:v>
      </x:c>
      <x:c r="N207" s="14" t="s">
        <x:v>172</x:v>
      </x:c>
      <x:c r="O207" s="14" t="s">
        <x:v>172</x:v>
      </x:c>
      <x:c r="P207" s="14" t="s">
        <x:v>172</x:v>
      </x:c>
      <x:c r="Q207" s="14" t="s">
        <x:v>172</x:v>
      </x:c>
      <x:c r="R207" s="14" t="s">
        <x:v>447</x:v>
      </x:c>
      <x:c r="S207" s="14" t="s">
        <x:v>20</x:v>
      </x:c>
      <x:c r="T207" s="14" t="s">
        <x:v>642</x:v>
      </x:c>
      <x:c r="U207" s="14" t="s">
        <x:v>171</x:v>
      </x:c>
      <x:c r="V207" s="21" t="s">
        <x:v>176</x:v>
      </x:c>
      <x:c r="W207" s="14" t="str">
        <x:v>独立事件；按本行事实口径计数。</x:v>
      </x:c>
    </x:row>
    <x:row r="208" ht="58" customHeight="1">
      <x:c r="A208" s="12" t="s">
        <x:v>76</x:v>
      </x:c>
      <x:c r="B208" s="12" t="s">
        <x:v>653</x:v>
      </x:c>
      <x:c r="C208" s="12" t="s">
        <x:v>178</x:v>
      </x:c>
      <x:c r="D208" s="12" t="s">
        <x:v>202</x:v>
      </x:c>
      <x:c r="E208" s="12" t="s">
        <x:v>203</x:v>
      </x:c>
      <x:c r="F208" s="12" t="s">
        <x:v>203</x:v>
      </x:c>
      <x:c r="G208" s="12" t="s">
        <x:v>409</x:v>
      </x:c>
      <x:c r="H208" s="12">
        <x:v>0</x:v>
      </x:c>
      <x:c r="I208" s="12">
        <x:v>0</x:v>
      </x:c>
      <x:c r="J208" s="12" t="s">
        <x:v>187</x:v>
      </x:c>
      <x:c r="K208" s="12"/>
      <x:c r="L208" s="12"/>
      <x:c r="M208" s="12" t="s">
        <x:v>172</x:v>
      </x:c>
      <x:c r="N208" s="12" t="s">
        <x:v>172</x:v>
      </x:c>
      <x:c r="O208" s="12" t="s">
        <x:v>172</x:v>
      </x:c>
      <x:c r="P208" s="12" t="s">
        <x:v>172</x:v>
      </x:c>
      <x:c r="Q208" s="12" t="s">
        <x:v>172</x:v>
      </x:c>
      <x:c r="R208" s="12" t="s">
        <x:v>645</x:v>
      </x:c>
      <x:c r="S208" s="12" t="s">
        <x:v>20</x:v>
      </x:c>
      <x:c r="T208" s="12" t="s">
        <x:v>646</x:v>
      </x:c>
      <x:c r="U208" s="12" t="s">
        <x:v>171</x:v>
      </x:c>
      <x:c r="V208" s="21" t="s">
        <x:v>176</x:v>
      </x:c>
      <x:c r="W208" s="12" t="str">
        <x:v>独立事件；按本行事实口径计数。</x:v>
      </x:c>
    </x:row>
    <x:row r="209" ht="58" customHeight="1">
      <x:c r="A209" s="14" t="s">
        <x:v>76</x:v>
      </x:c>
      <x:c r="B209" s="14" t="s">
        <x:v>654</x:v>
      </x:c>
      <x:c r="C209" s="14" t="s">
        <x:v>178</x:v>
      </x:c>
      <x:c r="D209" s="14" t="s">
        <x:v>165</x:v>
      </x:c>
      <x:c r="E209" s="14" t="s">
        <x:v>655</x:v>
      </x:c>
      <x:c r="F209" s="14" t="s">
        <x:v>199</x:v>
      </x:c>
      <x:c r="G209" s="14" t="s">
        <x:v>656</x:v>
      </x:c>
      <x:c r="H209" s="14">
        <x:v>7.5</x:v>
      </x:c>
      <x:c r="I209" s="14">
        <x:v>7.5</x:v>
      </x:c>
      <x:c r="J209" s="14" t="s">
        <x:v>168</x:v>
      </x:c>
      <x:c r="K209" s="14" t="s">
        <x:v>638</x:v>
      </x:c>
      <x:c r="L209" s="14" t="s">
        <x:v>657</x:v>
      </x:c>
      <x:c r="M209" s="14" t="s">
        <x:v>171</x:v>
      </x:c>
      <x:c r="N209" s="14" t="s">
        <x:v>172</x:v>
      </x:c>
      <x:c r="O209" s="14" t="s">
        <x:v>172</x:v>
      </x:c>
      <x:c r="P209" s="14" t="s">
        <x:v>171</x:v>
      </x:c>
      <x:c r="Q209" s="14" t="s">
        <x:v>172</x:v>
      </x:c>
      <x:c r="R209" s="14" t="s">
        <x:v>447</x:v>
      </x:c>
      <x:c r="S209" s="14" t="s">
        <x:v>174</x:v>
      </x:c>
      <x:c r="T209" s="14" t="s">
        <x:v>658</x:v>
      </x:c>
      <x:c r="U209" s="14" t="s">
        <x:v>171</x:v>
      </x:c>
      <x:c r="V209" s="21" t="s">
        <x:v>176</x:v>
      </x:c>
      <x:c r="W209" s="14" t="str">
        <x:v>独立事件；按本行事实口径计数。</x:v>
      </x:c>
    </x:row>
    <x:row r="210" ht="58" customHeight="1">
      <x:c r="A210" s="12" t="s">
        <x:v>76</x:v>
      </x:c>
      <x:c r="B210" s="12" t="s">
        <x:v>659</x:v>
      </x:c>
      <x:c r="C210" s="12" t="s">
        <x:v>178</x:v>
      </x:c>
      <x:c r="D210" s="12" t="s">
        <x:v>202</x:v>
      </x:c>
      <x:c r="E210" s="12" t="s">
        <x:v>205</x:v>
      </x:c>
      <x:c r="F210" s="12" t="s">
        <x:v>205</x:v>
      </x:c>
      <x:c r="G210" s="12" t="s">
        <x:v>660</x:v>
      </x:c>
      <x:c r="H210" s="12">
        <x:v>0</x:v>
      </x:c>
      <x:c r="I210" s="12">
        <x:v>0</x:v>
      </x:c>
      <x:c r="J210" s="12" t="str">
        <x:v>已取消</x:v>
      </x:c>
      <x:c r="K210" s="12"/>
      <x:c r="L210" s="12"/>
      <x:c r="M210" s="12" t="s">
        <x:v>172</x:v>
      </x:c>
      <x:c r="N210" s="12" t="s">
        <x:v>172</x:v>
      </x:c>
      <x:c r="O210" s="12" t="s">
        <x:v>172</x:v>
      </x:c>
      <x:c r="P210" s="12" t="s">
        <x:v>172</x:v>
      </x:c>
      <x:c r="Q210" s="12" t="s">
        <x:v>172</x:v>
      </x:c>
      <x:c r="R210" s="12" t="str">
        <x:v>疑似连续调整</x:v>
      </x:c>
      <x:c r="S210" s="12" t="str">
        <x:v>平台直接字段</x:v>
      </x:c>
      <x:c r="T210" s="12" t="str">
        <x:v>条件委托已取消；算法编号1000002180535071；创建时间2026-06-20 08:02:45；撤销时间2026-06-20 14:46:25；是否触发否；周期关联等级STRONG_CONTEXT；取消/过期原因无法确认（已完成为不适用）。</x:v>
      </x:c>
      <x:c r="U210" s="12" t="s">
        <x:v>171</x:v>
      </x:c>
      <x:c r="V210" s="21" t="s">
        <x:v>176</x:v>
      </x:c>
      <x:c r="W210" s="12" t="str">
        <x:v>algorithm_id=1000002180535071；terminal_at=2026-06-20 14:46:25；关联=STRONG_CONTEXT</x:v>
      </x:c>
    </x:row>
    <x:row r="211" ht="58" customHeight="1">
      <x:c r="A211" s="14" t="s">
        <x:v>76</x:v>
      </x:c>
      <x:c r="B211" s="14" t="s">
        <x:v>661</x:v>
      </x:c>
      <x:c r="C211" s="14" t="s">
        <x:v>178</x:v>
      </x:c>
      <x:c r="D211" s="14" t="s">
        <x:v>202</x:v>
      </x:c>
      <x:c r="E211" s="14" t="s">
        <x:v>205</x:v>
      </x:c>
      <x:c r="F211" s="14" t="s">
        <x:v>205</x:v>
      </x:c>
      <x:c r="G211" s="14" t="s">
        <x:v>662</x:v>
      </x:c>
      <x:c r="H211" s="14">
        <x:v>0</x:v>
      </x:c>
      <x:c r="I211" s="14">
        <x:v>0</x:v>
      </x:c>
      <x:c r="J211" s="14" t="str">
        <x:v>已取消</x:v>
      </x:c>
      <x:c r="K211" s="14"/>
      <x:c r="L211" s="14"/>
      <x:c r="M211" s="14" t="s">
        <x:v>172</x:v>
      </x:c>
      <x:c r="N211" s="14" t="s">
        <x:v>172</x:v>
      </x:c>
      <x:c r="O211" s="14" t="s">
        <x:v>172</x:v>
      </x:c>
      <x:c r="P211" s="14" t="s">
        <x:v>172</x:v>
      </x:c>
      <x:c r="Q211" s="14" t="s">
        <x:v>172</x:v>
      </x:c>
      <x:c r="R211" s="14" t="str">
        <x:v>疑似连续调整</x:v>
      </x:c>
      <x:c r="S211" s="14" t="str">
        <x:v>平台直接字段</x:v>
      </x:c>
      <x:c r="T211" s="14" t="str">
        <x:v>条件委托已取消；算法编号1000002182709211；创建时间2026-06-20 14:46:25；撤销时间2026-06-20 14:52:40；是否触发否；周期关联等级STRONG_CONTEXT；取消/过期原因无法确认（已完成为不适用）。</x:v>
      </x:c>
      <x:c r="U211" s="14" t="s">
        <x:v>172</x:v>
      </x:c>
      <x:c r="V211" s="21" t="s">
        <x:v>176</x:v>
      </x:c>
      <x:c r="W211" s="14" t="str">
        <x:v>algorithm_id=1000002182709211；terminal_at=2026-06-20 14:52:40；关联=STRONG_CONTEXT</x:v>
      </x:c>
    </x:row>
    <x:row r="212" ht="58" customHeight="1">
      <x:c r="A212" s="12" t="s">
        <x:v>76</x:v>
      </x:c>
      <x:c r="B212" s="12" t="s">
        <x:v>663</x:v>
      </x:c>
      <x:c r="C212" s="12" t="s">
        <x:v>178</x:v>
      </x:c>
      <x:c r="D212" s="12" t="s">
        <x:v>202</x:v>
      </x:c>
      <x:c r="E212" s="12" t="s">
        <x:v>205</x:v>
      </x:c>
      <x:c r="F212" s="12" t="s">
        <x:v>205</x:v>
      </x:c>
      <x:c r="G212" s="12" t="s">
        <x:v>664</x:v>
      </x:c>
      <x:c r="H212" s="12">
        <x:v>0</x:v>
      </x:c>
      <x:c r="I212" s="12">
        <x:v>0</x:v>
      </x:c>
      <x:c r="J212" s="12" t="str">
        <x:v>已取消</x:v>
      </x:c>
      <x:c r="K212" s="12"/>
      <x:c r="L212" s="12"/>
      <x:c r="M212" s="12" t="s">
        <x:v>172</x:v>
      </x:c>
      <x:c r="N212" s="12" t="s">
        <x:v>172</x:v>
      </x:c>
      <x:c r="O212" s="12" t="s">
        <x:v>172</x:v>
      </x:c>
      <x:c r="P212" s="12" t="s">
        <x:v>172</x:v>
      </x:c>
      <x:c r="Q212" s="12" t="s">
        <x:v>172</x:v>
      </x:c>
      <x:c r="R212" s="12" t="str">
        <x:v>疑似连续调整</x:v>
      </x:c>
      <x:c r="S212" s="12" t="str">
        <x:v>平台直接字段</x:v>
      </x:c>
      <x:c r="T212" s="12" t="str">
        <x:v>条件委托已取消；算法编号1000002182731223；创建时间2026-06-20 14:52:40；撤销时间2026-06-20 23:00:10；是否触发否；周期关联等级STRONG_CONTEXT；取消/过期原因无法确认（已完成为不适用）。</x:v>
      </x:c>
      <x:c r="U212" s="12" t="s">
        <x:v>172</x:v>
      </x:c>
      <x:c r="V212" s="21" t="s">
        <x:v>176</x:v>
      </x:c>
      <x:c r="W212" s="12" t="str">
        <x:v>algorithm_id=1000002182731223；terminal_at=2026-06-20 23:00:10；关联=STRONG_CONTEXT</x:v>
      </x:c>
    </x:row>
    <x:row r="213" ht="58" customHeight="1">
      <x:c r="A213" s="14" t="s">
        <x:v>76</x:v>
      </x:c>
      <x:c r="B213" s="14" t="s">
        <x:v>665</x:v>
      </x:c>
      <x:c r="C213" s="14" t="s">
        <x:v>178</x:v>
      </x:c>
      <x:c r="D213" s="14" t="s">
        <x:v>202</x:v>
      </x:c>
      <x:c r="E213" s="14" t="s">
        <x:v>203</x:v>
      </x:c>
      <x:c r="F213" s="14" t="s">
        <x:v>203</x:v>
      </x:c>
      <x:c r="G213" s="14" t="s">
        <x:v>666</x:v>
      </x:c>
      <x:c r="H213" s="14">
        <x:v>0</x:v>
      </x:c>
      <x:c r="I213" s="14">
        <x:v>0</x:v>
      </x:c>
      <x:c r="J213" s="14" t="str">
        <x:v>已取消</x:v>
      </x:c>
      <x:c r="K213" s="14"/>
      <x:c r="L213" s="14"/>
      <x:c r="M213" s="14" t="s">
        <x:v>172</x:v>
      </x:c>
      <x:c r="N213" s="14" t="s">
        <x:v>172</x:v>
      </x:c>
      <x:c r="O213" s="14" t="s">
        <x:v>172</x:v>
      </x:c>
      <x:c r="P213" s="14" t="s">
        <x:v>172</x:v>
      </x:c>
      <x:c r="Q213" s="14" t="s">
        <x:v>172</x:v>
      </x:c>
      <x:c r="R213" s="14" t="str">
        <x:v>疑似连续调整</x:v>
      </x:c>
      <x:c r="S213" s="14" t="str">
        <x:v>平台直接字段</x:v>
      </x:c>
      <x:c r="T213" s="14" t="str">
        <x:v>条件委托已取消；算法编号1000002182763513；创建时间2026-06-20 15:00:42；撤销时间2026-06-20 21:49:02；是否触发否；周期关联等级STRONG_CONTEXT；取消/过期原因无法确认（已完成为不适用）。</x:v>
      </x:c>
      <x:c r="U213" s="14" t="s">
        <x:v>171</x:v>
      </x:c>
      <x:c r="V213" s="21" t="s">
        <x:v>176</x:v>
      </x:c>
      <x:c r="W213" s="14" t="str">
        <x:v>algorithm_id=1000002182763513；terminal_at=2026-06-20 21:49:02；关联=STRONG_CONTEXT</x:v>
      </x:c>
    </x:row>
    <x:row r="214" ht="58" customHeight="1">
      <x:c r="A214" s="12" t="s">
        <x:v>76</x:v>
      </x:c>
      <x:c r="B214" s="12" t="s">
        <x:v>667</x:v>
      </x:c>
      <x:c r="C214" s="12" t="s">
        <x:v>178</x:v>
      </x:c>
      <x:c r="D214" s="12" t="s">
        <x:v>202</x:v>
      </x:c>
      <x:c r="E214" s="12" t="s">
        <x:v>203</x:v>
      </x:c>
      <x:c r="F214" s="12" t="s">
        <x:v>203</x:v>
      </x:c>
      <x:c r="G214" s="12" t="s">
        <x:v>668</x:v>
      </x:c>
      <x:c r="H214" s="12">
        <x:v>0</x:v>
      </x:c>
      <x:c r="I214" s="12">
        <x:v>0</x:v>
      </x:c>
      <x:c r="J214" s="12" t="str">
        <x:v>已取消</x:v>
      </x:c>
      <x:c r="K214" s="12"/>
      <x:c r="L214" s="12"/>
      <x:c r="M214" s="12" t="s">
        <x:v>172</x:v>
      </x:c>
      <x:c r="N214" s="12" t="s">
        <x:v>172</x:v>
      </x:c>
      <x:c r="O214" s="12" t="s">
        <x:v>172</x:v>
      </x:c>
      <x:c r="P214" s="12" t="s">
        <x:v>172</x:v>
      </x:c>
      <x:c r="Q214" s="12" t="s">
        <x:v>172</x:v>
      </x:c>
      <x:c r="R214" s="12" t="str">
        <x:v>疑似连续调整</x:v>
      </x:c>
      <x:c r="S214" s="12" t="str">
        <x:v>平台直接字段</x:v>
      </x:c>
      <x:c r="T214" s="12" t="str">
        <x:v>条件委托已取消；算法编号1000002184894749；创建时间2026-06-20 21:49:02；撤销时间2026-06-20 21:49:17；是否触发否；周期关联等级STRONG_CONTEXT；取消/过期原因无法确认（已完成为不适用）。</x:v>
      </x:c>
      <x:c r="U214" s="12" t="s">
        <x:v>172</x:v>
      </x:c>
      <x:c r="V214" s="21" t="s">
        <x:v>176</x:v>
      </x:c>
      <x:c r="W214" s="12" t="str">
        <x:v>algorithm_id=1000002184894749；terminal_at=2026-06-20 21:49:17；关联=STRONG_CONTEXT</x:v>
      </x:c>
    </x:row>
    <x:row r="215" ht="58" customHeight="1">
      <x:c r="A215" s="14" t="s">
        <x:v>76</x:v>
      </x:c>
      <x:c r="B215" s="14" t="s">
        <x:v>669</x:v>
      </x:c>
      <x:c r="C215" s="14" t="s">
        <x:v>178</x:v>
      </x:c>
      <x:c r="D215" s="14" t="s">
        <x:v>202</x:v>
      </x:c>
      <x:c r="E215" s="14" t="s">
        <x:v>203</x:v>
      </x:c>
      <x:c r="F215" s="14" t="s">
        <x:v>203</x:v>
      </x:c>
      <x:c r="G215" s="14" t="s">
        <x:v>670</x:v>
      </x:c>
      <x:c r="H215" s="14">
        <x:v>0</x:v>
      </x:c>
      <x:c r="I215" s="14">
        <x:v>0</x:v>
      </x:c>
      <x:c r="J215" s="14" t="str">
        <x:v>已取消</x:v>
      </x:c>
      <x:c r="K215" s="14"/>
      <x:c r="L215" s="14"/>
      <x:c r="M215" s="14" t="s">
        <x:v>172</x:v>
      </x:c>
      <x:c r="N215" s="14" t="s">
        <x:v>172</x:v>
      </x:c>
      <x:c r="O215" s="14" t="s">
        <x:v>172</x:v>
      </x:c>
      <x:c r="P215" s="14" t="s">
        <x:v>172</x:v>
      </x:c>
      <x:c r="Q215" s="14" t="s">
        <x:v>172</x:v>
      </x:c>
      <x:c r="R215" s="14" t="str">
        <x:v>疑似连续调整</x:v>
      </x:c>
      <x:c r="S215" s="14" t="str">
        <x:v>平台直接字段</x:v>
      </x:c>
      <x:c r="T215" s="14" t="str">
        <x:v>条件委托已取消；算法编号1000002184896419；创建时间2026-06-20 21:49:17；撤销时间2026-06-20 21:51:48；是否触发否；周期关联等级STRONG_CONTEXT；取消/过期原因无法确认（已完成为不适用）。</x:v>
      </x:c>
      <x:c r="U215" s="14" t="s">
        <x:v>172</x:v>
      </x:c>
      <x:c r="V215" s="21" t="s">
        <x:v>176</x:v>
      </x:c>
      <x:c r="W215" s="14" t="str">
        <x:v>algorithm_id=1000002184896419；terminal_at=2026-06-20 21:51:48；关联=STRONG_CONTEXT</x:v>
      </x:c>
    </x:row>
    <x:row r="216" ht="58" customHeight="1">
      <x:c r="A216" s="12" t="s">
        <x:v>76</x:v>
      </x:c>
      <x:c r="B216" s="12" t="s">
        <x:v>671</x:v>
      </x:c>
      <x:c r="C216" s="12" t="s">
        <x:v>178</x:v>
      </x:c>
      <x:c r="D216" s="12" t="s">
        <x:v>202</x:v>
      </x:c>
      <x:c r="E216" s="12" t="s">
        <x:v>203</x:v>
      </x:c>
      <x:c r="F216" s="12" t="s">
        <x:v>203</x:v>
      </x:c>
      <x:c r="G216" s="12" t="s">
        <x:v>672</x:v>
      </x:c>
      <x:c r="H216" s="12">
        <x:v>0</x:v>
      </x:c>
      <x:c r="I216" s="12">
        <x:v>0</x:v>
      </x:c>
      <x:c r="J216" s="12" t="str">
        <x:v>已取消</x:v>
      </x:c>
      <x:c r="K216" s="12"/>
      <x:c r="L216" s="12"/>
      <x:c r="M216" s="12" t="s">
        <x:v>172</x:v>
      </x:c>
      <x:c r="N216" s="12" t="s">
        <x:v>172</x:v>
      </x:c>
      <x:c r="O216" s="12" t="s">
        <x:v>172</x:v>
      </x:c>
      <x:c r="P216" s="12" t="s">
        <x:v>172</x:v>
      </x:c>
      <x:c r="Q216" s="12" t="s">
        <x:v>172</x:v>
      </x:c>
      <x:c r="R216" s="12" t="str">
        <x:v>疑似连续调整</x:v>
      </x:c>
      <x:c r="S216" s="12" t="str">
        <x:v>平台直接字段</x:v>
      </x:c>
      <x:c r="T216" s="12" t="str">
        <x:v>条件委托已取消；算法编号1000002184911972；创建时间2026-06-20 21:51:48；撤销时间2026-06-21 06:06:14；是否触发否；周期关联等级STRONG_CONTEXT；取消/过期原因无法确认（已完成为不适用）。</x:v>
      </x:c>
      <x:c r="U216" s="12" t="s">
        <x:v>172</x:v>
      </x:c>
      <x:c r="V216" s="21" t="s">
        <x:v>176</x:v>
      </x:c>
      <x:c r="W216" s="12" t="str">
        <x:v>algorithm_id=1000002184911972；terminal_at=2026-06-21 06:06:14；关联=STRONG_CONTEXT</x:v>
      </x:c>
    </x:row>
    <x:row r="217" ht="58" customHeight="1">
      <x:c r="A217" s="14" t="s">
        <x:v>76</x:v>
      </x:c>
      <x:c r="B217" s="14" t="s">
        <x:v>673</x:v>
      </x:c>
      <x:c r="C217" s="14" t="s">
        <x:v>178</x:v>
      </x:c>
      <x:c r="D217" s="14" t="s">
        <x:v>202</x:v>
      </x:c>
      <x:c r="E217" s="14" t="s">
        <x:v>205</x:v>
      </x:c>
      <x:c r="F217" s="14" t="s">
        <x:v>205</x:v>
      </x:c>
      <x:c r="G217" s="14" t="s">
        <x:v>674</x:v>
      </x:c>
      <x:c r="H217" s="14">
        <x:v>0</x:v>
      </x:c>
      <x:c r="I217" s="14">
        <x:v>0</x:v>
      </x:c>
      <x:c r="J217" s="14" t="str">
        <x:v>已取消</x:v>
      </x:c>
      <x:c r="K217" s="14"/>
      <x:c r="L217" s="14"/>
      <x:c r="M217" s="14" t="s">
        <x:v>172</x:v>
      </x:c>
      <x:c r="N217" s="14" t="s">
        <x:v>172</x:v>
      </x:c>
      <x:c r="O217" s="14" t="s">
        <x:v>172</x:v>
      </x:c>
      <x:c r="P217" s="14" t="s">
        <x:v>172</x:v>
      </x:c>
      <x:c r="Q217" s="14" t="s">
        <x:v>172</x:v>
      </x:c>
      <x:c r="R217" s="14" t="str">
        <x:v>疑似连续调整</x:v>
      </x:c>
      <x:c r="S217" s="14" t="str">
        <x:v>平台直接字段</x:v>
      </x:c>
      <x:c r="T217" s="14" t="str">
        <x:v>条件委托已取消；算法编号1000002185418032；创建时间2026-06-20 23:00:10；撤销时间2026-06-21 06:05:32；是否触发否；周期关联等级STRONG_CONTEXT；取消/过期原因无法确认（已完成为不适用）。</x:v>
      </x:c>
      <x:c r="U217" s="14" t="s">
        <x:v>172</x:v>
      </x:c>
      <x:c r="V217" s="21" t="s">
        <x:v>176</x:v>
      </x:c>
      <x:c r="W217" s="14" t="str">
        <x:v>algorithm_id=1000002185418032；terminal_at=2026-06-21 06:05:32；关联=STRONG_CONTEXT</x:v>
      </x:c>
    </x:row>
    <x:row r="218" ht="58" customHeight="1">
      <x:c r="A218" s="12" t="s">
        <x:v>76</x:v>
      </x:c>
      <x:c r="B218" s="12" t="s">
        <x:v>675</x:v>
      </x:c>
      <x:c r="C218" s="12" t="s">
        <x:v>178</x:v>
      </x:c>
      <x:c r="D218" s="12" t="s">
        <x:v>184</x:v>
      </x:c>
      <x:c r="E218" s="12" t="s">
        <x:v>234</x:v>
      </x:c>
      <x:c r="F218" s="12" t="s">
        <x:v>185</x:v>
      </x:c>
      <x:c r="G218" s="12" t="s">
        <x:v>676</x:v>
      </x:c>
      <x:c r="H218" s="12">
        <x:v>7.5</x:v>
      </x:c>
      <x:c r="I218" s="12">
        <x:v>0</x:v>
      </x:c>
      <x:c r="J218" s="12" t="s">
        <x:v>187</x:v>
      </x:c>
      <x:c r="K218" s="12" t="s">
        <x:v>657</x:v>
      </x:c>
      <x:c r="L218" s="12" t="s">
        <x:v>657</x:v>
      </x:c>
      <x:c r="M218" s="12" t="s">
        <x:v>172</x:v>
      </x:c>
      <x:c r="N218" s="12" t="s">
        <x:v>172</x:v>
      </x:c>
      <x:c r="O218" s="12" t="s">
        <x:v>172</x:v>
      </x:c>
      <x:c r="P218" s="12" t="s">
        <x:v>172</x:v>
      </x:c>
      <x:c r="Q218" s="12" t="s">
        <x:v>172</x:v>
      </x:c>
      <x:c r="R218" s="12" t="s">
        <x:v>447</x:v>
      </x:c>
      <x:c r="S218" s="12" t="s">
        <x:v>189</x:v>
      </x:c>
      <x:c r="T218" s="12" t="s">
        <x:v>677</x:v>
      </x:c>
      <x:c r="U218" s="12" t="s">
        <x:v>171</x:v>
      </x:c>
      <x:c r="V218" s="21" t="s">
        <x:v>176</x:v>
      </x:c>
      <x:c r="W218" s="12" t="str">
        <x:v>独立事件；按本行事实口径计数。</x:v>
      </x:c>
    </x:row>
    <x:row r="219" ht="58" customHeight="1">
      <x:c r="A219" s="14" t="s">
        <x:v>76</x:v>
      </x:c>
      <x:c r="B219" s="14" t="s">
        <x:v>678</x:v>
      </x:c>
      <x:c r="C219" s="14" t="s">
        <x:v>178</x:v>
      </x:c>
      <x:c r="D219" s="14" t="s">
        <x:v>202</x:v>
      </x:c>
      <x:c r="E219" s="14" t="s">
        <x:v>205</x:v>
      </x:c>
      <x:c r="F219" s="14" t="s">
        <x:v>205</x:v>
      </x:c>
      <x:c r="G219" s="14" t="s">
        <x:v>679</x:v>
      </x:c>
      <x:c r="H219" s="14">
        <x:v>0</x:v>
      </x:c>
      <x:c r="I219" s="14">
        <x:v>0</x:v>
      </x:c>
      <x:c r="J219" s="14" t="str">
        <x:v>已取消</x:v>
      </x:c>
      <x:c r="K219" s="14"/>
      <x:c r="L219" s="14"/>
      <x:c r="M219" s="14" t="s">
        <x:v>172</x:v>
      </x:c>
      <x:c r="N219" s="14" t="s">
        <x:v>172</x:v>
      </x:c>
      <x:c r="O219" s="14" t="s">
        <x:v>172</x:v>
      </x:c>
      <x:c r="P219" s="14" t="s">
        <x:v>172</x:v>
      </x:c>
      <x:c r="Q219" s="14" t="s">
        <x:v>172</x:v>
      </x:c>
      <x:c r="R219" s="14" t="str">
        <x:v>疑似连续调整</x:v>
      </x:c>
      <x:c r="S219" s="14" t="str">
        <x:v>平台直接字段</x:v>
      </x:c>
      <x:c r="T219" s="14" t="str">
        <x:v>条件委托已取消；算法编号1000002187532521；创建时间2026-06-21 06:05:32；撤销时间2026-06-21 06:06:53；是否触发否；周期关联等级STRONG_CONTEXT；取消/过期原因无法确认（已完成为不适用）。</x:v>
      </x:c>
      <x:c r="U219" s="14" t="s">
        <x:v>172</x:v>
      </x:c>
      <x:c r="V219" s="21" t="s">
        <x:v>176</x:v>
      </x:c>
      <x:c r="W219" s="14" t="str">
        <x:v>algorithm_id=1000002187532521；terminal_at=2026-06-21 06:06:53；关联=STRONG_CONTEXT</x:v>
      </x:c>
    </x:row>
    <x:row r="220" ht="58" customHeight="1">
      <x:c r="A220" s="12" t="s">
        <x:v>76</x:v>
      </x:c>
      <x:c r="B220" s="12" t="s">
        <x:v>680</x:v>
      </x:c>
      <x:c r="C220" s="12" t="s">
        <x:v>178</x:v>
      </x:c>
      <x:c r="D220" s="12" t="s">
        <x:v>202</x:v>
      </x:c>
      <x:c r="E220" s="12" t="s">
        <x:v>203</x:v>
      </x:c>
      <x:c r="F220" s="12" t="s">
        <x:v>203</x:v>
      </x:c>
      <x:c r="G220" s="12" t="s">
        <x:v>681</x:v>
      </x:c>
      <x:c r="H220" s="12">
        <x:v>0</x:v>
      </x:c>
      <x:c r="I220" s="12">
        <x:v>0</x:v>
      </x:c>
      <x:c r="J220" s="12" t="str">
        <x:v>已过期</x:v>
      </x:c>
      <x:c r="K220" s="12"/>
      <x:c r="L220" s="12"/>
      <x:c r="M220" s="12" t="s">
        <x:v>172</x:v>
      </x:c>
      <x:c r="N220" s="12" t="s">
        <x:v>172</x:v>
      </x:c>
      <x:c r="O220" s="12" t="s">
        <x:v>172</x:v>
      </x:c>
      <x:c r="P220" s="12" t="s">
        <x:v>172</x:v>
      </x:c>
      <x:c r="Q220" s="12" t="s">
        <x:v>172</x:v>
      </x:c>
      <x:c r="R220" s="12" t="str">
        <x:v>疑似连续调整</x:v>
      </x:c>
      <x:c r="S220" s="12" t="str">
        <x:v>平台直接字段</x:v>
      </x:c>
      <x:c r="T220" s="12" t="str">
        <x:v>条件委托已过期；算法编号1000002187537231；创建时间2026-06-21 06:06:14；过期时间2026-06-21 06:30:32；是否触发否；周期关联等级STRONG_CONTEXT；取消/过期原因无法确认（已完成为不适用）。</x:v>
      </x:c>
      <x:c r="U220" s="12" t="s">
        <x:v>172</x:v>
      </x:c>
      <x:c r="V220" s="21" t="s">
        <x:v>176</x:v>
      </x:c>
      <x:c r="W220" s="12" t="str">
        <x:v>algorithm_id=1000002187537231；terminal_at=2026-06-21 06:30:32；关联=STRONG_CONTEXT</x:v>
      </x:c>
    </x:row>
    <x:row r="221" ht="58" customHeight="1">
      <x:c r="A221" s="14" t="s">
        <x:v>76</x:v>
      </x:c>
      <x:c r="B221" s="14" t="s">
        <x:v>682</x:v>
      </x:c>
      <x:c r="C221" s="14" t="s">
        <x:v>178</x:v>
      </x:c>
      <x:c r="D221" s="14" t="s">
        <x:v>202</x:v>
      </x:c>
      <x:c r="E221" s="14" t="s">
        <x:v>205</x:v>
      </x:c>
      <x:c r="F221" s="14" t="s">
        <x:v>205</x:v>
      </x:c>
      <x:c r="G221" s="14" t="s">
        <x:v>683</x:v>
      </x:c>
      <x:c r="H221" s="14">
        <x:v>0</x:v>
      </x:c>
      <x:c r="I221" s="14">
        <x:v>0</x:v>
      </x:c>
      <x:c r="J221" s="14" t="str">
        <x:v>已取消</x:v>
      </x:c>
      <x:c r="K221" s="14"/>
      <x:c r="L221" s="14"/>
      <x:c r="M221" s="14" t="s">
        <x:v>172</x:v>
      </x:c>
      <x:c r="N221" s="14" t="s">
        <x:v>172</x:v>
      </x:c>
      <x:c r="O221" s="14" t="s">
        <x:v>172</x:v>
      </x:c>
      <x:c r="P221" s="14" t="s">
        <x:v>172</x:v>
      </x:c>
      <x:c r="Q221" s="14" t="s">
        <x:v>172</x:v>
      </x:c>
      <x:c r="R221" s="14" t="str">
        <x:v>疑似连续调整</x:v>
      </x:c>
      <x:c r="S221" s="14" t="str">
        <x:v>平台直接字段</x:v>
      </x:c>
      <x:c r="T221" s="14" t="str">
        <x:v>条件委托已取消；算法编号1000002187541581；创建时间2026-06-21 06:06:53；撤销时间2026-06-21 06:16:02；是否触发否；周期关联等级STRONG_CONTEXT；取消/过期原因无法确认（已完成为不适用）。</x:v>
      </x:c>
      <x:c r="U221" s="14" t="s">
        <x:v>172</x:v>
      </x:c>
      <x:c r="V221" s="21" t="s">
        <x:v>176</x:v>
      </x:c>
      <x:c r="W221" s="14" t="str">
        <x:v>algorithm_id=1000002187541581；terminal_at=2026-06-21 06:16:02；关联=STRONG_CONTEXT</x:v>
      </x:c>
    </x:row>
    <x:row r="222" ht="58" customHeight="1">
      <x:c r="A222" s="12" t="s">
        <x:v>76</x:v>
      </x:c>
      <x:c r="B222" s="12" t="s">
        <x:v>684</x:v>
      </x:c>
      <x:c r="C222" s="12" t="s">
        <x:v>178</x:v>
      </x:c>
      <x:c r="D222" s="12" t="s">
        <x:v>184</x:v>
      </x:c>
      <x:c r="E222" s="12" t="s">
        <x:v>234</x:v>
      </x:c>
      <x:c r="F222" s="12" t="s">
        <x:v>185</x:v>
      </x:c>
      <x:c r="G222" s="12" t="s">
        <x:v>685</x:v>
      </x:c>
      <x:c r="H222" s="12">
        <x:v>7.5</x:v>
      </x:c>
      <x:c r="I222" s="12">
        <x:v>0</x:v>
      </x:c>
      <x:c r="J222" s="12" t="s">
        <x:v>236</x:v>
      </x:c>
      <x:c r="K222" s="12" t="s">
        <x:v>657</x:v>
      </x:c>
      <x:c r="L222" s="12" t="s">
        <x:v>657</x:v>
      </x:c>
      <x:c r="M222" s="12" t="s">
        <x:v>172</x:v>
      </x:c>
      <x:c r="N222" s="12" t="s">
        <x:v>172</x:v>
      </x:c>
      <x:c r="O222" s="12" t="s">
        <x:v>172</x:v>
      </x:c>
      <x:c r="P222" s="12" t="s">
        <x:v>172</x:v>
      </x:c>
      <x:c r="Q222" s="12" t="s">
        <x:v>172</x:v>
      </x:c>
      <x:c r="R222" s="12" t="s">
        <x:v>195</x:v>
      </x:c>
      <x:c r="S222" s="12" t="s">
        <x:v>20</x:v>
      </x:c>
      <x:c r="T222" s="12" t="s">
        <x:v>686</x:v>
      </x:c>
      <x:c r="U222" s="12" t="s">
        <x:v>171</x:v>
      </x:c>
      <x:c r="V222" s="21" t="s">
        <x:v>176</x:v>
      </x:c>
      <x:c r="W222" s="12" t="str">
        <x:v>独立事件；按本行事实口径计数。</x:v>
      </x:c>
    </x:row>
    <x:row r="223" ht="58" customHeight="1">
      <x:c r="A223" s="14" t="s">
        <x:v>76</x:v>
      </x:c>
      <x:c r="B223" s="14" t="s">
        <x:v>687</x:v>
      </x:c>
      <x:c r="C223" s="14" t="s">
        <x:v>178</x:v>
      </x:c>
      <x:c r="D223" s="14" t="s">
        <x:v>202</x:v>
      </x:c>
      <x:c r="E223" s="14" t="s">
        <x:v>205</x:v>
      </x:c>
      <x:c r="F223" s="14" t="s">
        <x:v>205</x:v>
      </x:c>
      <x:c r="G223" s="14" t="s">
        <x:v>688</x:v>
      </x:c>
      <x:c r="H223" s="14">
        <x:v>0</x:v>
      </x:c>
      <x:c r="I223" s="14">
        <x:v>0</x:v>
      </x:c>
      <x:c r="J223" s="14" t="str">
        <x:v>已过期</x:v>
      </x:c>
      <x:c r="K223" s="14"/>
      <x:c r="L223" s="14"/>
      <x:c r="M223" s="14" t="s">
        <x:v>172</x:v>
      </x:c>
      <x:c r="N223" s="14" t="s">
        <x:v>172</x:v>
      </x:c>
      <x:c r="O223" s="14" t="s">
        <x:v>172</x:v>
      </x:c>
      <x:c r="P223" s="14" t="s">
        <x:v>172</x:v>
      </x:c>
      <x:c r="Q223" s="14" t="s">
        <x:v>172</x:v>
      </x:c>
      <x:c r="R223" s="14" t="str">
        <x:v>疑似连续调整</x:v>
      </x:c>
      <x:c r="S223" s="14" t="str">
        <x:v>平台直接字段</x:v>
      </x:c>
      <x:c r="T223" s="14" t="str">
        <x:v>条件委托已过期；算法编号1000002187598811；创建时间2026-06-21 06:16:02；过期时间2026-06-21 06:30:32；是否触发否；周期关联等级STRONG_CONTEXT；取消/过期原因无法确认（已完成为不适用）。</x:v>
      </x:c>
      <x:c r="U223" s="14" t="s">
        <x:v>172</x:v>
      </x:c>
      <x:c r="V223" s="21" t="s">
        <x:v>176</x:v>
      </x:c>
      <x:c r="W223" s="14" t="str">
        <x:v>algorithm_id=1000002187598811；terminal_at=2026-06-21 06:30:32；关联=STRONG_CONTEXT</x:v>
      </x:c>
    </x:row>
    <x:row r="224" ht="58" customHeight="1">
      <x:c r="A224" s="12" t="s">
        <x:v>76</x:v>
      </x:c>
      <x:c r="B224" s="12" t="s">
        <x:v>689</x:v>
      </x:c>
      <x:c r="C224" s="12" t="s">
        <x:v>178</x:v>
      </x:c>
      <x:c r="D224" s="12" t="s">
        <x:v>184</x:v>
      </x:c>
      <x:c r="E224" s="12" t="s">
        <x:v>234</x:v>
      </x:c>
      <x:c r="F224" s="12" t="s">
        <x:v>185</x:v>
      </x:c>
      <x:c r="G224" s="12" t="s">
        <x:v>690</x:v>
      </x:c>
      <x:c r="H224" s="12">
        <x:v>7.5</x:v>
      </x:c>
      <x:c r="I224" s="12">
        <x:v>0</x:v>
      </x:c>
      <x:c r="J224" s="12" t="s">
        <x:v>236</x:v>
      </x:c>
      <x:c r="K224" s="12" t="s">
        <x:v>657</x:v>
      </x:c>
      <x:c r="L224" s="12" t="s">
        <x:v>657</x:v>
      </x:c>
      <x:c r="M224" s="12" t="s">
        <x:v>172</x:v>
      </x:c>
      <x:c r="N224" s="12" t="s">
        <x:v>172</x:v>
      </x:c>
      <x:c r="O224" s="12" t="s">
        <x:v>172</x:v>
      </x:c>
      <x:c r="P224" s="12" t="s">
        <x:v>172</x:v>
      </x:c>
      <x:c r="Q224" s="12" t="s">
        <x:v>172</x:v>
      </x:c>
      <x:c r="R224" s="12" t="s">
        <x:v>193</x:v>
      </x:c>
      <x:c r="S224" s="12" t="s">
        <x:v>189</x:v>
      </x:c>
      <x:c r="T224" s="12" t="s">
        <x:v>691</x:v>
      </x:c>
      <x:c r="U224" s="12" t="s">
        <x:v>172</x:v>
      </x:c>
      <x:c r="V224" s="21" t="s">
        <x:v>176</x:v>
      </x:c>
      <x:c r="W224" s="12" t="str">
        <x:v>独立事件；按本行事实口径计数。</x:v>
      </x:c>
    </x:row>
    <x:row r="225" ht="58" customHeight="1">
      <x:c r="A225" s="14" t="s">
        <x:v>76</x:v>
      </x:c>
      <x:c r="B225" s="14" t="s">
        <x:v>692</x:v>
      </x:c>
      <x:c r="C225" s="14" t="s">
        <x:v>178</x:v>
      </x:c>
      <x:c r="D225" s="14" t="s">
        <x:v>165</x:v>
      </x:c>
      <x:c r="E225" s="14" t="s">
        <x:v>208</x:v>
      </x:c>
      <x:c r="F225" s="14" t="s">
        <x:v>199</x:v>
      </x:c>
      <x:c r="G225" s="14" t="s">
        <x:v>693</x:v>
      </x:c>
      <x:c r="H225" s="14">
        <x:v>7.5</x:v>
      </x:c>
      <x:c r="I225" s="14">
        <x:v>7.5</x:v>
      </x:c>
      <x:c r="J225" s="14" t="s">
        <x:v>168</x:v>
      </x:c>
      <x:c r="K225" s="14" t="s">
        <x:v>657</x:v>
      </x:c>
      <x:c r="L225" s="14" t="s">
        <x:v>169</x:v>
      </x:c>
      <x:c r="M225" s="14" t="s">
        <x:v>171</x:v>
      </x:c>
      <x:c r="N225" s="14" t="s">
        <x:v>172</x:v>
      </x:c>
      <x:c r="O225" s="14" t="s">
        <x:v>172</x:v>
      </x:c>
      <x:c r="P225" s="14" t="s">
        <x:v>172</x:v>
      </x:c>
      <x:c r="Q225" s="14" t="s">
        <x:v>171</x:v>
      </x:c>
      <x:c r="R225" s="14" t="s">
        <x:v>193</x:v>
      </x:c>
      <x:c r="S225" s="14" t="s">
        <x:v>189</x:v>
      </x:c>
      <x:c r="T225" s="14" t="s">
        <x:v>694</x:v>
      </x:c>
      <x:c r="U225" s="14" t="s">
        <x:v>172</x:v>
      </x:c>
      <x:c r="V225" s="21" t="s">
        <x:v>176</x:v>
      </x:c>
      <x:c r="W225" s="14" t="str">
        <x:v>独立事件；按本行事实口径计数。</x:v>
      </x:c>
    </x:row>
    <x:row r="226" ht="58" customHeight="1">
      <x:c r="A226" s="12" t="s">
        <x:v>76</x:v>
      </x:c>
      <x:c r="B226" s="12" t="s">
        <x:v>695</x:v>
      </x:c>
      <x:c r="C226" s="12" t="s">
        <x:v>211</x:v>
      </x:c>
      <x:c r="D226" s="12" t="s">
        <x:v>212</x:v>
      </x:c>
      <x:c r="E226" s="12" t="s">
        <x:v>213</x:v>
      </x:c>
      <x:c r="F226" s="12"/>
      <x:c r="G226" s="12"/>
      <x:c r="H226" s="12"/>
      <x:c r="I226" s="12"/>
      <x:c r="J226" s="12"/>
      <x:c r="K226" s="12"/>
      <x:c r="L226" s="12"/>
      <x:c r="M226" s="12" t="s">
        <x:v>172</x:v>
      </x:c>
      <x:c r="N226" s="12" t="s">
        <x:v>172</x:v>
      </x:c>
      <x:c r="O226" s="12" t="s">
        <x:v>172</x:v>
      </x:c>
      <x:c r="P226" s="12" t="s">
        <x:v>172</x:v>
      </x:c>
      <x:c r="Q226" s="12" t="s">
        <x:v>172</x:v>
      </x:c>
      <x:c r="R226" s="12"/>
      <x:c r="S226" s="12" t="s">
        <x:v>214</x:v>
      </x:c>
      <x:c r="T226" s="12" t="s">
        <x:v>696</x:v>
      </x:c>
      <x:c r="U226" s="12" t="s">
        <x:v>172</x:v>
      </x:c>
      <x:c r="V226" s="21" t="s">
        <x:v>176</x:v>
      </x:c>
      <x:c r="W226" s="12" t="str">
        <x:v>独立事件；按本行事实口径计数。</x:v>
      </x:c>
    </x:row>
    <x:row r="227" ht="48" customHeight="1"/>
  </x:sheetData>
  <x:mergeCells>
    <x:mergeCell ref="A1:W1"/>
    <x:mergeCell ref="A2:C2"/>
    <x:mergeCell ref="D2:F2"/>
    <x:mergeCell ref="G2:I2"/>
    <x:mergeCell ref="J2:L2"/>
    <x:mergeCell ref="M2:O2"/>
    <x:mergeCell ref="P2:R2"/>
    <x:mergeCell ref="S2:W2"/>
    <x:mergeCell ref="A3:W3"/>
  </x:mergeCells>
  <x:dataValidations count="1">
    <x:dataValidation type="list" sqref="V6:V226">
      <x:formula1>"待填写,是,否"</x:formula1>
    </x:dataValidation>
  </x:dataValidation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s>
  <x:pageMargins left="0.7" right="0.7" top="0.75" bottom="0.75" header="0.3" footer="0.3"/>
  <x:tableParts count="1">
    <x:tablePart xmlns:r="http://schemas.openxmlformats.org/officeDocument/2006/relationships" r:id="R85b26a36db5b4703"/>
  </x:tableParts>
</x:worksheet>
</file>

<file path=xl/worksheets/sheet5.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3" width="21" customWidth="1"/>
    <x:col min="4" max="14" width="17" customWidth="1"/>
    <x:col min="15" max="15" width="12" customWidth="1"/>
    <x:col min="16" max="16" width="30" customWidth="1"/>
    <x:col min="17" max="17" width="58" customWidth="1"/>
  </x:cols>
  <x:sheetData>
    <x:row r="1" ht="28" customHeight="1">
      <x:c r="A1" s="5" t="s">
        <x:v>697</x:v>
      </x:c>
      <x:c r="B1" s="5" t="s">
        <x:v>697</x:v>
      </x:c>
      <x:c r="C1" s="5" t="s">
        <x:v>697</x:v>
      </x:c>
      <x:c r="D1" s="5" t="s">
        <x:v>697</x:v>
      </x:c>
      <x:c r="E1" s="5" t="s">
        <x:v>697</x:v>
      </x:c>
      <x:c r="F1" s="5" t="s">
        <x:v>697</x:v>
      </x:c>
      <x:c r="G1" s="5" t="s">
        <x:v>697</x:v>
      </x:c>
      <x:c r="H1" s="5" t="s">
        <x:v>697</x:v>
      </x:c>
      <x:c r="I1" s="5" t="s">
        <x:v>697</x:v>
      </x:c>
      <x:c r="J1" s="5" t="s">
        <x:v>697</x:v>
      </x:c>
      <x:c r="K1" s="5" t="s">
        <x:v>697</x:v>
      </x:c>
      <x:c r="L1" s="5" t="s">
        <x:v>697</x:v>
      </x:c>
      <x:c r="M1" s="5" t="s">
        <x:v>697</x:v>
      </x:c>
      <x:c r="N1" s="5" t="s">
        <x:v>697</x:v>
      </x:c>
      <x:c r="O1" s="5" t="s">
        <x:v>697</x:v>
      </x:c>
      <x:c r="P1" s="5" t="s">
        <x:v>697</x:v>
      </x:c>
      <x:c r="Q1" s="5" t="s">
        <x:v>697</x:v>
      </x:c>
    </x:row>
    <x:row r="2" ht="24" customHeight="1">
      <x:c r="A2" s="6" t="str">
        <x:f>HYPERLINK("#'账户与交易总览'!A1","总览")</x:f>
        <x:v>总览</x:v>
      </x:c>
      <x:c r="B2" s="6"/>
      <x:c r="C2" s="6" t="str">
        <x:f>HYPERLINK("#'逐笔人工复盘总表'!A1","逐笔总表")</x:f>
        <x:v>逐笔总表</x:v>
      </x:c>
      <x:c r="D2" s="6"/>
      <x:c r="E2" s="6" t="str">
        <x:f>HYPERLINK("#'单笔交易复盘卡'!A1","单笔卡")</x:f>
        <x:v>单笔卡</x:v>
      </x:c>
      <x:c r="F2" s="6"/>
      <x:c r="G2" s="6" t="str">
        <x:f>HYPERLINK("#'完整操作过程'!A1","完整过程")</x:f>
        <x:v>完整过程</x:v>
      </x:c>
      <x:c r="H2" s="6"/>
      <x:c r="I2" s="6" t="str">
        <x:f>HYPERLINK("#'账户资金轨迹'!A1","资金轨迹")</x:f>
        <x:v>资金轨迹</x:v>
      </x:c>
      <x:c r="J2" s="6"/>
      <x:c r="K2" s="6" t="str">
        <x:f>HYPERLINK("#'人工复盘完成清单'!A1","人工填写")</x:f>
        <x:v>人工填写</x:v>
      </x:c>
      <x:c r="L2" s="6"/>
      <x:c r="M2" s="6" t="str">
        <x:f>HYPERLINK("#'字段与口径说明'!A1","字段口径")</x:f>
        <x:v>字段口径</x:v>
      </x:c>
      <x:c r="N2" s="6"/>
      <x:c r="O2" s="6"/>
      <x:c r="P2" s="6"/>
      <x:c r="Q2" s="6"/>
    </x:row>
    <x:row r="3" ht="34" customHeight="1">
      <x:c r="A3" s="7" t="s">
        <x:v>698</x:v>
      </x:c>
      <x:c r="B3" s="7" t="s">
        <x:v>698</x:v>
      </x:c>
      <x:c r="C3" s="7" t="s">
        <x:v>698</x:v>
      </x:c>
      <x:c r="D3" s="7" t="s">
        <x:v>698</x:v>
      </x:c>
      <x:c r="E3" s="7" t="s">
        <x:v>698</x:v>
      </x:c>
      <x:c r="F3" s="7" t="s">
        <x:v>698</x:v>
      </x:c>
      <x:c r="G3" s="7" t="s">
        <x:v>698</x:v>
      </x:c>
      <x:c r="H3" s="7" t="s">
        <x:v>698</x:v>
      </x:c>
      <x:c r="I3" s="7" t="s">
        <x:v>698</x:v>
      </x:c>
      <x:c r="J3" s="7" t="s">
        <x:v>698</x:v>
      </x:c>
      <x:c r="K3" s="7" t="s">
        <x:v>698</x:v>
      </x:c>
      <x:c r="L3" s="7" t="s">
        <x:v>698</x:v>
      </x:c>
      <x:c r="M3" s="7" t="s">
        <x:v>698</x:v>
      </x:c>
      <x:c r="N3" s="7" t="s">
        <x:v>698</x:v>
      </x:c>
      <x:c r="O3" s="7" t="s">
        <x:v>698</x:v>
      </x:c>
      <x:c r="P3" s="7" t="s">
        <x:v>698</x:v>
      </x:c>
      <x:c r="Q3" s="7" t="s">
        <x:v>698</x:v>
      </x:c>
    </x:row>
    <x:row r="5" ht="52" customHeight="1">
      <x:c r="A5" s="11" t="s">
        <x:v>23</x:v>
      </x:c>
      <x:c r="B5" s="11" t="s">
        <x:v>27</x:v>
      </x:c>
      <x:c r="C5" s="11" t="s">
        <x:v>28</x:v>
      </x:c>
      <x:c r="D5" s="11" t="s">
        <x:v>699</x:v>
      </x:c>
      <x:c r="E5" s="11" t="s">
        <x:v>700</x:v>
      </x:c>
      <x:c r="F5" s="11" t="s">
        <x:v>128</x:v>
      </x:c>
      <x:c r="G5" s="11" t="s">
        <x:v>129</x:v>
      </x:c>
      <x:c r="H5" s="11" t="s">
        <x:v>130</x:v>
      </x:c>
      <x:c r="I5" s="11" t="s">
        <x:v>701</x:v>
      </x:c>
      <x:c r="J5" s="11" t="s">
        <x:v>132</x:v>
      </x:c>
      <x:c r="K5" s="11" t="s">
        <x:v>702</x:v>
      </x:c>
      <x:c r="L5" s="11" t="s">
        <x:v>703</x:v>
      </x:c>
      <x:c r="M5" s="11" t="s">
        <x:v>704</x:v>
      </x:c>
      <x:c r="N5" s="11" t="s">
        <x:v>59</x:v>
      </x:c>
      <x:c r="O5" s="11" t="s">
        <x:v>135</x:v>
      </x:c>
      <x:c r="P5" s="11" t="s">
        <x:v>35</x:v>
      </x:c>
      <x:c r="Q5" s="11" t="s">
        <x:v>705</x:v>
      </x:c>
    </x:row>
    <x:row r="6" ht="72" customHeight="1">
      <x:c r="A6" s="12" t="s">
        <x:v>67</x:v>
      </x:c>
      <x:c r="B6" s="12" t="str">
        <x:f>IF(COUNTIF(技术_主动交易用户汇总!$A$2:$A$11,$A6)=0,"",INDEX(技术_主动交易用户汇总!$E$2:$E$11,MATCH($A6,技术_主动交易用户汇总!$A$2:$A$11,0)))</x:f>
        <x:v>2026-05-27 00:12:51</x:v>
      </x:c>
      <x:c r="C6" s="12" t="str">
        <x:f>IF(COUNTIF(技术_主动交易用户汇总!$A$2:$A$11,$A6)=0,"",INDEX(技术_主动交易用户汇总!$F$2:$F$11,MATCH($A6,技术_主动交易用户汇总!$A$2:$A$11,0)))</x:f>
        <x:v>2026-05-27 01:19:41</x:v>
      </x:c>
      <x:c r="D6" s="17" t="str">
        <x:f>IF(COUNTIF(技术_资金展示结果!$A$2:$A$11,$A6)=0,"",INDEX(技术_资金展示结果!$C$2:$C$11,MATCH($A6,技术_资金展示结果!$A$2:$A$11,0)))</x:f>
        <x:v>14557.38</x:v>
      </x:c>
      <x:c r="E6" s="17" t="str">
        <x:f>IF(COUNTIF(技术_资金展示结果!$A$2:$A$11,$A6)=0,"",INDEX(技术_资金展示结果!$D$2:$D$11,MATCH($A6,技术_资金展示结果!$A$2:$A$11,0)))</x:f>
        <x:v>29057.38</x:v>
      </x:c>
      <x:c r="F6" s="17" t="str">
        <x:f>IF(COUNTIF(技术_资金展示结果!$A$2:$A$11,$A6)=0,"",INDEX(技术_资金展示结果!$E$2:$E$11,MATCH($A6,技术_资金展示结果!$A$2:$A$11,0)))</x:f>
        <x:v>0</x:v>
      </x:c>
      <x:c r="G6" s="17" t="str">
        <x:f>IF(COUNTIF(技术_资金展示结果!$A$2:$A$11,$A6)=0,"",INDEX(技术_资金展示结果!$F$2:$F$11,MATCH($A6,技术_资金展示结果!$A$2:$A$11,0)))</x:f>
        <x:v>0</x:v>
      </x:c>
      <x:c r="H6" s="17" t="str">
        <x:f>IF(COUNTIF(技术_资金展示结果!$A$2:$A$11,$A6)=0,"",INDEX(技术_资金展示结果!$H$2:$H$11,MATCH($A6,技术_资金展示结果!$A$2:$A$11,0)))</x:f>
        <x:v>16.762475</x:v>
      </x:c>
      <x:c r="I6" s="17" t="str">
        <x:f>IF(COUNTIF(技术_资金展示结果!$A$2:$A$11,$A6)=0,"",INDEX(技术_资金展示结果!$I$2:$I$11,MATCH($A6,技术_资金展示结果!$A$2:$A$11,0)))</x:f>
        <x:v>0</x:v>
      </x:c>
      <x:c r="J6" s="17" t="str">
        <x:f>IF(COUNTIF(技术_资金展示结果!$A$2:$A$11,$A6)=0,"",INDEX(技术_资金展示结果!$J$2:$J$11,MATCH($A6,技术_资金展示结果!$A$2:$A$11,0)))</x:f>
        <x:v>0</x:v>
      </x:c>
      <x:c r="K6" s="17" t="str">
        <x:f>IF(COUNTIF(技术_资金展示结果!$A$2:$A$11,$A6)=0,"",INDEX(技术_资金展示结果!$K$2:$K$11,MATCH($A6,技术_资金展示结果!$A$2:$A$11,0)))</x:f>
        <x:v>1.52376</x:v>
      </x:c>
      <x:c r="L6" s="17" t="str">
        <x:f>IF(COUNTIF(技术_资金展示结果!$A$2:$A$11,$A6)=0,"",INDEX(技术_资金展示结果!$M$2:$M$11,MATCH($A6,技术_资金展示结果!$A$2:$A$11,0)))</x:f>
        <x:v>29075.666235</x:v>
      </x:c>
      <x:c r="M6" s="17" t="str">
        <x:f>IF(COUNTIF(技术_资金展示结果!$A$2:$A$11,$A6)=0,"",INDEX(技术_资金展示结果!$O$2:$O$11,MATCH($A6,技术_资金展示结果!$A$2:$A$11,0)))</x:f>
        <x:v>15546.43</x:v>
      </x:c>
      <x:c r="N6" s="17" t="str">
        <x:f>IF(COUNTIF(技术_资金展示结果!$A$2:$A$11,$A6)=0,"",INDEX(技术_资金展示结果!$P$2:$P$11,MATCH($A6,技术_资金展示结果!$A$2:$A$11,0)))</x:f>
        <x:v>-13533.04998</x:v>
      </x:c>
      <x:c r="O6" s="19" t="str">
        <x:f>IF(COUNTIF(技术_资金展示结果!$A$2:$A$11,$A6)=0,"",INDEX(技术_资金展示结果!$Q$2:$Q$11,MATCH($A6,技术_资金展示结果!$A$2:$A$11,0)))</x:f>
        <x:v>0.92963500162804021053238975694802224026576210829146453551394550392996541960160413</x:v>
      </x:c>
      <x:c r="P6" s="12" t="str">
        <x:f>IF(COUNTIF(技术_资金展示结果!$A$2:$A$11,$A6)=0,"",INDEX(技术_资金展示结果!$R$2:$R$11,MATCH($A6,技术_资金展示结果!$A$2:$A$11,0)))</x:f>
        <x:v>B｜大部分闭环，剩余差额有明确类别但无法精确分配</x:v>
      </x:c>
      <x:c r="Q6" s="12" t="str">
        <x:f>IF($A6="T049","平仓后已确认资金事件滚动值为负，不能解释为真实账户总资产。实际快照与已确认事件之间仍存在43,918.85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USDT未分配差额，可能涉及不可得的未实现盈亏、快照口径或多资产估值，不归因于T049本身。",IF(COUNTIF(技术_资金展示结果!$A$2:$A$11,$A6)=0,"",INDEX(技术_资金展示结果!$AB$2:$AB$11,MATCH($A6,技术_资金展示结果!$A$2:$A$11,0))))</x:f>
        <x:v>已确认资金事件滚动值只累计现有证据能够确认的资金事件，不等于实时账户余额或实时总权益。未分配快照差额保留在账户层，不归因于当前交易。</x:v>
      </x:c>
    </x:row>
    <x:row r="7" ht="72" customHeight="1">
      <x:c r="A7" s="14" t="s">
        <x:v>68</x:v>
      </x:c>
      <x:c r="B7" s="14" t="str">
        <x:f>IF(COUNTIF(技术_主动交易用户汇总!$A$2:$A$11,$A7)=0,"",INDEX(技术_主动交易用户汇总!$E$2:$E$11,MATCH($A7,技术_主动交易用户汇总!$A$2:$A$11,0)))</x:f>
        <x:v>2026-06-01 07:03:48</x:v>
      </x:c>
      <x:c r="C7" s="14" t="str">
        <x:f>IF(COUNTIF(技术_主动交易用户汇总!$A$2:$A$11,$A7)=0,"",INDEX(技术_主动交易用户汇总!$F$2:$F$11,MATCH($A7,技术_主动交易用户汇总!$A$2:$A$11,0)))</x:f>
        <x:v>2026-06-01 09:31:04</x:v>
      </x:c>
      <x:c r="D7" s="18" t="str">
        <x:f>IF(COUNTIF(技术_资金展示结果!$A$2:$A$11,$A7)=0,"",INDEX(技术_资金展示结果!$C$2:$C$11,MATCH($A7,技术_资金展示结果!$A$2:$A$11,0)))</x:f>
        <x:v>15392.53</x:v>
      </x:c>
      <x:c r="E7" s="18" t="str">
        <x:f>IF(COUNTIF(技术_资金展示结果!$A$2:$A$11,$A7)=0,"",INDEX(技术_资金展示结果!$D$2:$D$11,MATCH($A7,技术_资金展示结果!$A$2:$A$11,0)))</x:f>
        <x:v>15759.87276468</x:v>
      </x:c>
      <x:c r="F7" s="18" t="str">
        <x:f>IF(COUNTIF(技术_资金展示结果!$A$2:$A$11,$A7)=0,"",INDEX(技术_资金展示结果!$E$2:$E$11,MATCH($A7,技术_资金展示结果!$A$2:$A$11,0)))</x:f>
        <x:v>0</x:v>
      </x:c>
      <x:c r="G7" s="18" t="str">
        <x:f>IF(COUNTIF(技术_资金展示结果!$A$2:$A$11,$A7)=0,"",INDEX(技术_资金展示结果!$F$2:$F$11,MATCH($A7,技术_资金展示结果!$A$2:$A$11,0)))</x:f>
        <x:v>0</x:v>
      </x:c>
      <x:c r="H7" s="18" t="str">
        <x:f>IF(COUNTIF(技术_资金展示结果!$A$2:$A$11,$A7)=0,"",INDEX(技术_资金展示结果!$H$2:$H$11,MATCH($A7,技术_资金展示结果!$A$2:$A$11,0)))</x:f>
        <x:v>529.6670629</x:v>
      </x:c>
      <x:c r="I7" s="18" t="str">
        <x:f>IF(COUNTIF(技术_资金展示结果!$A$2:$A$11,$A7)=0,"",INDEX(技术_资金展示结果!$I$2:$I$11,MATCH($A7,技术_资金展示结果!$A$2:$A$11,0)))</x:f>
        <x:v>0</x:v>
      </x:c>
      <x:c r="J7" s="18" t="str">
        <x:f>IF(COUNTIF(技术_资金展示结果!$A$2:$A$11,$A7)=0,"",INDEX(技术_资金展示结果!$J$2:$J$11,MATCH($A7,技术_资金展示结果!$A$2:$A$11,0)))</x:f>
        <x:v>0</x:v>
      </x:c>
      <x:c r="K7" s="18" t="str">
        <x:f>IF(COUNTIF(技术_资金展示结果!$A$2:$A$11,$A7)=0,"",INDEX(技术_资金展示结果!$K$2:$K$11,MATCH($A7,技术_资金展示结果!$A$2:$A$11,0)))</x:f>
        <x:v>2.96444</x:v>
      </x:c>
      <x:c r="L7" s="18" t="str">
        <x:f>IF(COUNTIF(技术_资金展示结果!$A$2:$A$11,$A7)=0,"",INDEX(技术_资金展示结果!$M$2:$M$11,MATCH($A7,技术_资金展示结果!$A$2:$A$11,0)))</x:f>
        <x:v>16292.50426758</x:v>
      </x:c>
      <x:c r="M7" s="18" t="str">
        <x:f>IF(COUNTIF(技术_资金展示结果!$A$2:$A$11,$A7)=0,"",INDEX(技术_资金展示结果!$O$2:$O$11,MATCH($A7,技术_资金展示结果!$A$2:$A$11,0)))</x:f>
        <x:v>3139.14</x:v>
      </x:c>
      <x:c r="N7" s="18" t="str">
        <x:f>IF(COUNTIF(技术_资金展示结果!$A$2:$A$11,$A7)=0,"",INDEX(技术_资金展示结果!$P$2:$P$11,MATCH($A7,技术_资金展示结果!$A$2:$A$11,0)))</x:f>
        <x:v>-14269.32939733</x:v>
      </x:c>
      <x:c r="O7" s="20" t="str">
        <x:f>IF(COUNTIF(技术_资金展示结果!$A$2:$A$11,$A7)=0,"",INDEX(技术_资金展示结果!$Q$2:$Q$11,MATCH($A7,技术_资金展示结果!$A$2:$A$11,0)))</x:f>
        <x:v>0.927029500499917817278900869447712624240459495612482158553532135392947098365246</x:v>
      </x:c>
      <x:c r="P7" s="14" t="str">
        <x:f>IF(COUNTIF(技术_资金展示结果!$A$2:$A$11,$A7)=0,"",INDEX(技术_资金展示结果!$R$2:$R$11,MATCH($A7,技术_资金展示结果!$A$2:$A$11,0)))</x:f>
        <x:v>B｜大部分闭环，剩余差额有明确类别但无法精确分配</x:v>
      </x:c>
      <x:c r="Q7" s="14" t="str">
        <x:f>IF($A7="T049","平仓后已确认资金事件滚动值为负，不能解释为真实账户总资产。实际快照与已确认事件之间仍存在43,918.85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USDT未分配差额，可能涉及不可得的未实现盈亏、快照口径或多资产估值，不归因于T049本身。",IF(COUNTIF(技术_资金展示结果!$A$2:$A$11,$A7)=0,"",INDEX(技术_资金展示结果!$AB$2:$AB$11,MATCH($A7,技术_资金展示结果!$A$2:$A$11,0))))</x:f>
        <x:v>已确认资金事件滚动值只累计现有证据能够确认的资金事件，不等于实时账户余额或实时总权益。未分配快照差额保留在账户层，不归因于当前交易。</x:v>
      </x:c>
    </x:row>
    <x:row r="8" ht="72" customHeight="1">
      <x:c r="A8" s="12" t="s">
        <x:v>69</x:v>
      </x:c>
      <x:c r="B8" s="12" t="str">
        <x:f>IF(COUNTIF(技术_主动交易用户汇总!$A$2:$A$11,$A8)=0,"",INDEX(技术_主动交易用户汇总!$E$2:$E$11,MATCH($A8,技术_主动交易用户汇总!$A$2:$A$11,0)))</x:f>
        <x:v>2026-06-02 00:26:32</x:v>
      </x:c>
      <x:c r="C8" s="12" t="str">
        <x:f>IF(COUNTIF(技术_主动交易用户汇总!$A$2:$A$11,$A8)=0,"",INDEX(技术_主动交易用户汇总!$F$2:$F$11,MATCH($A8,技术_主动交易用户汇总!$A$2:$A$11,0)))</x:f>
        <x:v>2026-06-02 02:26:09</x:v>
      </x:c>
      <x:c r="D8" s="17" t="str">
        <x:f>IF(COUNTIF(技术_资金展示结果!$A$2:$A$11,$A8)=0,"",INDEX(技术_资金展示结果!$C$2:$C$11,MATCH($A8,技术_资金展示结果!$A$2:$A$11,0)))</x:f>
        <x:v>16595.74</x:v>
      </x:c>
      <x:c r="E8" s="17" t="str">
        <x:f>IF(COUNTIF(技术_资金展示结果!$A$2:$A$11,$A8)=0,"",INDEX(技术_资金展示结果!$D$2:$D$11,MATCH($A8,技术_资金展示结果!$A$2:$A$11,0)))</x:f>
        <x:v>18312.88901795</x:v>
      </x:c>
      <x:c r="F8" s="17" t="str">
        <x:f>IF(COUNTIF(技术_资金展示结果!$A$2:$A$11,$A8)=0,"",INDEX(技术_资金展示结果!$E$2:$E$11,MATCH($A8,技术_资金展示结果!$A$2:$A$11,0)))</x:f>
        <x:v>0</x:v>
      </x:c>
      <x:c r="G8" s="17" t="str">
        <x:f>IF(COUNTIF(技术_资金展示结果!$A$2:$A$11,$A8)=0,"",INDEX(技术_资金展示结果!$F$2:$F$11,MATCH($A8,技术_资金展示结果!$A$2:$A$11,0)))</x:f>
        <x:v>0</x:v>
      </x:c>
      <x:c r="H8" s="17" t="str">
        <x:f>IF(COUNTIF(技术_资金展示结果!$A$2:$A$11,$A8)=0,"",INDEX(技术_资金展示结果!$H$2:$H$11,MATCH($A8,技术_资金展示结果!$A$2:$A$11,0)))</x:f>
        <x:v>-1592.50279997</x:v>
      </x:c>
      <x:c r="I8" s="17" t="str">
        <x:f>IF(COUNTIF(技术_资金展示结果!$A$2:$A$11,$A8)=0,"",INDEX(技术_资金展示结果!$I$2:$I$11,MATCH($A8,技术_资金展示结果!$A$2:$A$11,0)))</x:f>
        <x:v>-285.67239997</x:v>
      </x:c>
      <x:c r="J8" s="17" t="str">
        <x:f>IF(COUNTIF(技术_资金展示结果!$A$2:$A$11,$A8)=0,"",INDEX(技术_资金展示结果!$J$2:$J$11,MATCH($A8,技术_资金展示结果!$A$2:$A$11,0)))</x:f>
        <x:v>0</x:v>
      </x:c>
      <x:c r="K8" s="17" t="str">
        <x:f>IF(COUNTIF(技术_资金展示结果!$A$2:$A$11,$A8)=0,"",INDEX(技术_资金展示结果!$K$2:$K$11,MATCH($A8,技术_资金展示结果!$A$2:$A$11,0)))</x:f>
        <x:v>22.80608</x:v>
      </x:c>
      <x:c r="L8" s="17" t="str">
        <x:f>IF(COUNTIF(技术_资金展示结果!$A$2:$A$11,$A8)=0,"",INDEX(技术_资金展示结果!$M$2:$M$11,MATCH($A8,技术_资金展示结果!$A$2:$A$11,0)))</x:f>
        <x:v>16743.19229798</x:v>
      </x:c>
      <x:c r="M8" s="17" t="str">
        <x:f>IF(COUNTIF(技术_资金展示结果!$A$2:$A$11,$A8)=0,"",INDEX(技术_资金展示结果!$O$2:$O$11,MATCH($A8,技术_资金展示结果!$A$2:$A$11,0)))</x:f>
        <x:v>3139.14</x:v>
      </x:c>
      <x:c r="N8" s="17" t="str">
        <x:f>IF(COUNTIF(技术_资金展示结果!$A$2:$A$11,$A8)=0,"",INDEX(技术_资金展示结果!$P$2:$P$11,MATCH($A8,技术_资金展示结果!$A$2:$A$11,0)))</x:f>
        <x:v>-15117.05439265</x:v>
      </x:c>
      <x:c r="O8" s="19" t="str">
        <x:f>IF(COUNTIF(技术_资金展示结果!$A$2:$A$11,$A8)=0,"",INDEX(技术_资金展示结果!$Q$2:$Q$11,MATCH($A8,技术_资金展示结果!$A$2:$A$11,0)))</x:f>
        <x:v>0.91089968827241207683417551733155617043891986738765490421035759779316860832960748</x:v>
      </x:c>
      <x:c r="P8" s="12" t="str">
        <x:f>IF(COUNTIF(技术_资金展示结果!$A$2:$A$11,$A8)=0,"",INDEX(技术_资金展示结果!$R$2:$R$11,MATCH($A8,技术_资金展示结果!$A$2:$A$11,0)))</x:f>
        <x:v>B｜大部分闭环，剩余差额有明确类别但无法精确分配</x:v>
      </x:c>
      <x:c r="Q8" s="12" t="str">
        <x:f>IF($A8="T049","平仓后已确认资金事件滚动值为负，不能解释为真实账户总资产。实际快照与已确认事件之间仍存在43,918.85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USDT未分配差额，可能涉及不可得的未实现盈亏、快照口径或多资产估值，不归因于T049本身。",IF(COUNTIF(技术_资金展示结果!$A$2:$A$11,$A8)=0,"",INDEX(技术_资金展示结果!$AB$2:$AB$11,MATCH($A8,技术_资金展示结果!$A$2:$A$11,0))))</x:f>
        <x:v>已确认资金事件滚动值只累计现有证据能够确认的资金事件，不等于实时账户余额或实时总权益。未分配快照差额保留在账户层，不归因于当前交易。</x:v>
      </x:c>
    </x:row>
    <x:row r="9" ht="72" customHeight="1">
      <x:c r="A9" s="14" t="s">
        <x:v>70</x:v>
      </x:c>
      <x:c r="B9" s="14" t="str">
        <x:f>IF(COUNTIF(技术_主动交易用户汇总!$A$2:$A$11,$A9)=0,"",INDEX(技术_主动交易用户汇总!$E$2:$E$11,MATCH($A9,技术_主动交易用户汇总!$A$2:$A$11,0)))</x:f>
        <x:v>2026-06-02 02:26:09</x:v>
      </x:c>
      <x:c r="C9" s="14" t="str">
        <x:f>IF(COUNTIF(技术_主动交易用户汇总!$A$2:$A$11,$A9)=0,"",INDEX(技术_主动交易用户汇总!$F$2:$F$11,MATCH($A9,技术_主动交易用户汇总!$A$2:$A$11,0)))</x:f>
        <x:v>2026-06-02 02:26:17</x:v>
      </x:c>
      <x:c r="D9" s="18" t="str">
        <x:f>IF(COUNTIF(技术_资金展示结果!$A$2:$A$11,$A9)=0,"",INDEX(技术_资金展示结果!$C$2:$C$11,MATCH($A9,技术_资金展示结果!$A$2:$A$11,0)))</x:f>
        <x:v>16595.74</x:v>
      </x:c>
      <x:c r="E9" s="18" t="str">
        <x:f>IF(COUNTIF(技术_资金展示结果!$A$2:$A$11,$A9)=0,"",INDEX(技术_资金展示结果!$D$2:$D$11,MATCH($A9,技术_资金展示结果!$A$2:$A$11,0)))</x:f>
        <x:v>见T043反手三节点</x:v>
      </x:c>
      <x:c r="F9" s="18" t="str">
        <x:f>IF(COUNTIF(技术_资金展示结果!$A$2:$A$11,$A9)=0,"",INDEX(技术_资金展示结果!$E$2:$E$11,MATCH($A9,技术_资金展示结果!$A$2:$A$11,0)))</x:f>
        <x:v>0</x:v>
      </x:c>
      <x:c r="G9" s="18" t="str">
        <x:f>IF(COUNTIF(技术_资金展示结果!$A$2:$A$11,$A9)=0,"",INDEX(技术_资金展示结果!$F$2:$F$11,MATCH($A9,技术_资金展示结果!$A$2:$A$11,0)))</x:f>
        <x:v>0</x:v>
      </x:c>
      <x:c r="H9" s="18" t="str">
        <x:f>IF(COUNTIF(技术_资金展示结果!$A$2:$A$11,$A9)=0,"",INDEX(技术_资金展示结果!$H$2:$H$11,MATCH($A9,技术_资金展示结果!$A$2:$A$11,0)))</x:f>
        <x:v>-596.616657</x:v>
      </x:c>
      <x:c r="I9" s="18" t="str">
        <x:f>IF(COUNTIF(技术_资金展示结果!$A$2:$A$11,$A9)=0,"",INDEX(技术_资金展示结果!$I$2:$I$11,MATCH($A9,技术_资金展示结果!$A$2:$A$11,0)))</x:f>
        <x:v>-1478.47239997</x:v>
      </x:c>
      <x:c r="J9" s="18" t="str">
        <x:f>IF(COUNTIF(技术_资金展示结果!$A$2:$A$11,$A9)=0,"",INDEX(技术_资金展示结果!$J$2:$J$11,MATCH($A9,技术_资金展示结果!$A$2:$A$11,0)))</x:f>
        <x:v>0</x:v>
      </x:c>
      <x:c r="K9" s="18" t="str">
        <x:f>IF(COUNTIF(技术_资金展示结果!$A$2:$A$11,$A9)=0,"",INDEX(技术_资金展示结果!$K$2:$K$11,MATCH($A9,技术_资金展示结果!$A$2:$A$11,0)))</x:f>
        <x:v>0</x:v>
      </x:c>
      <x:c r="L9" s="18" t="str">
        <x:f>IF(COUNTIF(技术_资金展示结果!$A$2:$A$11,$A9)=0,"",INDEX(技术_资金展示结果!$M$2:$M$11,MATCH($A9,技术_资金展示结果!$A$2:$A$11,0)))</x:f>
        <x:v>16146.57564098</x:v>
      </x:c>
      <x:c r="M9" s="18" t="str">
        <x:f>IF(COUNTIF(技术_资金展示结果!$A$2:$A$11,$A9)=0,"",INDEX(技术_资金展示结果!$O$2:$O$11,MATCH($A9,技术_资金展示结果!$A$2:$A$11,0)))</x:f>
        <x:v>3139.14</x:v>
      </x:c>
      <x:c r="N9" s="18" t="str">
        <x:f>IF(COUNTIF(技术_资金展示结果!$A$2:$A$11,$A9)=0,"",INDEX(技术_资金展示结果!$P$2:$P$11,MATCH($A9,技术_资金展示结果!$A$2:$A$11,0)))</x:f>
        <x:v>-15117.05439265</x:v>
      </x:c>
      <x:c r="O9" s="20" t="str">
        <x:f>IF(COUNTIF(技术_资金展示结果!$A$2:$A$11,$A9)=0,"",INDEX(技术_资金展示结果!$Q$2:$Q$11,MATCH($A9,技术_资金展示结果!$A$2:$A$11,0)))</x:f>
        <x:v>0.91089968827241207683417551733155617043891986738765490421035759779316860832960748</x:v>
      </x:c>
      <x:c r="P9" s="14" t="str">
        <x:f>IF(COUNTIF(技术_资金展示结果!$A$2:$A$11,$A9)=0,"",INDEX(技术_资金展示结果!$R$2:$R$11,MATCH($A9,技术_资金展示结果!$A$2:$A$11,0)))</x:f>
        <x:v>B｜大部分闭环，剩余差额有明确类别但无法精确分配</x:v>
      </x:c>
      <x:c r="Q9" s="14" t="str">
        <x:f>IF($A9="T049","平仓后已确认资金事件滚动值为负，不能解释为真实账户总资产。实际快照与已确认事件之间仍存在43,918.85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USDT未分配差额，可能涉及不可得的未实现盈亏、快照口径或多资产估值，不归因于T049本身。",IF(COUNTIF(技术_资金展示结果!$A$2:$A$11,$A9)=0,"",INDEX(技术_资金展示结果!$AB$2:$AB$11,MATCH($A9,技术_资金展示结果!$A$2:$A$11,0))))</x:f>
        <x:v>已确认资金事件滚动值只累计现有证据能够确认的资金事件，不等于实时账户余额或实时总权益。未分配快照差额保留在账户层，不归因于当前交易。T042平仓和T043首仓同秒，仅展示可证实的三节点逻辑顺序，不伪造毫秒时间。</x:v>
      </x:c>
    </x:row>
    <x:row r="10" ht="72" customHeight="1">
      <x:c r="A10" s="12" t="s">
        <x:v>71</x:v>
      </x:c>
      <x:c r="B10" s="12" t="str">
        <x:f>IF(COUNTIF(技术_主动交易用户汇总!$A$2:$A$11,$A10)=0,"",INDEX(技术_主动交易用户汇总!$E$2:$E$11,MATCH($A10,技术_主动交易用户汇总!$A$2:$A$11,0)))</x:f>
        <x:v>2026-06-02 19:07:21</x:v>
      </x:c>
      <x:c r="C10" s="12" t="str">
        <x:f>IF(COUNTIF(技术_主动交易用户汇总!$A$2:$A$11,$A10)=0,"",INDEX(技术_主动交易用户汇总!$F$2:$F$11,MATCH($A10,技术_主动交易用户汇总!$A$2:$A$11,0)))</x:f>
        <x:v>2026-06-03 03:33:28</x:v>
      </x:c>
      <x:c r="D10" s="17" t="str">
        <x:f>IF(COUNTIF(技术_资金展示结果!$A$2:$A$11,$A10)=0,"",INDEX(技术_资金展示结果!$C$2:$C$11,MATCH($A10,技术_资金展示结果!$A$2:$A$11,0)))</x:f>
        <x:v>3139.14</x:v>
      </x:c>
      <x:c r="E10" s="17" t="str">
        <x:f>IF(COUNTIF(技术_资金展示结果!$A$2:$A$11,$A10)=0,"",INDEX(技术_资金展示结果!$D$2:$D$11,MATCH($A10,技术_资金展示结果!$A$2:$A$11,0)))</x:f>
        <x:v>3315.43985308</x:v>
      </x:c>
      <x:c r="F10" s="17" t="str">
        <x:f>IF(COUNTIF(技术_资金展示结果!$A$2:$A$11,$A10)=0,"",INDEX(技术_资金展示结果!$E$2:$E$11,MATCH($A10,技术_资金展示结果!$A$2:$A$11,0)))</x:f>
        <x:v>29000</x:v>
      </x:c>
      <x:c r="G10" s="17" t="str">
        <x:f>IF(COUNTIF(技术_资金展示结果!$A$2:$A$11,$A10)=0,"",INDEX(技术_资金展示结果!$F$2:$F$11,MATCH($A10,技术_资金展示结果!$A$2:$A$11,0)))</x:f>
        <x:v>0</x:v>
      </x:c>
      <x:c r="H10" s="17" t="str">
        <x:f>IF(COUNTIF(技术_资金展示结果!$A$2:$A$11,$A10)=0,"",INDEX(技术_资金展示结果!$H$2:$H$11,MATCH($A10,技术_资金展示结果!$A$2:$A$11,0)))</x:f>
        <x:v>-38141.92735122</x:v>
      </x:c>
      <x:c r="I10" s="17" t="str">
        <x:f>IF(COUNTIF(技术_资金展示结果!$A$2:$A$11,$A10)=0,"",INDEX(技术_资金展示结果!$I$2:$I$11,MATCH($A10,技术_资金展示结果!$A$2:$A$11,0)))</x:f>
        <x:v>0</x:v>
      </x:c>
      <x:c r="J10" s="17" t="str">
        <x:f>IF(COUNTIF(技术_资金展示结果!$A$2:$A$11,$A10)=0,"",INDEX(技术_资金展示结果!$J$2:$J$11,MATCH($A10,技术_资金展示结果!$A$2:$A$11,0)))</x:f>
        <x:v>0</x:v>
      </x:c>
      <x:c r="K10" s="17" t="str">
        <x:f>IF(COUNTIF(技术_资金展示结果!$A$2:$A$11,$A10)=0,"",INDEX(技术_资金展示结果!$K$2:$K$11,MATCH($A10,技术_资金展示结果!$A$2:$A$11,0)))</x:f>
        <x:v>97.26684288</x:v>
      </x:c>
      <x:c r="L10" s="17" t="str">
        <x:f>IF(COUNTIF(技术_资金展示结果!$A$2:$A$11,$A10)=0,"",INDEX(技术_资金展示结果!$M$2:$M$11,MATCH($A10,技术_资金展示结果!$A$2:$A$11,0)))</x:f>
        <x:v>-5729.22065526</x:v>
      </x:c>
      <x:c r="M10" s="17" t="str">
        <x:f>IF(COUNTIF(技术_资金展示结果!$A$2:$A$11,$A10)=0,"",INDEX(技术_资金展示结果!$O$2:$O$11,MATCH($A10,技术_资金展示结果!$A$2:$A$11,0)))</x:f>
        <x:v>33920.31</x:v>
      </x:c>
      <x:c r="N10" s="17" t="str">
        <x:f>IF(COUNTIF(技术_资金展示结果!$A$2:$A$11,$A10)=0,"",INDEX(技术_资金展示结果!$P$2:$P$11,MATCH($A10,技术_资金展示结果!$A$2:$A$11,0)))</x:f>
        <x:v>43918.85220162</x:v>
      </x:c>
      <x:c r="O10" s="19" t="str">
        <x:f>IF(COUNTIF(技术_资金展示结果!$A$2:$A$11,$A10)=0,"",INDEX(技术_资金展示结果!$Q$2:$Q$11,MATCH($A10,技术_资金展示结果!$A$2:$A$11,0)))</x:f>
        <x:v>13.990727460903304726772300693820600546646533764024541753473881381524876239989296</x:v>
      </x:c>
      <x:c r="P10" s="12" t="str">
        <x:f>IF(COUNTIF(技术_资金展示结果!$A$2:$A$11,$A10)=0,"",INDEX(技术_资金展示结果!$R$2:$R$11,MATCH($A10,技术_资金展示结果!$A$2:$A$11,0)))</x:f>
        <x:v>B｜大部分闭环，剩余差额有明确类别但无法精确分配</x:v>
      </x:c>
      <x:c r="Q10" s="12" t="str">
        <x:f>IF($A10="T049","平仓后已确认资金事件滚动值为负，不能解释为真实账户总资产。实际快照与已确认事件之间仍存在43,918.85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10)=0,"",INDEX(技术_资金展示结果!$AB$2:$AB$11,MATCH($A10,技术_资金展示结果!$A$2:$A$11,0))))</x:f>
        <x:v>平仓后已确认资金事件滚动值为负，不能解释为真实账户总资产。实际快照与已确认事件之间仍存在43,918.85 USDT未分配差额，可能涉及不可得的未实现盈亏、快照口径或多资产估值，不归因于T049本身。</x:v>
      </x:c>
    </x:row>
    <x:row r="11" ht="96" customHeight="1">
      <x:c r="A11" s="14" t="s">
        <x:v>72</x:v>
      </x:c>
      <x:c r="B11" s="14" t="str">
        <x:f>IF(COUNTIF(技术_主动交易用户汇总!$A$2:$A$11,$A11)=0,"",INDEX(技术_主动交易用户汇总!$E$2:$E$11,MATCH($A11,技术_主动交易用户汇总!$A$2:$A$11,0)))</x:f>
        <x:v>2026-06-04 03:07:24</x:v>
      </x:c>
      <x:c r="C11" s="14" t="str">
        <x:f>IF(COUNTIF(技术_主动交易用户汇总!$A$2:$A$11,$A11)=0,"",INDEX(技术_主动交易用户汇总!$F$2:$F$11,MATCH($A11,技术_主动交易用户汇总!$A$2:$A$11,0)))</x:f>
        <x:v>2026-06-04 06:00:03</x:v>
      </x:c>
      <x:c r="D11" s="18" t="str">
        <x:f>IF(COUNTIF(技术_资金展示结果!$A$2:$A$11,$A11)=0,"",INDEX(技术_资金展示结果!$C$2:$C$11,MATCH($A11,技术_资金展示结果!$A$2:$A$11,0)))</x:f>
        <x:v>33920.31</x:v>
      </x:c>
      <x:c r="E11" s="18" t="str">
        <x:f>IF(COUNTIF(技术_资金展示结果!$A$2:$A$11,$A11)=0,"",INDEX(技术_资金展示结果!$D$2:$D$11,MATCH($A11,技术_资金展示结果!$A$2:$A$11,0)))</x:f>
        <x:v>64188.96496741</x:v>
      </x:c>
      <x:c r="F11" s="18" t="str">
        <x:f>IF(COUNTIF(技术_资金展示结果!$A$2:$A$11,$A11)=0,"",INDEX(技术_资金展示结果!$E$2:$E$11,MATCH($A11,技术_资金展示结果!$A$2:$A$11,0)))</x:f>
        <x:v>0</x:v>
      </x:c>
      <x:c r="G11" s="18" t="str">
        <x:f>IF(COUNTIF(技术_资金展示结果!$A$2:$A$11,$A11)=0,"",INDEX(技术_资金展示结果!$F$2:$F$11,MATCH($A11,技术_资金展示结果!$A$2:$A$11,0)))</x:f>
        <x:v>0</x:v>
      </x:c>
      <x:c r="H11" s="18" t="str">
        <x:f>IF(COUNTIF(技术_资金展示结果!$A$2:$A$11,$A11)=0,"",INDEX(技术_资金展示结果!$H$2:$H$11,MATCH($A11,技术_资金展示结果!$A$2:$A$11,0)))</x:f>
        <x:v>1129.90438067</x:v>
      </x:c>
      <x:c r="I11" s="18" t="str">
        <x:f>IF(COUNTIF(技术_资金展示结果!$A$2:$A$11,$A11)=0,"",INDEX(技术_资金展示结果!$I$2:$I$11,MATCH($A11,技术_资金展示结果!$A$2:$A$11,0)))</x:f>
        <x:v>0</x:v>
      </x:c>
      <x:c r="J11" s="18" t="str">
        <x:f>IF(COUNTIF(技术_资金展示结果!$A$2:$A$11,$A11)=0,"",INDEX(技术_资金展示结果!$J$2:$J$11,MATCH($A11,技术_资金展示结果!$A$2:$A$11,0)))</x:f>
        <x:v>0</x:v>
      </x:c>
      <x:c r="K11" s="18" t="str">
        <x:f>IF(COUNTIF(技术_资金展示结果!$A$2:$A$11,$A11)=0,"",INDEX(技术_资金展示结果!$K$2:$K$11,MATCH($A11,技术_资金展示结果!$A$2:$A$11,0)))</x:f>
        <x:v>21.07868</x:v>
      </x:c>
      <x:c r="L11" s="18" t="str">
        <x:f>IF(COUNTIF(技术_资金展示结果!$A$2:$A$11,$A11)=0,"",INDEX(技术_资金展示结果!$M$2:$M$11,MATCH($A11,技术_资金展示结果!$A$2:$A$11,0)))</x:f>
        <x:v>65339.94802808</x:v>
      </x:c>
      <x:c r="M11" s="18" t="str">
        <x:f>IF(COUNTIF(技术_资金展示结果!$A$2:$A$11,$A11)=0,"",INDEX(技术_资金展示结果!$O$2:$O$11,MATCH($A11,技术_资金展示结果!$A$2:$A$11,0)))</x:f>
        <x:v>38327.89</x:v>
      </x:c>
      <x:c r="N11" s="18" t="str">
        <x:f>IF(COUNTIF(技术_资金展示结果!$A$2:$A$11,$A11)=0,"",INDEX(技术_资金展示结果!$P$2:$P$11,MATCH($A11,技术_资金展示结果!$A$2:$A$11,0)))</x:f>
        <x:v>-27061.57950525</x:v>
      </x:c>
      <x:c r="O11" s="20" t="str">
        <x:f>IF(COUNTIF(技术_资金展示结果!$A$2:$A$11,$A11)=0,"",INDEX(技术_资金展示结果!$Q$2:$Q$11,MATCH($A11,技术_资金展示结果!$A$2:$A$11,0)))</x:f>
        <x:v>0.79779870836233513196076333028796022206164979034684529710960778365527909385262104</x:v>
      </x:c>
      <x:c r="P11" s="14" t="str">
        <x:f>IF(COUNTIF(技术_资金展示结果!$A$2:$A$11,$A11)=0,"",INDEX(技术_资金展示结果!$R$2:$R$11,MATCH($A11,技术_资金展示结果!$A$2:$A$11,0)))</x:f>
        <x:v>B｜大部分闭环，剩余差额有明确类别但无法精确分配</x:v>
      </x:c>
      <x:c r="Q11" s="14" t="str">
        <x:f>IF($A11="T049","平仓后已确认资金事件滚动值为负，不能解释为真实账户总资产。实际快照与已确认事件之间仍存在43,918.85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11)=0,"",INDEX(技术_资金展示结果!$AB$2:$AB$11,MATCH($A11,技术_资金展示结果!$A$2:$A$11,0))))&amp;CHAR(10)&amp;"T069正式首仓前存在10笔已确认账户费用，共-21.43 USDT；该费用已进入开仓前资金事件滚动值，但不属于T069正式周期净结果。"</x:f>
        <x:v>已确认资金事件滚动值只累计现有证据能够确认的资金事件，不等于实时账户余额或实时总权益。未分配快照差额保留在账户层，不归因于当前交易。
T069正式首仓前存在10笔已确认账户费用，共-21.43 USDT；该费用已进入开仓前资金事件滚动值，但不属于T069正式周期净结果。</x:v>
      </x:c>
    </x:row>
    <x:row r="12" ht="72" customHeight="1">
      <x:c r="A12" s="12" t="s">
        <x:v>73</x:v>
      </x:c>
      <x:c r="B12" s="12" t="str">
        <x:f>IF(COUNTIF(技术_主动交易用户汇总!$A$2:$A$11,$A12)=0,"",INDEX(技术_主动交易用户汇总!$E$2:$E$11,MATCH($A12,技术_主动交易用户汇总!$A$2:$A$11,0)))</x:f>
        <x:v>2026-06-05 21:56:28</x:v>
      </x:c>
      <x:c r="C12" s="12" t="str">
        <x:f>IF(COUNTIF(技术_主动交易用户汇总!$A$2:$A$11,$A12)=0,"",INDEX(技术_主动交易用户汇总!$F$2:$F$11,MATCH($A12,技术_主动交易用户汇总!$A$2:$A$11,0)))</x:f>
        <x:v>2026-06-05 22:55:24</x:v>
      </x:c>
      <x:c r="D12" s="17" t="str">
        <x:f>IF(COUNTIF(技术_资金展示结果!$A$2:$A$11,$A12)=0,"",INDEX(技术_资金展示结果!$C$2:$C$11,MATCH($A12,技术_资金展示结果!$A$2:$A$11,0)))</x:f>
        <x:v>30062.76</x:v>
      </x:c>
      <x:c r="E12" s="17" t="str">
        <x:f>IF(COUNTIF(技术_资金展示结果!$A$2:$A$11,$A12)=0,"",INDEX(技术_资金展示结果!$D$2:$D$11,MATCH($A12,技术_资金展示结果!$A$2:$A$11,0)))</x:f>
        <x:v>30572.59864316</x:v>
      </x:c>
      <x:c r="F12" s="17" t="str">
        <x:f>IF(COUNTIF(技术_资金展示结果!$A$2:$A$11,$A12)=0,"",INDEX(技术_资金展示结果!$E$2:$E$11,MATCH($A12,技术_资金展示结果!$A$2:$A$11,0)))</x:f>
        <x:v>0</x:v>
      </x:c>
      <x:c r="G12" s="17" t="str">
        <x:f>IF(COUNTIF(技术_资金展示结果!$A$2:$A$11,$A12)=0,"",INDEX(技术_资金展示结果!$F$2:$F$11,MATCH($A12,技术_资金展示结果!$A$2:$A$11,0)))</x:f>
        <x:v>0</x:v>
      </x:c>
      <x:c r="H12" s="17" t="str">
        <x:f>IF(COUNTIF(技术_资金展示结果!$A$2:$A$11,$A12)=0,"",INDEX(技术_资金展示结果!$H$2:$H$11,MATCH($A12,技术_资金展示结果!$A$2:$A$11,0)))</x:f>
        <x:v>60.48563999</x:v>
      </x:c>
      <x:c r="I12" s="17" t="str">
        <x:f>IF(COUNTIF(技术_资金展示结果!$A$2:$A$11,$A12)=0,"",INDEX(技术_资金展示结果!$I$2:$I$11,MATCH($A12,技术_资金展示结果!$A$2:$A$11,0)))</x:f>
        <x:v>0</x:v>
      </x:c>
      <x:c r="J12" s="17" t="str">
        <x:f>IF(COUNTIF(技术_资金展示结果!$A$2:$A$11,$A12)=0,"",INDEX(技术_资金展示结果!$J$2:$J$11,MATCH($A12,技术_资金展示结果!$A$2:$A$11,0)))</x:f>
        <x:v>1.96782394</x:v>
      </x:c>
      <x:c r="K12" s="17" t="str">
        <x:f>IF(COUNTIF(技术_资金展示结果!$A$2:$A$11,$A12)=0,"",INDEX(技术_资金展示结果!$K$2:$K$11,MATCH($A12,技术_资金展示结果!$A$2:$A$11,0)))</x:f>
        <x:v>1.84762712</x:v>
      </x:c>
      <x:c r="L12" s="17" t="str">
        <x:f>IF(COUNTIF(技术_资金展示结果!$A$2:$A$11,$A12)=0,"",INDEX(技术_资金展示结果!$M$2:$M$11,MATCH($A12,技术_资金展示结果!$A$2:$A$11,0)))</x:f>
        <x:v>30636.89973421</x:v>
      </x:c>
      <x:c r="M12" s="17" t="str">
        <x:f>IF(COUNTIF(技术_资金展示结果!$A$2:$A$11,$A12)=0,"",INDEX(技术_资金展示结果!$O$2:$O$11,MATCH($A12,技术_资金展示结果!$A$2:$A$11,0)))</x:f>
        <x:v>30166.53</x:v>
      </x:c>
      <x:c r="N12" s="17" t="str">
        <x:f>IF(COUNTIF(技术_资金展示结果!$A$2:$A$11,$A12)=0,"",INDEX(技术_资金展示结果!$P$2:$P$11,MATCH($A12,技术_资金展示结果!$A$2:$A$11,0)))</x:f>
        <x:v>-632.53821768</x:v>
      </x:c>
      <x:c r="O12" s="19" t="str">
        <x:f>IF(COUNTIF(技术_资金展示结果!$A$2:$A$11,$A12)=0,"",INDEX(技术_资金展示结果!$Q$2:$Q$11,MATCH($A12,技术_资金展示结果!$A$2:$A$11,0)))</x:f>
        <x:v>0.02104059034100661416317064700646248049081321874638256766843762848121729342216084</x:v>
      </x:c>
      <x:c r="P12" s="12" t="str">
        <x:f>IF(COUNTIF(技术_资金展示结果!$A$2:$A$11,$A12)=0,"",INDEX(技术_资金展示结果!$R$2:$R$11,MATCH($A12,技术_资金展示结果!$A$2:$A$11,0)))</x:f>
        <x:v>B｜大部分闭环，剩余差额有明确类别但无法精确分配</x:v>
      </x:c>
      <x:c r="Q12" s="12" t="str">
        <x:f>IF($A12="T049","平仓后已确认资金事件滚动值为负，不能解释为真实账户总资产。实际快照与已确认事件之间仍存在43,918.85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12)=0,"",INDEX(技术_资金展示结果!$AB$2:$AB$11,MATCH($A12,技术_资金展示结果!$A$2:$A$11,0))))</x:f>
        <x:v>已确认资金事件滚动值只累计现有证据能够确认的资金事件，不等于实时账户余额或实时总权益。未分配快照差额保留在账户层，不归因于当前交易。</x:v>
      </x:c>
    </x:row>
    <x:row r="13" ht="72" customHeight="1">
      <x:c r="A13" s="14" t="s">
        <x:v>74</x:v>
      </x:c>
      <x:c r="B13" s="14" t="str">
        <x:f>IF(COUNTIF(技术_主动交易用户汇总!$A$2:$A$11,$A13)=0,"",INDEX(技术_主动交易用户汇总!$E$2:$E$11,MATCH($A13,技术_主动交易用户汇总!$A$2:$A$11,0)))</x:f>
        <x:v>2026-06-17 21:37:46</x:v>
      </x:c>
      <x:c r="C13" s="14" t="str">
        <x:f>IF(COUNTIF(技术_主动交易用户汇总!$A$2:$A$11,$A13)=0,"",INDEX(技术_主动交易用户汇总!$F$2:$F$11,MATCH($A13,技术_主动交易用户汇总!$A$2:$A$11,0)))</x:f>
        <x:v>2026-06-18 02:00:24</x:v>
      </x:c>
      <x:c r="D13" s="18" t="str">
        <x:f>IF(COUNTIF(技术_资金展示结果!$A$2:$A$11,$A13)=0,"",INDEX(技术_资金展示结果!$C$2:$C$11,MATCH($A13,技术_资金展示结果!$A$2:$A$11,0)))</x:f>
        <x:v>46073.12</x:v>
      </x:c>
      <x:c r="E13" s="18" t="str">
        <x:f>IF(COUNTIF(技术_资金展示结果!$A$2:$A$11,$A13)=0,"",INDEX(技术_资金展示结果!$D$2:$D$11,MATCH($A13,技术_资金展示结果!$A$2:$A$11,0)))</x:f>
        <x:v>42729.67235219</x:v>
      </x:c>
      <x:c r="F13" s="18" t="str">
        <x:f>IF(COUNTIF(技术_资金展示结果!$A$2:$A$11,$A13)=0,"",INDEX(技术_资金展示结果!$E$2:$E$11,MATCH($A13,技术_资金展示结果!$A$2:$A$11,0)))</x:f>
        <x:v>0</x:v>
      </x:c>
      <x:c r="G13" s="18" t="str">
        <x:f>IF(COUNTIF(技术_资金展示结果!$A$2:$A$11,$A13)=0,"",INDEX(技术_资金展示结果!$F$2:$F$11,MATCH($A13,技术_资金展示结果!$A$2:$A$11,0)))</x:f>
        <x:v>0</x:v>
      </x:c>
      <x:c r="H13" s="18" t="str">
        <x:f>IF(COUNTIF(技术_资金展示结果!$A$2:$A$11,$A13)=0,"",INDEX(技术_资金展示结果!$H$2:$H$11,MATCH($A13,技术_资金展示结果!$A$2:$A$11,0)))</x:f>
        <x:v>-579.81045542</x:v>
      </x:c>
      <x:c r="I13" s="18" t="str">
        <x:f>IF(COUNTIF(技术_资金展示结果!$A$2:$A$11,$A13)=0,"",INDEX(技术_资金展示结果!$I$2:$I$11,MATCH($A13,技术_资金展示结果!$A$2:$A$11,0)))</x:f>
        <x:v>0</x:v>
      </x:c>
      <x:c r="J13" s="18" t="str">
        <x:f>IF(COUNTIF(技术_资金展示结果!$A$2:$A$11,$A13)=0,"",INDEX(技术_资金展示结果!$J$2:$J$11,MATCH($A13,技术_资金展示结果!$A$2:$A$11,0)))</x:f>
        <x:v>0</x:v>
      </x:c>
      <x:c r="K13" s="18" t="str">
        <x:f>IF(COUNTIF(技术_资金展示结果!$A$2:$A$11,$A13)=0,"",INDEX(技术_资金展示结果!$K$2:$K$11,MATCH($A13,技术_资金展示结果!$A$2:$A$11,0)))</x:f>
        <x:v>26.24327448</x:v>
      </x:c>
      <x:c r="L13" s="18" t="str">
        <x:f>IF(COUNTIF(技术_资金展示结果!$A$2:$A$11,$A13)=0,"",INDEX(技术_资金展示结果!$M$2:$M$11,MATCH($A13,技术_资金展示结果!$A$2:$A$11,0)))</x:f>
        <x:v>42176.10517125</x:v>
      </x:c>
      <x:c r="M13" s="18" t="str">
        <x:f>IF(COUNTIF(技术_资金展示结果!$A$2:$A$11,$A13)=0,"",INDEX(技术_资金展示结果!$O$2:$O$11,MATCH($A13,技术_资金展示结果!$A$2:$A$11,0)))</x:f>
        <x:v>25258.33</x:v>
      </x:c>
      <x:c r="N13" s="18" t="str">
        <x:f>IF(COUNTIF(技术_资金展示结果!$A$2:$A$11,$A13)=0,"",INDEX(技术_资金展示结果!$P$2:$P$11,MATCH($A13,技术_资金展示结果!$A$2:$A$11,0)))</x:f>
        <x:v>-17816.44088891</x:v>
      </x:c>
      <x:c r="O13" s="20" t="str">
        <x:f>IF(COUNTIF(技术_资金展示结果!$A$2:$A$11,$A13)=0,"",INDEX(技术_资金展示结果!$Q$2:$Q$11,MATCH($A13,技术_资金展示结果!$A$2:$A$11,0)))</x:f>
        <x:v>0.38669924869229607198296967950075879384769253742746312817538729740898814753591682</x:v>
      </x:c>
      <x:c r="P13" s="14" t="str">
        <x:f>IF(COUNTIF(技术_资金展示结果!$A$2:$A$11,$A13)=0,"",INDEX(技术_资金展示结果!$R$2:$R$11,MATCH($A13,技术_资金展示结果!$A$2:$A$11,0)))</x:f>
        <x:v>B｜大部分闭环，剩余差额有明确类别但无法精确分配</x:v>
      </x:c>
      <x:c r="Q13" s="14" t="str">
        <x:f>IF($A13="T049","平仓后已确认资金事件滚动值为负，不能解释为真实账户总资产。实际快照与已确认事件之间仍存在43,918.85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13)=0,"",INDEX(技术_资金展示结果!$AB$2:$AB$11,MATCH($A13,技术_资金展示结果!$A$2:$A$11,0))))</x:f>
        <x:v>已确认资金事件滚动值只累计现有证据能够确认的资金事件，不等于实时账户余额或实时总权益。未分配快照差额保留在账户层，不归因于当前交易。</x:v>
      </x:c>
    </x:row>
    <x:row r="14" ht="72" customHeight="1">
      <x:c r="A14" s="12" t="s">
        <x:v>75</x:v>
      </x:c>
      <x:c r="B14" s="12" t="str">
        <x:f>IF(COUNTIF(技术_主动交易用户汇总!$A$2:$A$11,$A14)=0,"",INDEX(技术_主动交易用户汇总!$E$2:$E$11,MATCH($A14,技术_主动交易用户汇总!$A$2:$A$11,0)))</x:f>
        <x:v>2026-06-18 21:38:59</x:v>
      </x:c>
      <x:c r="C14" s="12" t="str">
        <x:f>IF(COUNTIF(技术_主动交易用户汇总!$A$2:$A$11,$A14)=0,"",INDEX(技术_主动交易用户汇总!$F$2:$F$11,MATCH($A14,技术_主动交易用户汇总!$A$2:$A$11,0)))</x:f>
        <x:v>2026-06-19 02:13:06</x:v>
      </x:c>
      <x:c r="D14" s="17" t="str">
        <x:f>IF(COUNTIF(技术_资金展示结果!$A$2:$A$11,$A14)=0,"",INDEX(技术_资金展示结果!$C$2:$C$11,MATCH($A14,技术_资金展示结果!$A$2:$A$11,0)))</x:f>
        <x:v>25258.33</x:v>
      </x:c>
      <x:c r="E14" s="17" t="str">
        <x:f>IF(COUNTIF(技术_资金展示结果!$A$2:$A$11,$A14)=0,"",INDEX(技术_资金展示结果!$D$2:$D$11,MATCH($A14,技术_资金展示结果!$A$2:$A$11,0)))</x:f>
        <x:v>25262.72207512</x:v>
      </x:c>
      <x:c r="F14" s="17" t="str">
        <x:f>IF(COUNTIF(技术_资金展示结果!$A$2:$A$11,$A14)=0,"",INDEX(技术_资金展示结果!$E$2:$E$11,MATCH($A14,技术_资金展示结果!$A$2:$A$11,0)))</x:f>
        <x:v>0</x:v>
      </x:c>
      <x:c r="G14" s="17" t="str">
        <x:f>IF(COUNTIF(技术_资金展示结果!$A$2:$A$11,$A14)=0,"",INDEX(技术_资金展示结果!$F$2:$F$11,MATCH($A14,技术_资金展示结果!$A$2:$A$11,0)))</x:f>
        <x:v>0</x:v>
      </x:c>
      <x:c r="H14" s="17" t="str">
        <x:f>IF(COUNTIF(技术_资金展示结果!$A$2:$A$11,$A14)=0,"",INDEX(技术_资金展示结果!$H$2:$H$11,MATCH($A14,技术_资金展示结果!$A$2:$A$11,0)))</x:f>
        <x:v>-22216.22618112</x:v>
      </x:c>
      <x:c r="I14" s="17" t="str">
        <x:f>IF(COUNTIF(技术_资金展示结果!$A$2:$A$11,$A14)=0,"",INDEX(技术_资金展示结果!$I$2:$I$11,MATCH($A14,技术_资金展示结果!$A$2:$A$11,0)))</x:f>
        <x:v>3240.0121824</x:v>
      </x:c>
      <x:c r="J14" s="17" t="str">
        <x:f>IF(COUNTIF(技术_资金展示结果!$A$2:$A$11,$A14)=0,"",INDEX(技术_资金展示结果!$J$2:$J$11,MATCH($A14,技术_资金展示结果!$A$2:$A$11,0)))</x:f>
        <x:v>-0.03132295</x:v>
      </x:c>
      <x:c r="K14" s="17" t="str">
        <x:f>IF(COUNTIF(技术_资金展示结果!$A$2:$A$11,$A14)=0,"",INDEX(技术_资金展示结果!$K$2:$K$11,MATCH($A14,技术_资金展示结果!$A$2:$A$11,0)))</x:f>
        <x:v>9.16352811</x:v>
      </x:c>
      <x:c r="L14" s="17" t="str">
        <x:f>IF(COUNTIF(技术_资金展示结果!$A$2:$A$11,$A14)=0,"",INDEX(技术_资金展示结果!$M$2:$M$11,MATCH($A14,技术_资金展示结果!$A$2:$A$11,0)))</x:f>
        <x:v>6295.64028156</x:v>
      </x:c>
      <x:c r="M14" s="17" t="str">
        <x:f>IF(COUNTIF(技术_资金展示结果!$A$2:$A$11,$A14)=0,"",INDEX(技术_资金展示结果!$O$2:$O$11,MATCH($A14,技术_资金展示结果!$A$2:$A$11,0)))</x:f>
        <x:v>13440.01</x:v>
      </x:c>
      <x:c r="N14" s="17" t="str">
        <x:f>IF(COUNTIF(技术_资金展示结果!$A$2:$A$11,$A14)=0,"",INDEX(技术_资金展示结果!$P$2:$P$11,MATCH($A14,技术_资金展示结果!$A$2:$A$11,0)))</x:f>
        <x:v>7202.99147572</x:v>
      </x:c>
      <x:c r="O14" s="19" t="str">
        <x:f>IF(COUNTIF(技术_资金展示结果!$A$2:$A$11,$A14)=0,"",INDEX(技术_资金展示结果!$Q$2:$Q$11,MATCH($A14,技术_资金展示结果!$A$2:$A$11,0)))</x:f>
        <x:v>0.28517291031196440936514805214754894721860075468172282173841263456451792339398527</x:v>
      </x:c>
      <x:c r="P14" s="12" t="str">
        <x:f>IF(COUNTIF(技术_资金展示结果!$A$2:$A$11,$A14)=0,"",INDEX(技术_资金展示结果!$R$2:$R$11,MATCH($A14,技术_资金展示结果!$A$2:$A$11,0)))</x:f>
        <x:v>B｜大部分闭环，剩余差额有明确类别但无法精确分配</x:v>
      </x:c>
      <x:c r="Q14" s="12" t="str">
        <x:f>IF($A14="T049","平仓后已确认资金事件滚动值为负，不能解释为真实账户总资产。实际快照与已确认事件之间仍存在43,918.85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14)=0,"",INDEX(技术_资金展示结果!$AB$2:$AB$11,MATCH($A14,技术_资金展示结果!$A$2:$A$11,0))))</x:f>
        <x:v>已确认资金事件滚动值只累计现有证据能够确认的资金事件，不等于实时账户余额或实时总权益。未分配快照差额保留在账户层，不归因于当前交易。</x:v>
      </x:c>
    </x:row>
    <x:row r="15" ht="72" customHeight="1">
      <x:c r="A15" s="14" t="s">
        <x:v>76</x:v>
      </x:c>
      <x:c r="B15" s="14" t="str">
        <x:f>IF(COUNTIF(技术_主动交易用户汇总!$A$2:$A$11,$A15)=0,"",INDEX(技术_主动交易用户汇总!$E$2:$E$11,MATCH($A15,技术_主动交易用户汇总!$A$2:$A$11,0)))</x:f>
        <x:v>2026-06-19 20:28:02</x:v>
      </x:c>
      <x:c r="C15" s="14" t="str">
        <x:f>IF(COUNTIF(技术_主动交易用户汇总!$A$2:$A$11,$A15)=0,"",INDEX(技术_主动交易用户汇总!$F$2:$F$11,MATCH($A15,技术_主动交易用户汇总!$A$2:$A$11,0)))</x:f>
        <x:v>2026-06-21 06:30:32</x:v>
      </x:c>
      <x:c r="D15" s="18" t="str">
        <x:f>IF(COUNTIF(技术_资金展示结果!$A$2:$A$11,$A15)=0,"",INDEX(技术_资金展示结果!$C$2:$C$11,MATCH($A15,技术_资金展示结果!$A$2:$A$11,0)))</x:f>
        <x:v>13440.01</x:v>
      </x:c>
      <x:c r="E15" s="18" t="str">
        <x:f>IF(COUNTIF(技术_资金展示结果!$A$2:$A$11,$A15)=0,"",INDEX(技术_资金展示结果!$D$2:$D$11,MATCH($A15,技术_资金展示结果!$A$2:$A$11,0)))</x:f>
        <x:v>13741.67101695</x:v>
      </x:c>
      <x:c r="F15" s="18" t="str">
        <x:f>IF(COUNTIF(技术_资金展示结果!$A$2:$A$11,$A15)=0,"",INDEX(技术_资金展示结果!$E$2:$E$11,MATCH($A15,技术_资金展示结果!$A$2:$A$11,0)))</x:f>
        <x:v>0</x:v>
      </x:c>
      <x:c r="G15" s="18" t="str">
        <x:f>IF(COUNTIF(技术_资金展示结果!$A$2:$A$11,$A15)=0,"",INDEX(技术_资金展示结果!$F$2:$F$11,MATCH($A15,技术_资金展示结果!$A$2:$A$11,0)))</x:f>
        <x:v>0</x:v>
      </x:c>
      <x:c r="H15" s="18" t="str">
        <x:f>IF(COUNTIF(技术_资金展示结果!$A$2:$A$11,$A15)=0,"",INDEX(技术_资金展示结果!$H$2:$H$11,MATCH($A15,技术_资金展示结果!$A$2:$A$11,0)))</x:f>
        <x:v>-21839.09171882</x:v>
      </x:c>
      <x:c r="I15" s="18" t="str">
        <x:f>IF(COUNTIF(技术_资金展示结果!$A$2:$A$11,$A15)=0,"",INDEX(技术_资金展示结果!$I$2:$I$11,MATCH($A15,技术_资金展示结果!$A$2:$A$11,0)))</x:f>
        <x:v>0</x:v>
      </x:c>
      <x:c r="J15" s="18" t="str">
        <x:f>IF(COUNTIF(技术_资金展示结果!$A$2:$A$11,$A15)=0,"",INDEX(技术_资金展示结果!$J$2:$J$11,MATCH($A15,技术_资金展示结果!$A$2:$A$11,0)))</x:f>
        <x:v>-7.1649103</x:v>
      </x:c>
      <x:c r="K15" s="18" t="str">
        <x:f>IF(COUNTIF(技术_资金展示结果!$A$2:$A$11,$A15)=0,"",INDEX(技术_资金展示结果!$K$2:$K$11,MATCH($A15,技术_资金展示结果!$A$2:$A$11,0)))</x:f>
        <x:v>56.75668206</x:v>
      </x:c>
      <x:c r="L15" s="18" t="str">
        <x:f>IF(COUNTIF(技术_资金展示结果!$A$2:$A$11,$A15)=0,"",INDEX(技术_资金展示结果!$M$2:$M$11,MATCH($A15,技术_资金展示结果!$A$2:$A$11,0)))</x:f>
        <x:v>-8047.82893011</x:v>
      </x:c>
      <x:c r="M15" s="18" t="str">
        <x:f>IF(COUNTIF(技术_资金展示结果!$A$2:$A$11,$A15)=0,"",INDEX(技术_资金展示结果!$O$2:$O$11,MATCH($A15,技术_资金展示结果!$A$2:$A$11,0)))</x:f>
        <x:v>6362.6</x:v>
      </x:c>
      <x:c r="N15" s="18" t="str">
        <x:f>IF(COUNTIF(技术_资金展示结果!$A$2:$A$11,$A15)=0,"",INDEX(技术_资金展示结果!$P$2:$P$11,MATCH($A15,技术_资金展示结果!$A$2:$A$11,0)))</x:f>
        <x:v>14353.1490911</x:v>
      </x:c>
      <x:c r="O15" s="20" t="str">
        <x:f>IF(COUNTIF(技术_资金展示结果!$A$2:$A$11,$A15)=0,"",INDEX(技术_资金展示结果!$Q$2:$Q$11,MATCH($A15,技术_资金展示结果!$A$2:$A$11,0)))</x:f>
        <x:v>1.0679418461072573606716066431498190849560379791384083791604321722974908500812127</x:v>
      </x:c>
      <x:c r="P15" s="14" t="str">
        <x:f>IF(COUNTIF(技术_资金展示结果!$A$2:$A$11,$A15)=0,"",INDEX(技术_资金展示结果!$R$2:$R$11,MATCH($A15,技术_资金展示结果!$A$2:$A$11,0)))</x:f>
        <x:v>B｜大部分闭环，剩余差额有明确类别但无法精确分配</x:v>
      </x:c>
      <x:c r="Q15" s="14" t="str">
        <x:f>IF($A15="T049","平仓后已确认资金事件滚动值为负，不能解释为真实账户总资产。实际快照与已确认事件之间仍存在43,918.85 USDT未分配差额，可能涉及不可得的未实现盈亏、快照口径或多资产估值，不归因于T049本身。",IF(COUNTIF(技术_资金展示结果!$A$2:$A$11,$A15)=0,"",INDEX(技术_资金展示结果!$AB$2:$AB$11,MATCH($A15,技术_资金展示结果!$A$2:$A$11,0))))</x:f>
        <x:v>已确认资金事件滚动值只累计现有证据能够确认的资金事件，不等于实时账户余额或实时总权益。未分配快照差额保留在账户层，不归因于当前交易。按已确认资金事件计算的滚动结果为负，不能解释为真实账户总资产。</x:v>
      </x:c>
    </x:row>
  </x:sheetData>
  <x:mergeCells>
    <x:mergeCell ref="A1:Q1"/>
    <x:mergeCell ref="A2:B2"/>
    <x:mergeCell ref="C2:D2"/>
    <x:mergeCell ref="E2:F2"/>
    <x:mergeCell ref="G2:H2"/>
    <x:mergeCell ref="I2:J2"/>
    <x:mergeCell ref="K2:L2"/>
    <x:mergeCell ref="M2:Q2"/>
    <x:mergeCell ref="A3:Q3"/>
  </x:mergeCell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s>
  <x:pageMargins left="0.7" right="0.7" top="0.75" bottom="0.75" header="0.3" footer="0.3"/>
  <x:tableParts count="1">
    <x:tablePart xmlns:r="http://schemas.openxmlformats.org/officeDocument/2006/relationships" r:id="Rda366d14e28a4acd"/>
  </x:tableParts>
</x:worksheet>
</file>

<file path=xl/worksheets/sheet6.xml><?xml version="1.0" encoding="utf-8"?>
<x:worksheet xmlns:x="http://schemas.openxmlformats.org/spreadsheetml/2006/main">
  <x:sheetViews>
    <x:sheetView showGridLines="0" workbookViewId="0"/>
  </x:sheetViews>
  <x:sheetFormatPr defaultColWidth="9" defaultRowHeight="16.799999237060547"/>
  <x:cols>
    <x:col min="1" max="1" width="11" customWidth="1"/>
    <x:col min="2" max="22" width="18" customWidth="1"/>
    <x:col min="23" max="23" width="45" customWidth="1"/>
    <x:col min="24" max="26" width="12" customWidth="1"/>
    <x:col min="27" max="27" width="10" customWidth="1"/>
  </x:cols>
  <x:sheetData>
    <x:row r="1" ht="28" customHeight="1">
      <x:c r="A1" s="5" t="s">
        <x:v>706</x:v>
      </x:c>
      <x:c r="B1" s="5" t="s">
        <x:v>706</x:v>
      </x:c>
      <x:c r="C1" s="5" t="s">
        <x:v>706</x:v>
      </x:c>
      <x:c r="D1" s="5" t="s">
        <x:v>706</x:v>
      </x:c>
      <x:c r="E1" s="5" t="s">
        <x:v>706</x:v>
      </x:c>
      <x:c r="F1" s="5" t="s">
        <x:v>706</x:v>
      </x:c>
      <x:c r="G1" s="5" t="s">
        <x:v>706</x:v>
      </x:c>
      <x:c r="H1" s="5" t="s">
        <x:v>706</x:v>
      </x:c>
      <x:c r="I1" s="5" t="s">
        <x:v>706</x:v>
      </x:c>
      <x:c r="J1" s="5" t="s">
        <x:v>706</x:v>
      </x:c>
      <x:c r="K1" s="5" t="s">
        <x:v>706</x:v>
      </x:c>
      <x:c r="L1" s="5" t="s">
        <x:v>706</x:v>
      </x:c>
      <x:c r="M1" s="5" t="s">
        <x:v>706</x:v>
      </x:c>
      <x:c r="N1" s="5" t="s">
        <x:v>706</x:v>
      </x:c>
      <x:c r="O1" s="5" t="s">
        <x:v>706</x:v>
      </x:c>
      <x:c r="P1" s="5" t="s">
        <x:v>706</x:v>
      </x:c>
      <x:c r="Q1" s="5" t="s">
        <x:v>706</x:v>
      </x:c>
      <x:c r="R1" s="5" t="s">
        <x:v>706</x:v>
      </x:c>
      <x:c r="S1" s="5" t="s">
        <x:v>706</x:v>
      </x:c>
      <x:c r="T1" s="5" t="s">
        <x:v>706</x:v>
      </x:c>
      <x:c r="U1" s="5" t="s">
        <x:v>706</x:v>
      </x:c>
      <x:c r="V1" s="5" t="s">
        <x:v>706</x:v>
      </x:c>
      <x:c r="W1" s="5" t="s">
        <x:v>706</x:v>
      </x:c>
      <x:c r="X1" s="5" t="s">
        <x:v>706</x:v>
      </x:c>
      <x:c r="Y1" s="5" t="s">
        <x:v>706</x:v>
      </x:c>
      <x:c r="Z1" s="5" t="s">
        <x:v>706</x:v>
      </x:c>
      <x:c r="AA1" s="5" t="s">
        <x:v>706</x:v>
      </x:c>
    </x:row>
    <x:row r="2" ht="24" customHeight="1">
      <x:c r="A2" s="6" t="str">
        <x:f>HYPERLINK("#'账户与交易总览'!A1","总览")</x:f>
        <x:v>总览</x:v>
      </x:c>
      <x:c r="B2" s="6"/>
      <x:c r="C2" s="6"/>
      <x:c r="D2" s="6"/>
      <x:c r="E2" s="6" t="str">
        <x:f>HYPERLINK("#'逐笔人工复盘总表'!A1","逐笔总表")</x:f>
        <x:v>逐笔总表</x:v>
      </x:c>
      <x:c r="F2" s="6"/>
      <x:c r="G2" s="6"/>
      <x:c r="H2" s="6"/>
      <x:c r="I2" s="6" t="str">
        <x:f>HYPERLINK("#'单笔交易复盘卡'!A1","单笔卡")</x:f>
        <x:v>单笔卡</x:v>
      </x:c>
      <x:c r="J2" s="6"/>
      <x:c r="K2" s="6"/>
      <x:c r="L2" s="6"/>
      <x:c r="M2" s="6" t="str">
        <x:f>HYPERLINK("#'完整操作过程'!A1","完整过程")</x:f>
        <x:v>完整过程</x:v>
      </x:c>
      <x:c r="N2" s="6"/>
      <x:c r="O2" s="6"/>
      <x:c r="P2" s="6"/>
      <x:c r="Q2" s="6" t="str">
        <x:f>HYPERLINK("#'账户资金轨迹'!A1","资金轨迹")</x:f>
        <x:v>资金轨迹</x:v>
      </x:c>
      <x:c r="R2" s="6"/>
      <x:c r="S2" s="6"/>
      <x:c r="T2" s="6"/>
      <x:c r="U2" s="6" t="str">
        <x:f>HYPERLINK("#'人工复盘完成清单'!A1","人工填写")</x:f>
        <x:v>人工填写</x:v>
      </x:c>
      <x:c r="V2" s="6"/>
      <x:c r="W2" s="6"/>
      <x:c r="X2" s="6"/>
      <x:c r="Y2" s="6" t="str">
        <x:f>HYPERLINK("#'字段与口径说明'!A1","字段口径")</x:f>
        <x:v>字段口径</x:v>
      </x:c>
      <x:c r="Z2" s="6"/>
      <x:c r="AA2" s="6"/>
    </x:row>
    <x:row r="3" ht="34" customHeight="1">
      <x:c r="A3" s="7" t="s">
        <x:v>707</x:v>
      </x:c>
      <x:c r="B3" s="7" t="s">
        <x:v>707</x:v>
      </x:c>
      <x:c r="C3" s="7" t="s">
        <x:v>707</x:v>
      </x:c>
      <x:c r="D3" s="7" t="s">
        <x:v>707</x:v>
      </x:c>
      <x:c r="E3" s="7" t="s">
        <x:v>707</x:v>
      </x:c>
      <x:c r="F3" s="7" t="s">
        <x:v>707</x:v>
      </x:c>
      <x:c r="G3" s="7" t="s">
        <x:v>707</x:v>
      </x:c>
      <x:c r="H3" s="7" t="s">
        <x:v>707</x:v>
      </x:c>
      <x:c r="I3" s="7" t="s">
        <x:v>707</x:v>
      </x:c>
      <x:c r="J3" s="7" t="s">
        <x:v>707</x:v>
      </x:c>
      <x:c r="K3" s="7" t="s">
        <x:v>707</x:v>
      </x:c>
      <x:c r="L3" s="7" t="s">
        <x:v>707</x:v>
      </x:c>
      <x:c r="M3" s="7" t="s">
        <x:v>707</x:v>
      </x:c>
      <x:c r="N3" s="7" t="s">
        <x:v>707</x:v>
      </x:c>
      <x:c r="O3" s="7" t="s">
        <x:v>707</x:v>
      </x:c>
      <x:c r="P3" s="7" t="s">
        <x:v>707</x:v>
      </x:c>
      <x:c r="Q3" s="7" t="s">
        <x:v>707</x:v>
      </x:c>
      <x:c r="R3" s="7" t="s">
        <x:v>707</x:v>
      </x:c>
      <x:c r="S3" s="7" t="s">
        <x:v>707</x:v>
      </x:c>
      <x:c r="T3" s="7" t="s">
        <x:v>707</x:v>
      </x:c>
      <x:c r="U3" s="7" t="s">
        <x:v>707</x:v>
      </x:c>
      <x:c r="V3" s="7" t="s">
        <x:v>707</x:v>
      </x:c>
      <x:c r="W3" s="7" t="s">
        <x:v>707</x:v>
      </x:c>
      <x:c r="X3" s="7" t="s">
        <x:v>707</x:v>
      </x:c>
      <x:c r="Y3" s="7" t="s">
        <x:v>707</x:v>
      </x:c>
      <x:c r="Z3" s="7" t="s">
        <x:v>707</x:v>
      </x:c>
      <x:c r="AA3" s="7" t="s">
        <x:v>707</x:v>
      </x:c>
    </x:row>
    <x:row r="5" ht="42" customHeight="1">
      <x:c r="A5" s="11" t="s">
        <x:v>23</x:v>
      </x:c>
      <x:c r="B5" s="11" t="s">
        <x:v>62</x:v>
      </x:c>
      <x:c r="C5" s="11" t="s">
        <x:v>708</x:v>
      </x:c>
      <x:c r="D5" s="11" t="s">
        <x:v>709</x:v>
      </x:c>
      <x:c r="E5" s="11" t="s">
        <x:v>710</x:v>
      </x:c>
      <x:c r="F5" s="11" t="s">
        <x:v>711</x:v>
      </x:c>
      <x:c r="G5" s="11" t="s">
        <x:v>712</x:v>
      </x:c>
      <x:c r="H5" s="11" t="s">
        <x:v>63</x:v>
      </x:c>
      <x:c r="I5" s="11" t="s">
        <x:v>138</x:v>
      </x:c>
      <x:c r="J5" s="11" t="s">
        <x:v>139</x:v>
      </x:c>
      <x:c r="K5" s="11" t="s">
        <x:v>140</x:v>
      </x:c>
      <x:c r="L5" s="11" t="s">
        <x:v>64</x:v>
      </x:c>
      <x:c r="M5" s="11" t="s">
        <x:v>713</x:v>
      </x:c>
      <x:c r="N5" s="11" t="s">
        <x:v>714</x:v>
      </x:c>
      <x:c r="O5" s="11" t="s">
        <x:v>141</x:v>
      </x:c>
      <x:c r="P5" s="11" t="s">
        <x:v>715</x:v>
      </x:c>
      <x:c r="Q5" s="11" t="s">
        <x:v>716</x:v>
      </x:c>
      <x:c r="R5" s="11" t="s">
        <x:v>717</x:v>
      </x:c>
      <x:c r="S5" s="11" t="s">
        <x:v>718</x:v>
      </x:c>
      <x:c r="T5" s="11" t="s">
        <x:v>719</x:v>
      </x:c>
      <x:c r="U5" s="11" t="s">
        <x:v>720</x:v>
      </x:c>
      <x:c r="V5" s="11" t="s">
        <x:v>721</x:v>
      </x:c>
      <x:c r="W5" s="11" t="s">
        <x:v>66</x:v>
      </x:c>
      <x:c r="X5" s="11" t="s">
        <x:v>722</x:v>
      </x:c>
      <x:c r="Y5" s="11" t="s">
        <x:v>723</x:v>
      </x:c>
      <x:c r="Z5" s="11" t="s">
        <x:v>724</x:v>
      </x:c>
      <x:c r="AA5" s="11" t="s">
        <x:v>725</x:v>
      </x:c>
    </x:row>
    <x:row r="6" ht="88" customHeight="1">
      <x:c r="A6" s="12" t="s">
        <x:v>67</x:v>
      </x:c>
      <x:c r="B6" s="13" t="s">
        <x:v>176</x:v>
      </x:c>
      <x:c r="C6" s="13" t="s">
        <x:v>176</x:v>
      </x:c>
      <x:c r="D6" s="13" t="s">
        <x:v>176</x:v>
      </x:c>
      <x:c r="E6" s="13" t="s">
        <x:v>176</x:v>
      </x:c>
      <x:c r="F6" s="13" t="s">
        <x:v>176</x:v>
      </x:c>
      <x:c r="G6" s="13" t="s">
        <x:v>176</x:v>
      </x:c>
      <x:c r="H6" s="13" t="s">
        <x:v>176</x:v>
      </x:c>
      <x:c r="I6" s="13" t="s">
        <x:v>176</x:v>
      </x:c>
      <x:c r="J6" s="13" t="s">
        <x:v>176</x:v>
      </x:c>
      <x:c r="K6" s="13" t="s">
        <x:v>176</x:v>
      </x:c>
      <x:c r="L6" s="13" t="s">
        <x:v>176</x:v>
      </x:c>
      <x:c r="M6" s="13" t="s">
        <x:v>176</x:v>
      </x:c>
      <x:c r="N6" s="13" t="s">
        <x:v>176</x:v>
      </x:c>
      <x:c r="O6" s="13" t="s">
        <x:v>176</x:v>
      </x:c>
      <x:c r="P6" s="13" t="s">
        <x:v>176</x:v>
      </x:c>
      <x:c r="Q6" s="13" t="s">
        <x:v>176</x:v>
      </x:c>
      <x:c r="R6" s="13" t="s">
        <x:v>176</x:v>
      </x:c>
      <x:c r="S6" s="13" t="s">
        <x:v>176</x:v>
      </x:c>
      <x:c r="T6" s="13" t="s">
        <x:v>176</x:v>
      </x:c>
      <x:c r="U6" s="13" t="s">
        <x:v>176</x:v>
      </x:c>
      <x:c r="V6" s="13" t="s">
        <x:v>726</x:v>
      </x:c>
      <x:c r="W6" s="13" t="s">
        <x:v>727</x:v>
      </x:c>
      <x:c r="X6" s="12">
        <x:v>20</x:v>
      </x:c>
      <x:c r="Y6" s="12" t="n">
        <x:f t="shared" ref="Y6:Y15" si="0">COUNTBLANK(B6:U6)+COUNTIF(B6:U6,"待填写")</x:f>
        <x:v>20</x:v>
      </x:c>
      <x:c r="Z6" s="12" t="n">
        <x:f t="shared" ref="Z6:Z15" si="1">X6-Y6</x:f>
        <x:v>0</x:v>
      </x:c>
      <x:c r="AA6" s="15" t="n">
        <x:f t="shared" ref="AA6:AA15" si="2">IF(X6=0,0,Z6/X6)</x:f>
        <x:v>0</x:v>
      </x:c>
    </x:row>
    <x:row r="7" ht="88" customHeight="1">
      <x:c r="A7" s="14" t="s">
        <x:v>68</x:v>
      </x:c>
      <x:c r="B7" s="13" t="s">
        <x:v>176</x:v>
      </x:c>
      <x:c r="C7" s="13" t="s">
        <x:v>176</x:v>
      </x:c>
      <x:c r="D7" s="13" t="s">
        <x:v>176</x:v>
      </x:c>
      <x:c r="E7" s="13" t="s">
        <x:v>176</x:v>
      </x:c>
      <x:c r="F7" s="13" t="s">
        <x:v>176</x:v>
      </x:c>
      <x:c r="G7" s="13" t="s">
        <x:v>176</x:v>
      </x:c>
      <x:c r="H7" s="13" t="s">
        <x:v>176</x:v>
      </x:c>
      <x:c r="I7" s="13" t="s">
        <x:v>176</x:v>
      </x:c>
      <x:c r="J7" s="13" t="s">
        <x:v>176</x:v>
      </x:c>
      <x:c r="K7" s="13" t="s">
        <x:v>176</x:v>
      </x:c>
      <x:c r="L7" s="13" t="s">
        <x:v>176</x:v>
      </x:c>
      <x:c r="M7" s="13" t="s">
        <x:v>176</x:v>
      </x:c>
      <x:c r="N7" s="13" t="s">
        <x:v>176</x:v>
      </x:c>
      <x:c r="O7" s="13" t="s">
        <x:v>176</x:v>
      </x:c>
      <x:c r="P7" s="13" t="s">
        <x:v>176</x:v>
      </x:c>
      <x:c r="Q7" s="13" t="s">
        <x:v>176</x:v>
      </x:c>
      <x:c r="R7" s="13" t="s">
        <x:v>176</x:v>
      </x:c>
      <x:c r="S7" s="13" t="s">
        <x:v>176</x:v>
      </x:c>
      <x:c r="T7" s="13" t="s">
        <x:v>176</x:v>
      </x:c>
      <x:c r="U7" s="13" t="s">
        <x:v>176</x:v>
      </x:c>
      <x:c r="V7" s="13" t="s">
        <x:v>726</x:v>
      </x:c>
      <x:c r="W7" s="13" t="s">
        <x:v>728</x:v>
      </x:c>
      <x:c r="X7" s="14">
        <x:v>20</x:v>
      </x:c>
      <x:c r="Y7" s="14" t="n">
        <x:f t="shared" si="0"/>
        <x:v>20</x:v>
      </x:c>
      <x:c r="Z7" s="14" t="n">
        <x:f t="shared" si="1"/>
        <x:v>0</x:v>
      </x:c>
      <x:c r="AA7" s="16" t="n">
        <x:f t="shared" si="2"/>
        <x:v>0</x:v>
      </x:c>
    </x:row>
    <x:row r="8" ht="88" customHeight="1">
      <x:c r="A8" s="12" t="s">
        <x:v>69</x:v>
      </x:c>
      <x:c r="B8" s="13" t="s">
        <x:v>176</x:v>
      </x:c>
      <x:c r="C8" s="13" t="s">
        <x:v>176</x:v>
      </x:c>
      <x:c r="D8" s="13" t="s">
        <x:v>176</x:v>
      </x:c>
      <x:c r="E8" s="13" t="s">
        <x:v>176</x:v>
      </x:c>
      <x:c r="F8" s="13" t="s">
        <x:v>176</x:v>
      </x:c>
      <x:c r="G8" s="13" t="s">
        <x:v>176</x:v>
      </x:c>
      <x:c r="H8" s="13" t="s">
        <x:v>176</x:v>
      </x:c>
      <x:c r="I8" s="13" t="s">
        <x:v>176</x:v>
      </x:c>
      <x:c r="J8" s="13" t="s">
        <x:v>176</x:v>
      </x:c>
      <x:c r="K8" s="13" t="s">
        <x:v>176</x:v>
      </x:c>
      <x:c r="L8" s="13" t="s">
        <x:v>176</x:v>
      </x:c>
      <x:c r="M8" s="13" t="s">
        <x:v>176</x:v>
      </x:c>
      <x:c r="N8" s="13" t="s">
        <x:v>176</x:v>
      </x:c>
      <x:c r="O8" s="13" t="s">
        <x:v>176</x:v>
      </x:c>
      <x:c r="P8" s="13" t="s">
        <x:v>176</x:v>
      </x:c>
      <x:c r="Q8" s="13" t="s">
        <x:v>176</x:v>
      </x:c>
      <x:c r="R8" s="13" t="s">
        <x:v>176</x:v>
      </x:c>
      <x:c r="S8" s="13" t="s">
        <x:v>176</x:v>
      </x:c>
      <x:c r="T8" s="13" t="s">
        <x:v>176</x:v>
      </x:c>
      <x:c r="U8" s="13" t="s">
        <x:v>176</x:v>
      </x:c>
      <x:c r="V8" s="13" t="s">
        <x:v>726</x:v>
      </x:c>
      <x:c r="W8" s="13" t="s">
        <x:v>729</x:v>
      </x:c>
      <x:c r="X8" s="12">
        <x:v>20</x:v>
      </x:c>
      <x:c r="Y8" s="12" t="n">
        <x:f t="shared" si="0"/>
        <x:v>20</x:v>
      </x:c>
      <x:c r="Z8" s="12" t="n">
        <x:f t="shared" si="1"/>
        <x:v>0</x:v>
      </x:c>
      <x:c r="AA8" s="15" t="n">
        <x:f t="shared" si="2"/>
        <x:v>0</x:v>
      </x:c>
    </x:row>
    <x:row r="9" ht="88" customHeight="1">
      <x:c r="A9" s="14" t="s">
        <x:v>70</x:v>
      </x:c>
      <x:c r="B9" s="13" t="s">
        <x:v>176</x:v>
      </x:c>
      <x:c r="C9" s="13" t="s">
        <x:v>176</x:v>
      </x:c>
      <x:c r="D9" s="13" t="s">
        <x:v>176</x:v>
      </x:c>
      <x:c r="E9" s="13" t="s">
        <x:v>176</x:v>
      </x:c>
      <x:c r="F9" s="13" t="s">
        <x:v>176</x:v>
      </x:c>
      <x:c r="G9" s="13" t="s">
        <x:v>176</x:v>
      </x:c>
      <x:c r="H9" s="13" t="s">
        <x:v>176</x:v>
      </x:c>
      <x:c r="I9" s="13" t="s">
        <x:v>176</x:v>
      </x:c>
      <x:c r="J9" s="13" t="s">
        <x:v>176</x:v>
      </x:c>
      <x:c r="K9" s="13" t="s">
        <x:v>176</x:v>
      </x:c>
      <x:c r="L9" s="13" t="s">
        <x:v>176</x:v>
      </x:c>
      <x:c r="M9" s="13" t="s">
        <x:v>176</x:v>
      </x:c>
      <x:c r="N9" s="13" t="s">
        <x:v>176</x:v>
      </x:c>
      <x:c r="O9" s="13" t="s">
        <x:v>176</x:v>
      </x:c>
      <x:c r="P9" s="13" t="s">
        <x:v>176</x:v>
      </x:c>
      <x:c r="Q9" s="13" t="s">
        <x:v>176</x:v>
      </x:c>
      <x:c r="R9" s="13" t="s">
        <x:v>176</x:v>
      </x:c>
      <x:c r="S9" s="13" t="s">
        <x:v>176</x:v>
      </x:c>
      <x:c r="T9" s="13" t="s">
        <x:v>176</x:v>
      </x:c>
      <x:c r="U9" s="13" t="s">
        <x:v>176</x:v>
      </x:c>
      <x:c r="V9" s="13" t="s">
        <x:v>726</x:v>
      </x:c>
      <x:c r="W9" s="13" t="s">
        <x:v>730</x:v>
      </x:c>
      <x:c r="X9" s="14">
        <x:v>20</x:v>
      </x:c>
      <x:c r="Y9" s="14" t="n">
        <x:f t="shared" si="0"/>
        <x:v>20</x:v>
      </x:c>
      <x:c r="Z9" s="14" t="n">
        <x:f t="shared" si="1"/>
        <x:v>0</x:v>
      </x:c>
      <x:c r="AA9" s="16" t="n">
        <x:f t="shared" si="2"/>
        <x:v>0</x:v>
      </x:c>
    </x:row>
    <x:row r="10" ht="88" customHeight="1">
      <x:c r="A10" s="12" t="s">
        <x:v>71</x:v>
      </x:c>
      <x:c r="B10" s="13" t="s">
        <x:v>176</x:v>
      </x:c>
      <x:c r="C10" s="13" t="s">
        <x:v>176</x:v>
      </x:c>
      <x:c r="D10" s="13" t="s">
        <x:v>176</x:v>
      </x:c>
      <x:c r="E10" s="13" t="s">
        <x:v>176</x:v>
      </x:c>
      <x:c r="F10" s="13" t="s">
        <x:v>176</x:v>
      </x:c>
      <x:c r="G10" s="13" t="s">
        <x:v>176</x:v>
      </x:c>
      <x:c r="H10" s="13" t="s">
        <x:v>176</x:v>
      </x:c>
      <x:c r="I10" s="13" t="s">
        <x:v>176</x:v>
      </x:c>
      <x:c r="J10" s="13" t="s">
        <x:v>176</x:v>
      </x:c>
      <x:c r="K10" s="13" t="s">
        <x:v>176</x:v>
      </x:c>
      <x:c r="L10" s="13" t="s">
        <x:v>176</x:v>
      </x:c>
      <x:c r="M10" s="13" t="s">
        <x:v>176</x:v>
      </x:c>
      <x:c r="N10" s="13" t="s">
        <x:v>176</x:v>
      </x:c>
      <x:c r="O10" s="13" t="s">
        <x:v>176</x:v>
      </x:c>
      <x:c r="P10" s="13" t="s">
        <x:v>176</x:v>
      </x:c>
      <x:c r="Q10" s="13" t="s">
        <x:v>176</x:v>
      </x:c>
      <x:c r="R10" s="13" t="s">
        <x:v>176</x:v>
      </x:c>
      <x:c r="S10" s="13" t="s">
        <x:v>176</x:v>
      </x:c>
      <x:c r="T10" s="13" t="s">
        <x:v>176</x:v>
      </x:c>
      <x:c r="U10" s="13" t="s">
        <x:v>176</x:v>
      </x:c>
      <x:c r="V10" s="13" t="s">
        <x:v>726</x:v>
      </x:c>
      <x:c r="W10" s="13" t="s">
        <x:v>731</x:v>
      </x:c>
      <x:c r="X10" s="12">
        <x:v>20</x:v>
      </x:c>
      <x:c r="Y10" s="12" t="n">
        <x:f t="shared" si="0"/>
        <x:v>20</x:v>
      </x:c>
      <x:c r="Z10" s="12" t="n">
        <x:f t="shared" si="1"/>
        <x:v>0</x:v>
      </x:c>
      <x:c r="AA10" s="15" t="n">
        <x:f t="shared" si="2"/>
        <x:v>0</x:v>
      </x:c>
    </x:row>
    <x:row r="11" ht="88" customHeight="1">
      <x:c r="A11" s="14" t="s">
        <x:v>72</x:v>
      </x:c>
      <x:c r="B11" s="13" t="s">
        <x:v>176</x:v>
      </x:c>
      <x:c r="C11" s="13" t="s">
        <x:v>176</x:v>
      </x:c>
      <x:c r="D11" s="13" t="s">
        <x:v>176</x:v>
      </x:c>
      <x:c r="E11" s="13" t="s">
        <x:v>176</x:v>
      </x:c>
      <x:c r="F11" s="13" t="s">
        <x:v>176</x:v>
      </x:c>
      <x:c r="G11" s="13" t="s">
        <x:v>176</x:v>
      </x:c>
      <x:c r="H11" s="13" t="s">
        <x:v>176</x:v>
      </x:c>
      <x:c r="I11" s="13" t="s">
        <x:v>176</x:v>
      </x:c>
      <x:c r="J11" s="13" t="s">
        <x:v>176</x:v>
      </x:c>
      <x:c r="K11" s="13" t="s">
        <x:v>176</x:v>
      </x:c>
      <x:c r="L11" s="13" t="s">
        <x:v>176</x:v>
      </x:c>
      <x:c r="M11" s="13" t="s">
        <x:v>176</x:v>
      </x:c>
      <x:c r="N11" s="13" t="s">
        <x:v>176</x:v>
      </x:c>
      <x:c r="O11" s="13" t="s">
        <x:v>176</x:v>
      </x:c>
      <x:c r="P11" s="13" t="s">
        <x:v>176</x:v>
      </x:c>
      <x:c r="Q11" s="13" t="s">
        <x:v>176</x:v>
      </x:c>
      <x:c r="R11" s="13" t="s">
        <x:v>176</x:v>
      </x:c>
      <x:c r="S11" s="13" t="s">
        <x:v>176</x:v>
      </x:c>
      <x:c r="T11" s="13" t="s">
        <x:v>176</x:v>
      </x:c>
      <x:c r="U11" s="13" t="s">
        <x:v>176</x:v>
      </x:c>
      <x:c r="V11" s="13" t="s">
        <x:v>726</x:v>
      </x:c>
      <x:c r="W11" s="13" t="s">
        <x:v>732</x:v>
      </x:c>
      <x:c r="X11" s="14">
        <x:v>20</x:v>
      </x:c>
      <x:c r="Y11" s="14" t="n">
        <x:f t="shared" si="0"/>
        <x:v>20</x:v>
      </x:c>
      <x:c r="Z11" s="14" t="n">
        <x:f t="shared" si="1"/>
        <x:v>0</x:v>
      </x:c>
      <x:c r="AA11" s="16" t="n">
        <x:f t="shared" si="2"/>
        <x:v>0</x:v>
      </x:c>
    </x:row>
    <x:row r="12" ht="88" customHeight="1">
      <x:c r="A12" s="12" t="s">
        <x:v>73</x:v>
      </x:c>
      <x:c r="B12" s="13" t="s">
        <x:v>176</x:v>
      </x:c>
      <x:c r="C12" s="13" t="s">
        <x:v>176</x:v>
      </x:c>
      <x:c r="D12" s="13" t="s">
        <x:v>176</x:v>
      </x:c>
      <x:c r="E12" s="13" t="s">
        <x:v>176</x:v>
      </x:c>
      <x:c r="F12" s="13" t="s">
        <x:v>176</x:v>
      </x:c>
      <x:c r="G12" s="13" t="s">
        <x:v>176</x:v>
      </x:c>
      <x:c r="H12" s="13" t="s">
        <x:v>176</x:v>
      </x:c>
      <x:c r="I12" s="13" t="s">
        <x:v>176</x:v>
      </x:c>
      <x:c r="J12" s="13" t="s">
        <x:v>176</x:v>
      </x:c>
      <x:c r="K12" s="13" t="s">
        <x:v>176</x:v>
      </x:c>
      <x:c r="L12" s="13" t="s">
        <x:v>176</x:v>
      </x:c>
      <x:c r="M12" s="13" t="s">
        <x:v>176</x:v>
      </x:c>
      <x:c r="N12" s="13" t="s">
        <x:v>176</x:v>
      </x:c>
      <x:c r="O12" s="13" t="s">
        <x:v>176</x:v>
      </x:c>
      <x:c r="P12" s="13" t="s">
        <x:v>176</x:v>
      </x:c>
      <x:c r="Q12" s="13" t="s">
        <x:v>176</x:v>
      </x:c>
      <x:c r="R12" s="13" t="s">
        <x:v>176</x:v>
      </x:c>
      <x:c r="S12" s="13" t="s">
        <x:v>176</x:v>
      </x:c>
      <x:c r="T12" s="13" t="s">
        <x:v>176</x:v>
      </x:c>
      <x:c r="U12" s="13" t="s">
        <x:v>176</x:v>
      </x:c>
      <x:c r="V12" s="13" t="s">
        <x:v>726</x:v>
      </x:c>
      <x:c r="W12" s="13" t="s">
        <x:v>733</x:v>
      </x:c>
      <x:c r="X12" s="12">
        <x:v>20</x:v>
      </x:c>
      <x:c r="Y12" s="12" t="n">
        <x:f t="shared" si="0"/>
        <x:v>20</x:v>
      </x:c>
      <x:c r="Z12" s="12" t="n">
        <x:f t="shared" si="1"/>
        <x:v>0</x:v>
      </x:c>
      <x:c r="AA12" s="15" t="n">
        <x:f t="shared" si="2"/>
        <x:v>0</x:v>
      </x:c>
    </x:row>
    <x:row r="13" ht="88" customHeight="1">
      <x:c r="A13" s="14" t="s">
        <x:v>74</x:v>
      </x:c>
      <x:c r="B13" s="13" t="s">
        <x:v>176</x:v>
      </x:c>
      <x:c r="C13" s="13" t="s">
        <x:v>176</x:v>
      </x:c>
      <x:c r="D13" s="13" t="s">
        <x:v>176</x:v>
      </x:c>
      <x:c r="E13" s="13" t="s">
        <x:v>176</x:v>
      </x:c>
      <x:c r="F13" s="13" t="s">
        <x:v>176</x:v>
      </x:c>
      <x:c r="G13" s="13" t="s">
        <x:v>176</x:v>
      </x:c>
      <x:c r="H13" s="13" t="s">
        <x:v>176</x:v>
      </x:c>
      <x:c r="I13" s="13" t="s">
        <x:v>176</x:v>
      </x:c>
      <x:c r="J13" s="13" t="s">
        <x:v>176</x:v>
      </x:c>
      <x:c r="K13" s="13" t="s">
        <x:v>176</x:v>
      </x:c>
      <x:c r="L13" s="13" t="s">
        <x:v>176</x:v>
      </x:c>
      <x:c r="M13" s="13" t="s">
        <x:v>176</x:v>
      </x:c>
      <x:c r="N13" s="13" t="s">
        <x:v>176</x:v>
      </x:c>
      <x:c r="O13" s="13" t="s">
        <x:v>176</x:v>
      </x:c>
      <x:c r="P13" s="13" t="s">
        <x:v>176</x:v>
      </x:c>
      <x:c r="Q13" s="13" t="s">
        <x:v>176</x:v>
      </x:c>
      <x:c r="R13" s="13" t="s">
        <x:v>176</x:v>
      </x:c>
      <x:c r="S13" s="13" t="s">
        <x:v>176</x:v>
      </x:c>
      <x:c r="T13" s="13" t="s">
        <x:v>176</x:v>
      </x:c>
      <x:c r="U13" s="13" t="s">
        <x:v>176</x:v>
      </x:c>
      <x:c r="V13" s="13" t="s">
        <x:v>726</x:v>
      </x:c>
      <x:c r="W13" s="13" t="s">
        <x:v>734</x:v>
      </x:c>
      <x:c r="X13" s="14">
        <x:v>20</x:v>
      </x:c>
      <x:c r="Y13" s="14" t="n">
        <x:f t="shared" si="0"/>
        <x:v>20</x:v>
      </x:c>
      <x:c r="Z13" s="14" t="n">
        <x:f t="shared" si="1"/>
        <x:v>0</x:v>
      </x:c>
      <x:c r="AA13" s="16" t="n">
        <x:f t="shared" si="2"/>
        <x:v>0</x:v>
      </x:c>
    </x:row>
    <x:row r="14" ht="88" customHeight="1">
      <x:c r="A14" s="12" t="s">
        <x:v>75</x:v>
      </x:c>
      <x:c r="B14" s="13" t="s">
        <x:v>176</x:v>
      </x:c>
      <x:c r="C14" s="13" t="s">
        <x:v>176</x:v>
      </x:c>
      <x:c r="D14" s="13" t="s">
        <x:v>176</x:v>
      </x:c>
      <x:c r="E14" s="13" t="s">
        <x:v>176</x:v>
      </x:c>
      <x:c r="F14" s="13" t="s">
        <x:v>176</x:v>
      </x:c>
      <x:c r="G14" s="13" t="s">
        <x:v>176</x:v>
      </x:c>
      <x:c r="H14" s="13" t="s">
        <x:v>176</x:v>
      </x:c>
      <x:c r="I14" s="13" t="s">
        <x:v>176</x:v>
      </x:c>
      <x:c r="J14" s="13" t="s">
        <x:v>176</x:v>
      </x:c>
      <x:c r="K14" s="13" t="s">
        <x:v>176</x:v>
      </x:c>
      <x:c r="L14" s="13" t="s">
        <x:v>176</x:v>
      </x:c>
      <x:c r="M14" s="13" t="s">
        <x:v>176</x:v>
      </x:c>
      <x:c r="N14" s="13" t="s">
        <x:v>176</x:v>
      </x:c>
      <x:c r="O14" s="13" t="s">
        <x:v>176</x:v>
      </x:c>
      <x:c r="P14" s="13" t="s">
        <x:v>176</x:v>
      </x:c>
      <x:c r="Q14" s="13" t="s">
        <x:v>176</x:v>
      </x:c>
      <x:c r="R14" s="13" t="s">
        <x:v>176</x:v>
      </x:c>
      <x:c r="S14" s="13" t="s">
        <x:v>176</x:v>
      </x:c>
      <x:c r="T14" s="13" t="s">
        <x:v>176</x:v>
      </x:c>
      <x:c r="U14" s="13" t="s">
        <x:v>176</x:v>
      </x:c>
      <x:c r="V14" s="13" t="s">
        <x:v>726</x:v>
      </x:c>
      <x:c r="W14" s="13" t="s">
        <x:v>735</x:v>
      </x:c>
      <x:c r="X14" s="12">
        <x:v>20</x:v>
      </x:c>
      <x:c r="Y14" s="12" t="n">
        <x:f t="shared" si="0"/>
        <x:v>20</x:v>
      </x:c>
      <x:c r="Z14" s="12" t="n">
        <x:f t="shared" si="1"/>
        <x:v>0</x:v>
      </x:c>
      <x:c r="AA14" s="15" t="n">
        <x:f t="shared" si="2"/>
        <x:v>0</x:v>
      </x:c>
    </x:row>
    <x:row r="15" ht="88" customHeight="1">
      <x:c r="A15" s="14" t="s">
        <x:v>76</x:v>
      </x:c>
      <x:c r="B15" s="13" t="s">
        <x:v>176</x:v>
      </x:c>
      <x:c r="C15" s="13" t="s">
        <x:v>176</x:v>
      </x:c>
      <x:c r="D15" s="13" t="s">
        <x:v>176</x:v>
      </x:c>
      <x:c r="E15" s="13" t="s">
        <x:v>176</x:v>
      </x:c>
      <x:c r="F15" s="13" t="s">
        <x:v>176</x:v>
      </x:c>
      <x:c r="G15" s="13" t="s">
        <x:v>176</x:v>
      </x:c>
      <x:c r="H15" s="13" t="s">
        <x:v>176</x:v>
      </x:c>
      <x:c r="I15" s="13" t="s">
        <x:v>176</x:v>
      </x:c>
      <x:c r="J15" s="13" t="s">
        <x:v>176</x:v>
      </x:c>
      <x:c r="K15" s="13" t="s">
        <x:v>176</x:v>
      </x:c>
      <x:c r="L15" s="13" t="s">
        <x:v>176</x:v>
      </x:c>
      <x:c r="M15" s="13" t="s">
        <x:v>176</x:v>
      </x:c>
      <x:c r="N15" s="13" t="s">
        <x:v>176</x:v>
      </x:c>
      <x:c r="O15" s="13" t="s">
        <x:v>176</x:v>
      </x:c>
      <x:c r="P15" s="13" t="s">
        <x:v>176</x:v>
      </x:c>
      <x:c r="Q15" s="13" t="s">
        <x:v>176</x:v>
      </x:c>
      <x:c r="R15" s="13" t="s">
        <x:v>176</x:v>
      </x:c>
      <x:c r="S15" s="13" t="s">
        <x:v>176</x:v>
      </x:c>
      <x:c r="T15" s="13" t="s">
        <x:v>176</x:v>
      </x:c>
      <x:c r="U15" s="13" t="s">
        <x:v>176</x:v>
      </x:c>
      <x:c r="V15" s="13" t="s">
        <x:v>726</x:v>
      </x:c>
      <x:c r="W15" s="13" t="s">
        <x:v>736</x:v>
      </x:c>
      <x:c r="X15" s="14">
        <x:v>20</x:v>
      </x:c>
      <x:c r="Y15" s="14" t="n">
        <x:f t="shared" si="0"/>
        <x:v>20</x:v>
      </x:c>
      <x:c r="Z15" s="14" t="n">
        <x:f t="shared" si="1"/>
        <x:v>0</x:v>
      </x:c>
      <x:c r="AA15" s="16" t="n">
        <x:f t="shared" si="2"/>
        <x:v>0</x:v>
      </x:c>
    </x:row>
  </x:sheetData>
  <x:mergeCells>
    <x:mergeCell ref="A1:AA1"/>
    <x:mergeCell ref="A2:D2"/>
    <x:mergeCell ref="E2:H2"/>
    <x:mergeCell ref="I2:L2"/>
    <x:mergeCell ref="M2:P2"/>
    <x:mergeCell ref="Q2:T2"/>
    <x:mergeCell ref="U2:X2"/>
    <x:mergeCell ref="Y2:AA2"/>
    <x:mergeCell ref="A3:AA3"/>
  </x:mergeCells>
  <x:dataValidations count="3">
    <x:dataValidation type="list" sqref="B6:B15">
      <x:formula1>"待填写,是,否,部分"</x:formula1>
    </x:dataValidation>
    <x:dataValidation type="list" sqref="D6:D15 P6:P15">
      <x:formula1>"待填写,是,否"</x:formula1>
    </x:dataValidation>
    <x:dataValidation type="list" allowBlank="1" sqref="S6:S15 T6:T15">
      <x:formula1>"待填写,是,否,部分确认,不确定"</x:formula1>
    </x:dataValidation>
  </x:dataValidation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s>
  <x:pageMargins left="0.7" right="0.7" top="0.75" bottom="0.75" header="0.3" footer="0.3"/>
  <x:tableParts count="1">
    <x:tablePart xmlns:r="http://schemas.openxmlformats.org/officeDocument/2006/relationships" r:id="R1e169e08ece64601"/>
  </x:tableParts>
</x:worksheet>
</file>

<file path=xl/worksheets/sheet7.xml><?xml version="1.0" encoding="utf-8"?>
<x:worksheet xmlns:x="http://schemas.openxmlformats.org/spreadsheetml/2006/main">
  <x:sheetViews>
    <x:sheetView showGridLines="0" workbookViewId="0"/>
  </x:sheetViews>
  <x:sheetFormatPr defaultColWidth="9" defaultRowHeight="16.799999237060547"/>
  <x:cols>
    <x:col min="1" max="1" width="24" customWidth="1"/>
    <x:col min="2" max="2" width="34" customWidth="1"/>
    <x:col min="3" max="3" width="20" customWidth="1"/>
    <x:col min="4" max="4" width="14" customWidth="1"/>
    <x:col min="5" max="6" width="58" customWidth="1"/>
    <x:col min="7" max="7" width="40" customWidth="1"/>
    <x:col min="8" max="8" width="24" customWidth="1"/>
  </x:cols>
  <x:sheetData>
    <x:row r="1" ht="28" customHeight="1">
      <x:c r="A1" s="5" t="s">
        <x:v>737</x:v>
      </x:c>
      <x:c r="B1" s="5" t="s">
        <x:v>737</x:v>
      </x:c>
      <x:c r="C1" s="5" t="s">
        <x:v>737</x:v>
      </x:c>
      <x:c r="D1" s="5" t="s">
        <x:v>737</x:v>
      </x:c>
      <x:c r="E1" s="5" t="s">
        <x:v>737</x:v>
      </x:c>
      <x:c r="F1" s="5" t="s">
        <x:v>737</x:v>
      </x:c>
      <x:c r="G1" s="5" t="s">
        <x:v>737</x:v>
      </x:c>
      <x:c r="H1" s="5" t="s">
        <x:v>737</x:v>
      </x:c>
    </x:row>
    <x:row r="2" ht="24" customHeight="1">
      <x:c r="A2" s="6" t="str">
        <x:f>HYPERLINK("#'账户与交易总览'!A1","总览")</x:f>
        <x:v>总览</x:v>
      </x:c>
      <x:c r="B2" s="6" t="str">
        <x:f>HYPERLINK("#'逐笔人工复盘总表'!A1","逐笔总表")</x:f>
        <x:v>逐笔总表</x:v>
      </x:c>
      <x:c r="C2" s="6" t="str">
        <x:f>HYPERLINK("#'单笔交易复盘卡'!A1","单笔卡")</x:f>
        <x:v>单笔卡</x:v>
      </x:c>
      <x:c r="D2" s="6" t="str">
        <x:f>HYPERLINK("#'完整操作过程'!A1","完整过程")</x:f>
        <x:v>完整过程</x:v>
      </x:c>
      <x:c r="E2" s="6" t="str">
        <x:f>HYPERLINK("#'账户资金轨迹'!A1","资金轨迹")</x:f>
        <x:v>资金轨迹</x:v>
      </x:c>
      <x:c r="F2" s="6" t="str">
        <x:f>HYPERLINK("#'人工复盘完成清单'!A1","人工填写")</x:f>
        <x:v>人工填写</x:v>
      </x:c>
      <x:c r="G2" s="6" t="str">
        <x:f>HYPERLINK("#'字段与口径说明'!A1","字段口径")</x:f>
        <x:v>字段口径</x:v>
      </x:c>
      <x:c r="H2" s="6"/>
    </x:row>
    <x:row r="3" ht="34" customHeight="1">
      <x:c r="A3" s="7" t="s">
        <x:v>738</x:v>
      </x:c>
      <x:c r="B3" s="7" t="s">
        <x:v>738</x:v>
      </x:c>
      <x:c r="C3" s="7" t="s">
        <x:v>738</x:v>
      </x:c>
      <x:c r="D3" s="7" t="s">
        <x:v>738</x:v>
      </x:c>
      <x:c r="E3" s="7" t="s">
        <x:v>738</x:v>
      </x:c>
      <x:c r="F3" s="7" t="s">
        <x:v>738</x:v>
      </x:c>
      <x:c r="G3" s="7" t="s">
        <x:v>738</x:v>
      </x:c>
      <x:c r="H3" s="7" t="s">
        <x:v>738</x:v>
      </x:c>
    </x:row>
    <x:row r="5" ht="42" customHeight="1">
      <x:c r="A5" s="8" t="s">
        <x:v>739</x:v>
      </x:c>
      <x:c r="B5" s="8" t="s">
        <x:v>740</x:v>
      </x:c>
      <x:c r="C5" s="8" t="s">
        <x:v>741</x:v>
      </x:c>
      <x:c r="D5" s="8" t="s">
        <x:v>742</x:v>
      </x:c>
      <x:c r="E5" s="8" t="s">
        <x:v>743</x:v>
      </x:c>
      <x:c r="F5" s="8" t="s">
        <x:v>744</x:v>
      </x:c>
      <x:c r="G5" s="8" t="s">
        <x:v>745</x:v>
      </x:c>
      <x:c r="H5" s="8" t="s">
        <x:v>746</x:v>
      </x:c>
    </x:row>
    <x:row r="6" ht="46" customHeight="1">
      <x:c r="A6" s="9" t="s">
        <x:v>747</x:v>
      </x:c>
      <x:c r="B6" s="9" t="s">
        <x:v>748</x:v>
      </x:c>
      <x:c r="C6" s="9" t="s">
        <x:v>749</x:v>
      </x:c>
      <x:c r="D6" s="9" t="s">
        <x:v>172</x:v>
      </x:c>
      <x:c r="E6" s="9" t="s">
        <x:v>750</x:v>
      </x:c>
      <x:c r="F6" s="9" t="s">
        <x:v>751</x:v>
      </x:c>
      <x:c r="G6" s="9" t="s">
        <x:v>752</x:v>
      </x:c>
      <x:c r="H6" s="9" t="s">
        <x:v>753</x:v>
      </x:c>
    </x:row>
    <x:row r="7" ht="46" customHeight="1">
      <x:c r="A7" s="10" t="s">
        <x:v>747</x:v>
      </x:c>
      <x:c r="B7" s="10" t="s">
        <x:v>754</x:v>
      </x:c>
      <x:c r="C7" s="10" t="s">
        <x:v>755</x:v>
      </x:c>
      <x:c r="D7" s="10" t="s">
        <x:v>172</x:v>
      </x:c>
      <x:c r="E7" s="10" t="s">
        <x:v>756</x:v>
      </x:c>
      <x:c r="F7" s="10" t="s">
        <x:v>757</x:v>
      </x:c>
      <x:c r="G7" s="10" t="s">
        <x:v>758</x:v>
      </x:c>
      <x:c r="H7" s="10" t="s">
        <x:v>753</x:v>
      </x:c>
    </x:row>
    <x:row r="8" ht="46" customHeight="1">
      <x:c r="A8" s="9" t="s">
        <x:v>747</x:v>
      </x:c>
      <x:c r="B8" s="9" t="s">
        <x:v>759</x:v>
      </x:c>
      <x:c r="C8" s="9" t="s">
        <x:v>755</x:v>
      </x:c>
      <x:c r="D8" s="9" t="s">
        <x:v>172</x:v>
      </x:c>
      <x:c r="E8" s="9" t="s">
        <x:v>760</x:v>
      </x:c>
      <x:c r="F8" s="9" t="s">
        <x:v>761</x:v>
      </x:c>
      <x:c r="G8" s="9" t="s">
        <x:v>758</x:v>
      </x:c>
      <x:c r="H8" s="9" t="s">
        <x:v>753</x:v>
      </x:c>
    </x:row>
    <x:row r="9" ht="46" customHeight="1">
      <x:c r="A9" s="10" t="s">
        <x:v>747</x:v>
      </x:c>
      <x:c r="B9" s="10" t="s">
        <x:v>176</x:v>
      </x:c>
      <x:c r="C9" s="10" t="s">
        <x:v>762</x:v>
      </x:c>
      <x:c r="D9" s="10" t="s">
        <x:v>171</x:v>
      </x:c>
      <x:c r="E9" s="10" t="s">
        <x:v>763</x:v>
      </x:c>
      <x:c r="F9" s="10" t="s">
        <x:v>764</x:v>
      </x:c>
      <x:c r="G9" s="10" t="s">
        <x:v>765</x:v>
      </x:c>
      <x:c r="H9" s="10" t="s">
        <x:v>766</x:v>
      </x:c>
    </x:row>
    <x:row r="10" ht="46" customHeight="1">
      <x:c r="A10" s="9" t="s">
        <x:v>747</x:v>
      </x:c>
      <x:c r="B10" s="9" t="s">
        <x:v>767</x:v>
      </x:c>
      <x:c r="C10" s="9" t="s">
        <x:v>749</x:v>
      </x:c>
      <x:c r="D10" s="9" t="s">
        <x:v>172</x:v>
      </x:c>
      <x:c r="E10" s="9" t="s">
        <x:v>768</x:v>
      </x:c>
      <x:c r="F10" s="9" t="s">
        <x:v>769</x:v>
      </x:c>
      <x:c r="G10" s="9" t="s">
        <x:v>770</x:v>
      </x:c>
      <x:c r="H10" s="9" t="s">
        <x:v>753</x:v>
      </x:c>
    </x:row>
    <x:row r="11" ht="46" customHeight="1">
      <x:c r="A11" s="10" t="s">
        <x:v>747</x:v>
      </x:c>
      <x:c r="B11" s="10" t="s">
        <x:v>84</x:v>
      </x:c>
      <x:c r="C11" s="10" t="s">
        <x:v>771</x:v>
      </x:c>
      <x:c r="D11" s="10" t="s">
        <x:v>172</x:v>
      </x:c>
      <x:c r="E11" s="10" t="s">
        <x:v>772</x:v>
      </x:c>
      <x:c r="F11" s="10" t="s">
        <x:v>773</x:v>
      </x:c>
      <x:c r="G11" s="10" t="s">
        <x:v>774</x:v>
      </x:c>
      <x:c r="H11" s="10" t="s">
        <x:v>775</x:v>
      </x:c>
    </x:row>
    <x:row r="12" ht="46" customHeight="1">
      <x:c r="A12" s="9" t="s">
        <x:v>747</x:v>
      </x:c>
      <x:c r="B12" s="9" t="s">
        <x:v>776</x:v>
      </x:c>
      <x:c r="C12" s="9" t="s">
        <x:v>777</x:v>
      </x:c>
      <x:c r="D12" s="9" t="s">
        <x:v>172</x:v>
      </x:c>
      <x:c r="E12" s="9" t="s">
        <x:v>778</x:v>
      </x:c>
      <x:c r="F12" s="9" t="s">
        <x:v>779</x:v>
      </x:c>
      <x:c r="G12" s="9" t="s">
        <x:v>758</x:v>
      </x:c>
      <x:c r="H12" s="9" t="s">
        <x:v>753</x:v>
      </x:c>
    </x:row>
    <x:row r="13" ht="46" customHeight="1">
      <x:c r="A13" s="10" t="s">
        <x:v>780</x:v>
      </x:c>
      <x:c r="B13" s="10" t="s">
        <x:v>2</x:v>
      </x:c>
      <x:c r="C13" s="10" t="s">
        <x:v>781</x:v>
      </x:c>
      <x:c r="D13" s="10" t="s">
        <x:v>172</x:v>
      </x:c>
      <x:c r="E13" s="10" t="s">
        <x:v>782</x:v>
      </x:c>
      <x:c r="F13" s="10" t="s">
        <x:v>783</x:v>
      </x:c>
      <x:c r="G13" s="10" t="s">
        <x:v>774</x:v>
      </x:c>
      <x:c r="H13" s="10" t="s">
        <x:v>775</x:v>
      </x:c>
    </x:row>
    <x:row r="14" ht="46" customHeight="1">
      <x:c r="A14" s="9" t="s">
        <x:v>780</x:v>
      </x:c>
      <x:c r="B14" s="9" t="s">
        <x:v>3</x:v>
      </x:c>
      <x:c r="C14" s="9" t="s">
        <x:v>781</x:v>
      </x:c>
      <x:c r="D14" s="9" t="s">
        <x:v>172</x:v>
      </x:c>
      <x:c r="E14" s="9" t="s">
        <x:v>784</x:v>
      </x:c>
      <x:c r="F14" s="9" t="s">
        <x:v>783</x:v>
      </x:c>
      <x:c r="G14" s="9" t="s">
        <x:v>785</x:v>
      </x:c>
      <x:c r="H14" s="9" t="s">
        <x:v>775</x:v>
      </x:c>
    </x:row>
    <x:row r="15" ht="46" customHeight="1">
      <x:c r="A15" s="10" t="s">
        <x:v>780</x:v>
      </x:c>
      <x:c r="B15" s="10" t="s">
        <x:v>4</x:v>
      </x:c>
      <x:c r="C15" s="10" t="s">
        <x:v>781</x:v>
      </x:c>
      <x:c r="D15" s="10" t="s">
        <x:v>172</x:v>
      </x:c>
      <x:c r="E15" s="10" t="s">
        <x:v>786</x:v>
      </x:c>
      <x:c r="F15" s="10" t="s">
        <x:v>783</x:v>
      </x:c>
      <x:c r="G15" s="10" t="s">
        <x:v>785</x:v>
      </x:c>
      <x:c r="H15" s="10" t="s">
        <x:v>775</x:v>
      </x:c>
    </x:row>
    <x:row r="16" ht="46" customHeight="1">
      <x:c r="A16" s="9" t="s">
        <x:v>780</x:v>
      </x:c>
      <x:c r="B16" s="9" t="s">
        <x:v>5</x:v>
      </x:c>
      <x:c r="C16" s="9" t="s">
        <x:v>781</x:v>
      </x:c>
      <x:c r="D16" s="9" t="s">
        <x:v>172</x:v>
      </x:c>
      <x:c r="E16" s="9" t="s">
        <x:v>787</x:v>
      </x:c>
      <x:c r="F16" s="9" t="s">
        <x:v>783</x:v>
      </x:c>
      <x:c r="G16" s="9" t="s">
        <x:v>788</x:v>
      </x:c>
      <x:c r="H16" s="9" t="s">
        <x:v>775</x:v>
      </x:c>
    </x:row>
    <x:row r="17" ht="46" customHeight="1">
      <x:c r="A17" s="10" t="s">
        <x:v>780</x:v>
      </x:c>
      <x:c r="B17" s="10" t="s">
        <x:v>6</x:v>
      </x:c>
      <x:c r="C17" s="10" t="s">
        <x:v>781</x:v>
      </x:c>
      <x:c r="D17" s="10" t="s">
        <x:v>172</x:v>
      </x:c>
      <x:c r="E17" s="10" t="s">
        <x:v>789</x:v>
      </x:c>
      <x:c r="F17" s="10" t="s">
        <x:v>783</x:v>
      </x:c>
      <x:c r="G17" s="10" t="s">
        <x:v>788</x:v>
      </x:c>
      <x:c r="H17" s="10" t="s">
        <x:v>775</x:v>
      </x:c>
    </x:row>
    <x:row r="18" ht="46" customHeight="1">
      <x:c r="A18" s="9" t="s">
        <x:v>780</x:v>
      </x:c>
      <x:c r="B18" s="9" t="s">
        <x:v>7</x:v>
      </x:c>
      <x:c r="C18" s="9" t="s">
        <x:v>781</x:v>
      </x:c>
      <x:c r="D18" s="9" t="s">
        <x:v>172</x:v>
      </x:c>
      <x:c r="E18" s="9" t="s">
        <x:v>790</x:v>
      </x:c>
      <x:c r="F18" s="9" t="s">
        <x:v>783</x:v>
      </x:c>
      <x:c r="G18" s="9" t="s">
        <x:v>788</x:v>
      </x:c>
      <x:c r="H18" s="9" t="s">
        <x:v>775</x:v>
      </x:c>
    </x:row>
    <x:row r="19" ht="46" customHeight="1">
      <x:c r="A19" s="10" t="s">
        <x:v>780</x:v>
      </x:c>
      <x:c r="B19" s="10" t="s">
        <x:v>8</x:v>
      </x:c>
      <x:c r="C19" s="10" t="s">
        <x:v>781</x:v>
      </x:c>
      <x:c r="D19" s="10" t="s">
        <x:v>172</x:v>
      </x:c>
      <x:c r="E19" s="10" t="s">
        <x:v>791</x:v>
      </x:c>
      <x:c r="F19" s="10" t="s">
        <x:v>783</x:v>
      </x:c>
      <x:c r="G19" s="10" t="s">
        <x:v>788</x:v>
      </x:c>
      <x:c r="H19" s="10" t="s">
        <x:v>775</x:v>
      </x:c>
    </x:row>
    <x:row r="20" ht="46" customHeight="1">
      <x:c r="A20" s="9" t="s">
        <x:v>780</x:v>
      </x:c>
      <x:c r="B20" s="9" t="s">
        <x:v>9</x:v>
      </x:c>
      <x:c r="C20" s="9" t="s">
        <x:v>781</x:v>
      </x:c>
      <x:c r="D20" s="9" t="s">
        <x:v>172</x:v>
      </x:c>
      <x:c r="E20" s="9" t="s">
        <x:v>792</x:v>
      </x:c>
      <x:c r="F20" s="9" t="s">
        <x:v>783</x:v>
      </x:c>
      <x:c r="G20" s="9" t="s">
        <x:v>788</x:v>
      </x:c>
      <x:c r="H20" s="9" t="s">
        <x:v>775</x:v>
      </x:c>
    </x:row>
    <x:row r="21" ht="46" customHeight="1">
      <x:c r="A21" s="10" t="s">
        <x:v>780</x:v>
      </x:c>
      <x:c r="B21" s="10" t="s">
        <x:v>10</x:v>
      </x:c>
      <x:c r="C21" s="10" t="s">
        <x:v>781</x:v>
      </x:c>
      <x:c r="D21" s="10" t="s">
        <x:v>172</x:v>
      </x:c>
      <x:c r="E21" s="10" t="s">
        <x:v>793</x:v>
      </x:c>
      <x:c r="F21" s="10" t="s">
        <x:v>783</x:v>
      </x:c>
      <x:c r="G21" s="10" t="s">
        <x:v>794</x:v>
      </x:c>
      <x:c r="H21" s="10" t="s">
        <x:v>775</x:v>
      </x:c>
    </x:row>
    <x:row r="22" ht="46" customHeight="1">
      <x:c r="A22" s="9" t="s">
        <x:v>780</x:v>
      </x:c>
      <x:c r="B22" s="9" t="s">
        <x:v>11</x:v>
      </x:c>
      <x:c r="C22" s="9" t="s">
        <x:v>781</x:v>
      </x:c>
      <x:c r="D22" s="9" t="s">
        <x:v>172</x:v>
      </x:c>
      <x:c r="E22" s="9" t="s">
        <x:v>795</x:v>
      </x:c>
      <x:c r="F22" s="9" t="s">
        <x:v>783</x:v>
      </x:c>
      <x:c r="G22" s="9" t="s">
        <x:v>796</x:v>
      </x:c>
      <x:c r="H22" s="9" t="s">
        <x:v>775</x:v>
      </x:c>
    </x:row>
    <x:row r="23" ht="46" customHeight="1">
      <x:c r="A23" s="10" t="s">
        <x:v>780</x:v>
      </x:c>
      <x:c r="B23" s="10" t="s">
        <x:v>13</x:v>
      </x:c>
      <x:c r="C23" s="10" t="s">
        <x:v>797</x:v>
      </x:c>
      <x:c r="D23" s="10" t="s">
        <x:v>172</x:v>
      </x:c>
      <x:c r="E23" s="10" t="s">
        <x:v>798</x:v>
      </x:c>
      <x:c r="F23" s="10" t="s">
        <x:v>799</x:v>
      </x:c>
      <x:c r="G23" s="10" t="s">
        <x:v>800</x:v>
      </x:c>
      <x:c r="H23" s="10" t="s">
        <x:v>801</x:v>
      </x:c>
    </x:row>
    <x:row r="24" ht="46" customHeight="1">
      <x:c r="A24" s="9" t="s">
        <x:v>780</x:v>
      </x:c>
      <x:c r="B24" s="9" t="s">
        <x:v>14</x:v>
      </x:c>
      <x:c r="C24" s="9" t="s">
        <x:v>797</x:v>
      </x:c>
      <x:c r="D24" s="9" t="s">
        <x:v>172</x:v>
      </x:c>
      <x:c r="E24" s="9" t="s">
        <x:v>802</x:v>
      </x:c>
      <x:c r="F24" s="9" t="s">
        <x:v>799</x:v>
      </x:c>
      <x:c r="G24" s="9" t="s">
        <x:v>800</x:v>
      </x:c>
      <x:c r="H24" s="9" t="s">
        <x:v>801</x:v>
      </x:c>
    </x:row>
    <x:row r="25" ht="46" customHeight="1">
      <x:c r="A25" s="10" t="s">
        <x:v>780</x:v>
      </x:c>
      <x:c r="B25" s="10" t="s">
        <x:v>15</x:v>
      </x:c>
      <x:c r="C25" s="10" t="s">
        <x:v>797</x:v>
      </x:c>
      <x:c r="D25" s="10" t="s">
        <x:v>172</x:v>
      </x:c>
      <x:c r="E25" s="10" t="s">
        <x:v>803</x:v>
      </x:c>
      <x:c r="F25" s="10" t="s">
        <x:v>799</x:v>
      </x:c>
      <x:c r="G25" s="10" t="s">
        <x:v>800</x:v>
      </x:c>
      <x:c r="H25" s="10" t="s">
        <x:v>801</x:v>
      </x:c>
    </x:row>
    <x:row r="26" ht="46" customHeight="1">
      <x:c r="A26" s="9" t="s">
        <x:v>780</x:v>
      </x:c>
      <x:c r="B26" s="9" t="s">
        <x:v>16</x:v>
      </x:c>
      <x:c r="C26" s="9" t="s">
        <x:v>797</x:v>
      </x:c>
      <x:c r="D26" s="9" t="s">
        <x:v>172</x:v>
      </x:c>
      <x:c r="E26" s="9" t="s">
        <x:v>804</x:v>
      </x:c>
      <x:c r="F26" s="9" t="s">
        <x:v>799</x:v>
      </x:c>
      <x:c r="G26" s="9" t="s">
        <x:v>800</x:v>
      </x:c>
      <x:c r="H26" s="9" t="s">
        <x:v>801</x:v>
      </x:c>
    </x:row>
    <x:row r="27" ht="46" customHeight="1">
      <x:c r="A27" s="10" t="s">
        <x:v>780</x:v>
      </x:c>
      <x:c r="B27" s="10" t="s">
        <x:v>17</x:v>
      </x:c>
      <x:c r="C27" s="10" t="s">
        <x:v>797</x:v>
      </x:c>
      <x:c r="D27" s="10" t="s">
        <x:v>172</x:v>
      </x:c>
      <x:c r="E27" s="10" t="s">
        <x:v>805</x:v>
      </x:c>
      <x:c r="F27" s="10" t="s">
        <x:v>799</x:v>
      </x:c>
      <x:c r="G27" s="10" t="s">
        <x:v>800</x:v>
      </x:c>
      <x:c r="H27" s="10" t="s">
        <x:v>801</x:v>
      </x:c>
    </x:row>
    <x:row r="28" ht="46" customHeight="1">
      <x:c r="A28" s="9" t="s">
        <x:v>780</x:v>
      </x:c>
      <x:c r="B28" s="9" t="s">
        <x:v>18</x:v>
      </x:c>
      <x:c r="C28" s="9" t="s">
        <x:v>797</x:v>
      </x:c>
      <x:c r="D28" s="9" t="s">
        <x:v>172</x:v>
      </x:c>
      <x:c r="E28" s="9" t="s">
        <x:v>806</x:v>
      </x:c>
      <x:c r="F28" s="9" t="s">
        <x:v>799</x:v>
      </x:c>
      <x:c r="G28" s="9" t="s">
        <x:v>800</x:v>
      </x:c>
      <x:c r="H28" s="9" t="s">
        <x:v>801</x:v>
      </x:c>
    </x:row>
    <x:row r="29" ht="46" customHeight="1">
      <x:c r="A29" s="10" t="s">
        <x:v>780</x:v>
      </x:c>
      <x:c r="B29" s="10" t="s">
        <x:v>19</x:v>
      </x:c>
      <x:c r="C29" s="10" t="s">
        <x:v>797</x:v>
      </x:c>
      <x:c r="D29" s="10" t="s">
        <x:v>172</x:v>
      </x:c>
      <x:c r="E29" s="10" t="s">
        <x:v>807</x:v>
      </x:c>
      <x:c r="F29" s="10" t="s">
        <x:v>799</x:v>
      </x:c>
      <x:c r="G29" s="10" t="s">
        <x:v>800</x:v>
      </x:c>
      <x:c r="H29" s="10" t="s">
        <x:v>801</x:v>
      </x:c>
    </x:row>
    <x:row r="30" ht="46" customHeight="1">
      <x:c r="A30" s="9" t="s">
        <x:v>780</x:v>
      </x:c>
      <x:c r="B30" s="9" t="s">
        <x:v>20</x:v>
      </x:c>
      <x:c r="C30" s="9" t="s">
        <x:v>797</x:v>
      </x:c>
      <x:c r="D30" s="9" t="s">
        <x:v>172</x:v>
      </x:c>
      <x:c r="E30" s="9" t="s">
        <x:v>808</x:v>
      </x:c>
      <x:c r="F30" s="9" t="s">
        <x:v>799</x:v>
      </x:c>
      <x:c r="G30" s="9" t="s">
        <x:v>800</x:v>
      </x:c>
      <x:c r="H30" s="9" t="s">
        <x:v>801</x:v>
      </x:c>
    </x:row>
    <x:row r="31" ht="46" customHeight="1">
      <x:c r="A31" s="10" t="s">
        <x:v>780</x:v>
      </x:c>
      <x:c r="B31" s="10" t="s">
        <x:v>809</x:v>
      </x:c>
      <x:c r="C31" s="10" t="s">
        <x:v>810</x:v>
      </x:c>
      <x:c r="D31" s="10" t="s">
        <x:v>172</x:v>
      </x:c>
      <x:c r="E31" s="10" t="s">
        <x:v>811</x:v>
      </x:c>
      <x:c r="F31" s="10" t="s">
        <x:v>812</x:v>
      </x:c>
      <x:c r="G31" s="10" t="s">
        <x:v>813</x:v>
      </x:c>
      <x:c r="H31" s="10" t="s">
        <x:v>775</x:v>
      </x:c>
    </x:row>
    <x:row r="32" ht="46" customHeight="1">
      <x:c r="A32" s="9" t="s">
        <x:v>780</x:v>
      </x:c>
      <x:c r="B32" s="9" t="s">
        <x:v>814</x:v>
      </x:c>
      <x:c r="C32" s="9" t="s">
        <x:v>810</x:v>
      </x:c>
      <x:c r="D32" s="9" t="s">
        <x:v>172</x:v>
      </x:c>
      <x:c r="E32" s="9" t="s">
        <x:v>815</x:v>
      </x:c>
      <x:c r="F32" s="9" t="s">
        <x:v>812</x:v>
      </x:c>
      <x:c r="G32" s="9" t="s">
        <x:v>813</x:v>
      </x:c>
      <x:c r="H32" s="9" t="s">
        <x:v>775</x:v>
      </x:c>
    </x:row>
    <x:row r="33" ht="46" customHeight="1">
      <x:c r="A33" s="10" t="s">
        <x:v>780</x:v>
      </x:c>
      <x:c r="B33" s="10" t="s">
        <x:v>816</x:v>
      </x:c>
      <x:c r="C33" s="10" t="s">
        <x:v>810</x:v>
      </x:c>
      <x:c r="D33" s="10" t="s">
        <x:v>172</x:v>
      </x:c>
      <x:c r="E33" s="10" t="s">
        <x:v>817</x:v>
      </x:c>
      <x:c r="F33" s="10" t="s">
        <x:v>812</x:v>
      </x:c>
      <x:c r="G33" s="10" t="s">
        <x:v>813</x:v>
      </x:c>
      <x:c r="H33" s="10" t="s">
        <x:v>775</x:v>
      </x:c>
    </x:row>
    <x:row r="34" ht="46" customHeight="1">
      <x:c r="A34" s="9" t="s">
        <x:v>780</x:v>
      </x:c>
      <x:c r="B34" s="9" t="s">
        <x:v>818</x:v>
      </x:c>
      <x:c r="C34" s="9" t="s">
        <x:v>810</x:v>
      </x:c>
      <x:c r="D34" s="9" t="s">
        <x:v>172</x:v>
      </x:c>
      <x:c r="E34" s="9" t="s">
        <x:v>819</x:v>
      </x:c>
      <x:c r="F34" s="9" t="s">
        <x:v>812</x:v>
      </x:c>
      <x:c r="G34" s="9" t="s">
        <x:v>813</x:v>
      </x:c>
      <x:c r="H34" s="9" t="s">
        <x:v>775</x:v>
      </x:c>
    </x:row>
    <x:row r="35" ht="46" customHeight="1">
      <x:c r="A35" s="10" t="s">
        <x:v>780</x:v>
      </x:c>
      <x:c r="B35" s="10" t="s">
        <x:v>820</x:v>
      </x:c>
      <x:c r="C35" s="10" t="s">
        <x:v>810</x:v>
      </x:c>
      <x:c r="D35" s="10" t="s">
        <x:v>172</x:v>
      </x:c>
      <x:c r="E35" s="10" t="s">
        <x:v>821</x:v>
      </x:c>
      <x:c r="F35" s="10" t="s">
        <x:v>812</x:v>
      </x:c>
      <x:c r="G35" s="10" t="s">
        <x:v>813</x:v>
      </x:c>
      <x:c r="H35" s="10" t="s">
        <x:v>775</x:v>
      </x:c>
    </x:row>
    <x:row r="36" ht="46" customHeight="1">
      <x:c r="A36" s="9" t="s">
        <x:v>780</x:v>
      </x:c>
      <x:c r="B36" s="9" t="s">
        <x:v>822</x:v>
      </x:c>
      <x:c r="C36" s="9" t="s">
        <x:v>810</x:v>
      </x:c>
      <x:c r="D36" s="9" t="s">
        <x:v>172</x:v>
      </x:c>
      <x:c r="E36" s="9" t="s">
        <x:v>823</x:v>
      </x:c>
      <x:c r="F36" s="9" t="s">
        <x:v>812</x:v>
      </x:c>
      <x:c r="G36" s="9" t="s">
        <x:v>813</x:v>
      </x:c>
      <x:c r="H36" s="9" t="s">
        <x:v>775</x:v>
      </x:c>
    </x:row>
    <x:row r="37" ht="46" customHeight="1">
      <x:c r="A37" s="10" t="s">
        <x:v>780</x:v>
      </x:c>
      <x:c r="B37" s="10" t="s">
        <x:v>824</x:v>
      </x:c>
      <x:c r="C37" s="10" t="s">
        <x:v>810</x:v>
      </x:c>
      <x:c r="D37" s="10" t="s">
        <x:v>172</x:v>
      </x:c>
      <x:c r="E37" s="10" t="s">
        <x:v>825</x:v>
      </x:c>
      <x:c r="F37" s="10" t="s">
        <x:v>812</x:v>
      </x:c>
      <x:c r="G37" s="10" t="s">
        <x:v>826</x:v>
      </x:c>
      <x:c r="H37" s="10" t="s">
        <x:v>753</x:v>
      </x:c>
    </x:row>
    <x:row r="38" ht="46" customHeight="1">
      <x:c r="A38" s="9" t="s">
        <x:v>780</x:v>
      </x:c>
      <x:c r="B38" s="9" t="s">
        <x:v>827</x:v>
      </x:c>
      <x:c r="C38" s="9" t="s">
        <x:v>810</x:v>
      </x:c>
      <x:c r="D38" s="9" t="s">
        <x:v>172</x:v>
      </x:c>
      <x:c r="E38" s="9" t="s">
        <x:v>828</x:v>
      </x:c>
      <x:c r="F38" s="9" t="s">
        <x:v>812</x:v>
      </x:c>
      <x:c r="G38" s="9" t="s">
        <x:v>813</x:v>
      </x:c>
      <x:c r="H38" s="9" t="s">
        <x:v>775</x:v>
      </x:c>
    </x:row>
    <x:row r="39" ht="46" customHeight="1">
      <x:c r="A39" s="10" t="s">
        <x:v>780</x:v>
      </x:c>
      <x:c r="B39" s="10" t="s">
        <x:v>829</x:v>
      </x:c>
      <x:c r="C39" s="10" t="s">
        <x:v>810</x:v>
      </x:c>
      <x:c r="D39" s="10" t="s">
        <x:v>172</x:v>
      </x:c>
      <x:c r="E39" s="10" t="s">
        <x:v>830</x:v>
      </x:c>
      <x:c r="F39" s="10" t="s">
        <x:v>812</x:v>
      </x:c>
      <x:c r="G39" s="10" t="s">
        <x:v>813</x:v>
      </x:c>
      <x:c r="H39" s="10" t="s">
        <x:v>775</x:v>
      </x:c>
    </x:row>
    <x:row r="40" ht="46" customHeight="1">
      <x:c r="A40" s="9" t="s">
        <x:v>780</x:v>
      </x:c>
      <x:c r="B40" s="9" t="s">
        <x:v>831</x:v>
      </x:c>
      <x:c r="C40" s="9" t="s">
        <x:v>810</x:v>
      </x:c>
      <x:c r="D40" s="9" t="s">
        <x:v>172</x:v>
      </x:c>
      <x:c r="E40" s="9" t="s">
        <x:v>832</x:v>
      </x:c>
      <x:c r="F40" s="9" t="s">
        <x:v>812</x:v>
      </x:c>
      <x:c r="G40" s="9" t="s">
        <x:v>813</x:v>
      </x:c>
      <x:c r="H40" s="9" t="s">
        <x:v>775</x:v>
      </x:c>
    </x:row>
    <x:row r="41" ht="46" customHeight="1">
      <x:c r="A41" s="10" t="s">
        <x:v>780</x:v>
      </x:c>
      <x:c r="B41" s="10" t="s">
        <x:v>833</x:v>
      </x:c>
      <x:c r="C41" s="10" t="s">
        <x:v>810</x:v>
      </x:c>
      <x:c r="D41" s="10" t="s">
        <x:v>172</x:v>
      </x:c>
      <x:c r="E41" s="10" t="s">
        <x:v>834</x:v>
      </x:c>
      <x:c r="F41" s="10" t="s">
        <x:v>812</x:v>
      </x:c>
      <x:c r="G41" s="10" t="s">
        <x:v>813</x:v>
      </x:c>
      <x:c r="H41" s="10" t="s">
        <x:v>775</x:v>
      </x:c>
    </x:row>
    <x:row r="42" ht="46" customHeight="1">
      <x:c r="A42" s="9" t="s">
        <x:v>780</x:v>
      </x:c>
      <x:c r="B42" s="9" t="s">
        <x:v>835</x:v>
      </x:c>
      <x:c r="C42" s="9" t="s">
        <x:v>810</x:v>
      </x:c>
      <x:c r="D42" s="9" t="s">
        <x:v>172</x:v>
      </x:c>
      <x:c r="E42" s="9" t="s">
        <x:v>836</x:v>
      </x:c>
      <x:c r="F42" s="9" t="s">
        <x:v>812</x:v>
      </x:c>
      <x:c r="G42" s="9" t="s">
        <x:v>813</x:v>
      </x:c>
      <x:c r="H42" s="9" t="s">
        <x:v>775</x:v>
      </x:c>
    </x:row>
    <x:row r="43" ht="46" customHeight="1">
      <x:c r="A43" s="10" t="s">
        <x:v>780</x:v>
      </x:c>
      <x:c r="B43" s="10" t="s">
        <x:v>837</x:v>
      </x:c>
      <x:c r="C43" s="10" t="s">
        <x:v>810</x:v>
      </x:c>
      <x:c r="D43" s="10" t="s">
        <x:v>172</x:v>
      </x:c>
      <x:c r="E43" s="10" t="s">
        <x:v>838</x:v>
      </x:c>
      <x:c r="F43" s="10" t="s">
        <x:v>812</x:v>
      </x:c>
      <x:c r="G43" s="10" t="s">
        <x:v>813</x:v>
      </x:c>
      <x:c r="H43" s="10" t="s">
        <x:v>775</x:v>
      </x:c>
    </x:row>
    <x:row r="44" ht="46" customHeight="1">
      <x:c r="A44" s="9" t="s">
        <x:v>780</x:v>
      </x:c>
      <x:c r="B44" s="9" t="s">
        <x:v>839</x:v>
      </x:c>
      <x:c r="C44" s="9" t="s">
        <x:v>810</x:v>
      </x:c>
      <x:c r="D44" s="9" t="s">
        <x:v>172</x:v>
      </x:c>
      <x:c r="E44" s="9" t="s">
        <x:v>840</x:v>
      </x:c>
      <x:c r="F44" s="9" t="s">
        <x:v>841</x:v>
      </x:c>
      <x:c r="G44" s="9" t="s">
        <x:v>813</x:v>
      </x:c>
      <x:c r="H44" s="9" t="s">
        <x:v>753</x:v>
      </x:c>
    </x:row>
    <x:row r="45" ht="46" customHeight="1">
      <x:c r="A45" s="10" t="s">
        <x:v>826</x:v>
      </x:c>
      <x:c r="B45" s="10" t="s">
        <x:v>23</x:v>
      </x:c>
      <x:c r="C45" s="10" t="s">
        <x:v>842</x:v>
      </x:c>
      <x:c r="D45" s="10" t="s">
        <x:v>172</x:v>
      </x:c>
      <x:c r="E45" s="10" t="s">
        <x:v>843</x:v>
      </x:c>
      <x:c r="F45" s="10" t="s">
        <x:v>844</x:v>
      </x:c>
      <x:c r="G45" s="10" t="s">
        <x:v>845</x:v>
      </x:c>
      <x:c r="H45" s="10" t="s">
        <x:v>775</x:v>
      </x:c>
    </x:row>
    <x:row r="46" ht="46" customHeight="1">
      <x:c r="A46" s="9" t="s">
        <x:v>826</x:v>
      </x:c>
      <x:c r="B46" s="9" t="s">
        <x:v>24</x:v>
      </x:c>
      <x:c r="C46" s="9" t="s">
        <x:v>846</x:v>
      </x:c>
      <x:c r="D46" s="9" t="s">
        <x:v>172</x:v>
      </x:c>
      <x:c r="E46" s="9" t="s">
        <x:v>847</x:v>
      </x:c>
      <x:c r="F46" s="9" t="s">
        <x:v>844</x:v>
      </x:c>
      <x:c r="G46" s="9" t="s">
        <x:v>774</x:v>
      </x:c>
      <x:c r="H46" s="9" t="s">
        <x:v>775</x:v>
      </x:c>
    </x:row>
    <x:row r="47" ht="46" customHeight="1">
      <x:c r="A47" s="10" t="s">
        <x:v>826</x:v>
      </x:c>
      <x:c r="B47" s="10" t="s">
        <x:v>25</x:v>
      </x:c>
      <x:c r="C47" s="10" t="s">
        <x:v>846</x:v>
      </x:c>
      <x:c r="D47" s="10" t="s">
        <x:v>172</x:v>
      </x:c>
      <x:c r="E47" s="10" t="s">
        <x:v>848</x:v>
      </x:c>
      <x:c r="F47" s="10" t="s">
        <x:v>844</x:v>
      </x:c>
      <x:c r="G47" s="10" t="s">
        <x:v>774</x:v>
      </x:c>
      <x:c r="H47" s="10" t="s">
        <x:v>775</x:v>
      </x:c>
    </x:row>
    <x:row r="48" ht="46" customHeight="1">
      <x:c r="A48" s="9" t="s">
        <x:v>826</x:v>
      </x:c>
      <x:c r="B48" s="9" t="s">
        <x:v>26</x:v>
      </x:c>
      <x:c r="C48" s="9" t="s">
        <x:v>846</x:v>
      </x:c>
      <x:c r="D48" s="9" t="s">
        <x:v>172</x:v>
      </x:c>
      <x:c r="E48" s="9" t="s">
        <x:v>849</x:v>
      </x:c>
      <x:c r="F48" s="9" t="s">
        <x:v>844</x:v>
      </x:c>
      <x:c r="G48" s="9" t="s">
        <x:v>774</x:v>
      </x:c>
      <x:c r="H48" s="9" t="s">
        <x:v>775</x:v>
      </x:c>
    </x:row>
    <x:row r="49" ht="46" customHeight="1">
      <x:c r="A49" s="10" t="s">
        <x:v>826</x:v>
      </x:c>
      <x:c r="B49" s="10" t="s">
        <x:v>27</x:v>
      </x:c>
      <x:c r="C49" s="10" t="s">
        <x:v>846</x:v>
      </x:c>
      <x:c r="D49" s="10" t="s">
        <x:v>172</x:v>
      </x:c>
      <x:c r="E49" s="10" t="s">
        <x:v>850</x:v>
      </x:c>
      <x:c r="F49" s="10" t="s">
        <x:v>844</x:v>
      </x:c>
      <x:c r="G49" s="10" t="s">
        <x:v>774</x:v>
      </x:c>
      <x:c r="H49" s="10" t="s">
        <x:v>775</x:v>
      </x:c>
    </x:row>
    <x:row r="50" ht="46" customHeight="1">
      <x:c r="A50" s="9" t="s">
        <x:v>826</x:v>
      </x:c>
      <x:c r="B50" s="9" t="s">
        <x:v>28</x:v>
      </x:c>
      <x:c r="C50" s="9" t="s">
        <x:v>846</x:v>
      </x:c>
      <x:c r="D50" s="9" t="s">
        <x:v>172</x:v>
      </x:c>
      <x:c r="E50" s="9" t="s">
        <x:v>851</x:v>
      </x:c>
      <x:c r="F50" s="9" t="s">
        <x:v>844</x:v>
      </x:c>
      <x:c r="G50" s="9" t="s">
        <x:v>774</x:v>
      </x:c>
      <x:c r="H50" s="9" t="s">
        <x:v>775</x:v>
      </x:c>
    </x:row>
    <x:row r="51" ht="46" customHeight="1">
      <x:c r="A51" s="10" t="s">
        <x:v>826</x:v>
      </x:c>
      <x:c r="B51" s="10" t="s">
        <x:v>29</x:v>
      </x:c>
      <x:c r="C51" s="10" t="s">
        <x:v>771</x:v>
      </x:c>
      <x:c r="D51" s="10" t="s">
        <x:v>172</x:v>
      </x:c>
      <x:c r="E51" s="10" t="s">
        <x:v>852</x:v>
      </x:c>
      <x:c r="F51" s="10" t="s">
        <x:v>844</x:v>
      </x:c>
      <x:c r="G51" s="10" t="s">
        <x:v>853</x:v>
      </x:c>
      <x:c r="H51" s="10" t="s">
        <x:v>801</x:v>
      </x:c>
    </x:row>
    <x:row r="52" ht="46" customHeight="1">
      <x:c r="A52" s="9" t="s">
        <x:v>826</x:v>
      </x:c>
      <x:c r="B52" s="9" t="s">
        <x:v>30</x:v>
      </x:c>
      <x:c r="C52" s="9" t="s">
        <x:v>771</x:v>
      </x:c>
      <x:c r="D52" s="9" t="s">
        <x:v>172</x:v>
      </x:c>
      <x:c r="E52" s="9" t="s">
        <x:v>854</x:v>
      </x:c>
      <x:c r="F52" s="9" t="s">
        <x:v>844</x:v>
      </x:c>
      <x:c r="G52" s="9" t="s">
        <x:v>774</x:v>
      </x:c>
      <x:c r="H52" s="9" t="s">
        <x:v>775</x:v>
      </x:c>
    </x:row>
    <x:row r="53" ht="46" customHeight="1">
      <x:c r="A53" s="10" t="s">
        <x:v>826</x:v>
      </x:c>
      <x:c r="B53" s="10" t="s">
        <x:v>31</x:v>
      </x:c>
      <x:c r="C53" s="10" t="s">
        <x:v>771</x:v>
      </x:c>
      <x:c r="D53" s="10" t="s">
        <x:v>172</x:v>
      </x:c>
      <x:c r="E53" s="10" t="s">
        <x:v>855</x:v>
      </x:c>
      <x:c r="F53" s="10" t="s">
        <x:v>844</x:v>
      </x:c>
      <x:c r="G53" s="10" t="s">
        <x:v>774</x:v>
      </x:c>
      <x:c r="H53" s="10" t="s">
        <x:v>775</x:v>
      </x:c>
    </x:row>
    <x:row r="54" ht="46" customHeight="1">
      <x:c r="A54" s="9" t="s">
        <x:v>826</x:v>
      </x:c>
      <x:c r="B54" s="9" t="s">
        <x:v>41</x:v>
      </x:c>
      <x:c r="C54" s="9" t="s">
        <x:v>856</x:v>
      </x:c>
      <x:c r="D54" s="9" t="s">
        <x:v>172</x:v>
      </x:c>
      <x:c r="E54" s="9" t="s">
        <x:v>857</x:v>
      </x:c>
      <x:c r="F54" s="9" t="s">
        <x:v>844</x:v>
      </x:c>
      <x:c r="G54" s="9" t="s">
        <x:v>774</x:v>
      </x:c>
      <x:c r="H54" s="9" t="s">
        <x:v>775</x:v>
      </x:c>
    </x:row>
    <x:row r="55" ht="46" customHeight="1">
      <x:c r="A55" s="10" t="s">
        <x:v>826</x:v>
      </x:c>
      <x:c r="B55" s="10" t="s">
        <x:v>42</x:v>
      </x:c>
      <x:c r="C55" s="10" t="s">
        <x:v>856</x:v>
      </x:c>
      <x:c r="D55" s="10" t="s">
        <x:v>172</x:v>
      </x:c>
      <x:c r="E55" s="10" t="s">
        <x:v>858</x:v>
      </x:c>
      <x:c r="F55" s="10" t="s">
        <x:v>844</x:v>
      </x:c>
      <x:c r="G55" s="10" t="s">
        <x:v>774</x:v>
      </x:c>
      <x:c r="H55" s="10" t="s">
        <x:v>775</x:v>
      </x:c>
    </x:row>
    <x:row r="56" ht="46" customHeight="1">
      <x:c r="A56" s="9" t="s">
        <x:v>826</x:v>
      </x:c>
      <x:c r="B56" s="9" t="s">
        <x:v>33</x:v>
      </x:c>
      <x:c r="C56" s="9" t="s">
        <x:v>856</x:v>
      </x:c>
      <x:c r="D56" s="9" t="s">
        <x:v>172</x:v>
      </x:c>
      <x:c r="E56" s="9" t="s">
        <x:v>859</x:v>
      </x:c>
      <x:c r="F56" s="9" t="s">
        <x:v>844</x:v>
      </x:c>
      <x:c r="G56" s="9" t="s">
        <x:v>774</x:v>
      </x:c>
      <x:c r="H56" s="9" t="s">
        <x:v>775</x:v>
      </x:c>
    </x:row>
    <x:row r="57" ht="46" customHeight="1">
      <x:c r="A57" s="10" t="s">
        <x:v>826</x:v>
      </x:c>
      <x:c r="B57" s="10" t="s">
        <x:v>43</x:v>
      </x:c>
      <x:c r="C57" s="10" t="s">
        <x:v>856</x:v>
      </x:c>
      <x:c r="D57" s="10" t="s">
        <x:v>172</x:v>
      </x:c>
      <x:c r="E57" s="10" t="s">
        <x:v>860</x:v>
      </x:c>
      <x:c r="F57" s="10" t="s">
        <x:v>844</x:v>
      </x:c>
      <x:c r="G57" s="10" t="s">
        <x:v>774</x:v>
      </x:c>
      <x:c r="H57" s="10" t="s">
        <x:v>775</x:v>
      </x:c>
    </x:row>
    <x:row r="58" ht="46" customHeight="1">
      <x:c r="A58" s="9" t="s">
        <x:v>826</x:v>
      </x:c>
      <x:c r="B58" s="9" t="s">
        <x:v>44</x:v>
      </x:c>
      <x:c r="C58" s="9" t="s">
        <x:v>856</x:v>
      </x:c>
      <x:c r="D58" s="9" t="s">
        <x:v>172</x:v>
      </x:c>
      <x:c r="E58" s="9" t="s">
        <x:v>861</x:v>
      </x:c>
      <x:c r="F58" s="9" t="s">
        <x:v>844</x:v>
      </x:c>
      <x:c r="G58" s="9" t="s">
        <x:v>774</x:v>
      </x:c>
      <x:c r="H58" s="9" t="s">
        <x:v>775</x:v>
      </x:c>
    </x:row>
    <x:row r="59" ht="46" customHeight="1">
      <x:c r="A59" s="10" t="s">
        <x:v>826</x:v>
      </x:c>
      <x:c r="B59" s="10" t="s">
        <x:v>45</x:v>
      </x:c>
      <x:c r="C59" s="10" t="s">
        <x:v>856</x:v>
      </x:c>
      <x:c r="D59" s="10" t="s">
        <x:v>172</x:v>
      </x:c>
      <x:c r="E59" s="10" t="s">
        <x:v>862</x:v>
      </x:c>
      <x:c r="F59" s="10" t="s">
        <x:v>844</x:v>
      </x:c>
      <x:c r="G59" s="10" t="s">
        <x:v>774</x:v>
      </x:c>
      <x:c r="H59" s="10" t="s">
        <x:v>775</x:v>
      </x:c>
    </x:row>
    <x:row r="60" ht="46" customHeight="1">
      <x:c r="A60" s="9" t="s">
        <x:v>826</x:v>
      </x:c>
      <x:c r="B60" s="9" t="s">
        <x:v>14</x:v>
      </x:c>
      <x:c r="C60" s="9" t="s">
        <x:v>863</x:v>
      </x:c>
      <x:c r="D60" s="9" t="s">
        <x:v>172</x:v>
      </x:c>
      <x:c r="E60" s="9" t="s">
        <x:v>864</x:v>
      </x:c>
      <x:c r="F60" s="9" t="s">
        <x:v>865</x:v>
      </x:c>
      <x:c r="G60" s="9" t="s">
        <x:v>800</x:v>
      </x:c>
      <x:c r="H60" s="9" t="s">
        <x:v>801</x:v>
      </x:c>
    </x:row>
    <x:row r="61" ht="46" customHeight="1">
      <x:c r="A61" s="10" t="s">
        <x:v>826</x:v>
      </x:c>
      <x:c r="B61" s="10" t="s">
        <x:v>15</x:v>
      </x:c>
      <x:c r="C61" s="10" t="s">
        <x:v>863</x:v>
      </x:c>
      <x:c r="D61" s="10" t="s">
        <x:v>172</x:v>
      </x:c>
      <x:c r="E61" s="10" t="s">
        <x:v>866</x:v>
      </x:c>
      <x:c r="F61" s="10" t="s">
        <x:v>865</x:v>
      </x:c>
      <x:c r="G61" s="10" t="s">
        <x:v>800</x:v>
      </x:c>
      <x:c r="H61" s="10" t="s">
        <x:v>801</x:v>
      </x:c>
    </x:row>
    <x:row r="62" ht="46" customHeight="1">
      <x:c r="A62" s="9" t="s">
        <x:v>826</x:v>
      </x:c>
      <x:c r="B62" s="9" t="s">
        <x:v>16</x:v>
      </x:c>
      <x:c r="C62" s="9" t="s">
        <x:v>863</x:v>
      </x:c>
      <x:c r="D62" s="9" t="s">
        <x:v>172</x:v>
      </x:c>
      <x:c r="E62" s="9" t="s">
        <x:v>867</x:v>
      </x:c>
      <x:c r="F62" s="9" t="s">
        <x:v>865</x:v>
      </x:c>
      <x:c r="G62" s="9" t="s">
        <x:v>800</x:v>
      </x:c>
      <x:c r="H62" s="9" t="s">
        <x:v>801</x:v>
      </x:c>
    </x:row>
    <x:row r="63" ht="46" customHeight="1">
      <x:c r="A63" s="10" t="s">
        <x:v>826</x:v>
      </x:c>
      <x:c r="B63" s="10" t="s">
        <x:v>46</x:v>
      </x:c>
      <x:c r="C63" s="10" t="s">
        <x:v>863</x:v>
      </x:c>
      <x:c r="D63" s="10" t="s">
        <x:v>172</x:v>
      </x:c>
      <x:c r="E63" s="10" t="s">
        <x:v>805</x:v>
      </x:c>
      <x:c r="F63" s="10" t="s">
        <x:v>865</x:v>
      </x:c>
      <x:c r="G63" s="10" t="s">
        <x:v>800</x:v>
      </x:c>
      <x:c r="H63" s="10" t="s">
        <x:v>801</x:v>
      </x:c>
    </x:row>
    <x:row r="64" ht="46" customHeight="1">
      <x:c r="A64" s="9" t="s">
        <x:v>826</x:v>
      </x:c>
      <x:c r="B64" s="9" t="s">
        <x:v>47</x:v>
      </x:c>
      <x:c r="C64" s="9" t="s">
        <x:v>856</x:v>
      </x:c>
      <x:c r="D64" s="9" t="s">
        <x:v>172</x:v>
      </x:c>
      <x:c r="E64" s="9" t="s">
        <x:v>859</x:v>
      </x:c>
      <x:c r="F64" s="9" t="s">
        <x:v>844</x:v>
      </x:c>
      <x:c r="G64" s="9" t="s">
        <x:v>774</x:v>
      </x:c>
      <x:c r="H64" s="9" t="s">
        <x:v>775</x:v>
      </x:c>
    </x:row>
    <x:row r="65" ht="46" customHeight="1">
      <x:c r="A65" s="10" t="s">
        <x:v>826</x:v>
      </x:c>
      <x:c r="B65" s="10" t="s">
        <x:v>48</x:v>
      </x:c>
      <x:c r="C65" s="10" t="s">
        <x:v>863</x:v>
      </x:c>
      <x:c r="D65" s="10" t="s">
        <x:v>172</x:v>
      </x:c>
      <x:c r="E65" s="10" t="s">
        <x:v>868</x:v>
      </x:c>
      <x:c r="F65" s="10" t="s">
        <x:v>865</x:v>
      </x:c>
      <x:c r="G65" s="10" t="s">
        <x:v>800</x:v>
      </x:c>
      <x:c r="H65" s="10" t="s">
        <x:v>801</x:v>
      </x:c>
    </x:row>
    <x:row r="66" ht="46" customHeight="1">
      <x:c r="A66" s="9" t="s">
        <x:v>826</x:v>
      </x:c>
      <x:c r="B66" s="9" t="s">
        <x:v>49</x:v>
      </x:c>
      <x:c r="C66" s="9" t="s">
        <x:v>863</x:v>
      </x:c>
      <x:c r="D66" s="9" t="s">
        <x:v>172</x:v>
      </x:c>
      <x:c r="E66" s="9" t="s">
        <x:v>869</x:v>
      </x:c>
      <x:c r="F66" s="9" t="s">
        <x:v>865</x:v>
      </x:c>
      <x:c r="G66" s="9" t="s">
        <x:v>800</x:v>
      </x:c>
      <x:c r="H66" s="9" t="s">
        <x:v>801</x:v>
      </x:c>
    </x:row>
    <x:row r="67" ht="46" customHeight="1">
      <x:c r="A67" s="10" t="s">
        <x:v>826</x:v>
      </x:c>
      <x:c r="B67" s="10" t="s">
        <x:v>5</x:v>
      </x:c>
      <x:c r="C67" s="10" t="s">
        <x:v>870</x:v>
      </x:c>
      <x:c r="D67" s="10" t="s">
        <x:v>172</x:v>
      </x:c>
      <x:c r="E67" s="10" t="s">
        <x:v>871</x:v>
      </x:c>
      <x:c r="F67" s="10" t="s">
        <x:v>844</x:v>
      </x:c>
      <x:c r="G67" s="10" t="s">
        <x:v>774</x:v>
      </x:c>
      <x:c r="H67" s="10" t="s">
        <x:v>775</x:v>
      </x:c>
    </x:row>
    <x:row r="68" ht="46" customHeight="1">
      <x:c r="A68" s="9" t="s">
        <x:v>826</x:v>
      </x:c>
      <x:c r="B68" s="9" t="s">
        <x:v>50</x:v>
      </x:c>
      <x:c r="C68" s="9" t="s">
        <x:v>870</x:v>
      </x:c>
      <x:c r="D68" s="9" t="s">
        <x:v>172</x:v>
      </x:c>
      <x:c r="E68" s="9" t="s">
        <x:v>872</x:v>
      </x:c>
      <x:c r="F68" s="9" t="s">
        <x:v>844</x:v>
      </x:c>
      <x:c r="G68" s="9" t="s">
        <x:v>774</x:v>
      </x:c>
      <x:c r="H68" s="9" t="s">
        <x:v>775</x:v>
      </x:c>
    </x:row>
    <x:row r="69" ht="46" customHeight="1">
      <x:c r="A69" s="10" t="s">
        <x:v>826</x:v>
      </x:c>
      <x:c r="B69" s="10" t="s">
        <x:v>51</x:v>
      </x:c>
      <x:c r="C69" s="10" t="s">
        <x:v>870</x:v>
      </x:c>
      <x:c r="D69" s="10" t="s">
        <x:v>172</x:v>
      </x:c>
      <x:c r="E69" s="10" t="s">
        <x:v>873</x:v>
      </x:c>
      <x:c r="F69" s="10" t="s">
        <x:v>844</x:v>
      </x:c>
      <x:c r="G69" s="10" t="s">
        <x:v>774</x:v>
      </x:c>
      <x:c r="H69" s="10" t="s">
        <x:v>775</x:v>
      </x:c>
    </x:row>
    <x:row r="70" ht="46" customHeight="1">
      <x:c r="A70" s="9" t="s">
        <x:v>826</x:v>
      </x:c>
      <x:c r="B70" s="9" t="s">
        <x:v>52</x:v>
      </x:c>
      <x:c r="C70" s="9" t="s">
        <x:v>870</x:v>
      </x:c>
      <x:c r="D70" s="9" t="s">
        <x:v>172</x:v>
      </x:c>
      <x:c r="E70" s="9" t="s">
        <x:v>874</x:v>
      </x:c>
      <x:c r="F70" s="9" t="s">
        <x:v>844</x:v>
      </x:c>
      <x:c r="G70" s="9" t="s">
        <x:v>774</x:v>
      </x:c>
      <x:c r="H70" s="9" t="s">
        <x:v>775</x:v>
      </x:c>
    </x:row>
    <x:row r="71" ht="46" customHeight="1">
      <x:c r="A71" s="10" t="s">
        <x:v>826</x:v>
      </x:c>
      <x:c r="B71" s="10" t="s">
        <x:v>18</x:v>
      </x:c>
      <x:c r="C71" s="10" t="s">
        <x:v>875</x:v>
      </x:c>
      <x:c r="D71" s="10" t="s">
        <x:v>172</x:v>
      </x:c>
      <x:c r="E71" s="10" t="s">
        <x:v>876</x:v>
      </x:c>
      <x:c r="F71" s="10" t="s">
        <x:v>865</x:v>
      </x:c>
      <x:c r="G71" s="10" t="s">
        <x:v>800</x:v>
      </x:c>
      <x:c r="H71" s="10" t="s">
        <x:v>801</x:v>
      </x:c>
    </x:row>
    <x:row r="72" ht="46" customHeight="1">
      <x:c r="A72" s="9" t="s">
        <x:v>826</x:v>
      </x:c>
      <x:c r="B72" s="9" t="s">
        <x:v>53</x:v>
      </x:c>
      <x:c r="C72" s="9" t="s">
        <x:v>875</x:v>
      </x:c>
      <x:c r="D72" s="9" t="s">
        <x:v>172</x:v>
      </x:c>
      <x:c r="E72" s="9" t="s">
        <x:v>877</x:v>
      </x:c>
      <x:c r="F72" s="9" t="s">
        <x:v>865</x:v>
      </x:c>
      <x:c r="G72" s="9" t="s">
        <x:v>800</x:v>
      </x:c>
      <x:c r="H72" s="9" t="s">
        <x:v>801</x:v>
      </x:c>
    </x:row>
    <x:row r="73" ht="46" customHeight="1">
      <x:c r="A73" s="10" t="s">
        <x:v>826</x:v>
      </x:c>
      <x:c r="B73" s="10" t="s">
        <x:v>54</x:v>
      </x:c>
      <x:c r="C73" s="10" t="s">
        <x:v>875</x:v>
      </x:c>
      <x:c r="D73" s="10" t="s">
        <x:v>172</x:v>
      </x:c>
      <x:c r="E73" s="10" t="s">
        <x:v>878</x:v>
      </x:c>
      <x:c r="F73" s="10" t="s">
        <x:v>865</x:v>
      </x:c>
      <x:c r="G73" s="10" t="s">
        <x:v>800</x:v>
      </x:c>
      <x:c r="H73" s="10" t="s">
        <x:v>801</x:v>
      </x:c>
    </x:row>
    <x:row r="74" ht="46" customHeight="1">
      <x:c r="A74" s="9" t="s">
        <x:v>826</x:v>
      </x:c>
      <x:c r="B74" s="9" t="s">
        <x:v>19</x:v>
      </x:c>
      <x:c r="C74" s="9" t="s">
        <x:v>875</x:v>
      </x:c>
      <x:c r="D74" s="9" t="s">
        <x:v>172</x:v>
      </x:c>
      <x:c r="E74" s="9" t="s">
        <x:v>879</x:v>
      </x:c>
      <x:c r="F74" s="9" t="s">
        <x:v>865</x:v>
      </x:c>
      <x:c r="G74" s="9" t="s">
        <x:v>800</x:v>
      </x:c>
      <x:c r="H74" s="9" t="s">
        <x:v>801</x:v>
      </x:c>
    </x:row>
    <x:row r="75" ht="46" customHeight="1">
      <x:c r="A75" s="10" t="s">
        <x:v>826</x:v>
      </x:c>
      <x:c r="B75" s="10" t="s">
        <x:v>55</x:v>
      </x:c>
      <x:c r="C75" s="10" t="s">
        <x:v>875</x:v>
      </x:c>
      <x:c r="D75" s="10" t="s">
        <x:v>172</x:v>
      </x:c>
      <x:c r="E75" s="10" t="s">
        <x:v>880</x:v>
      </x:c>
      <x:c r="F75" s="10" t="s">
        <x:v>865</x:v>
      </x:c>
      <x:c r="G75" s="10" t="s">
        <x:v>800</x:v>
      </x:c>
      <x:c r="H75" s="10" t="s">
        <x:v>801</x:v>
      </x:c>
    </x:row>
    <x:row r="76" ht="46" customHeight="1">
      <x:c r="A76" s="9" t="s">
        <x:v>826</x:v>
      </x:c>
      <x:c r="B76" s="9" t="s">
        <x:v>56</x:v>
      </x:c>
      <x:c r="C76" s="9" t="s">
        <x:v>875</x:v>
      </x:c>
      <x:c r="D76" s="9" t="s">
        <x:v>172</x:v>
      </x:c>
      <x:c r="E76" s="9" t="s">
        <x:v>878</x:v>
      </x:c>
      <x:c r="F76" s="9" t="s">
        <x:v>865</x:v>
      </x:c>
      <x:c r="G76" s="9" t="s">
        <x:v>800</x:v>
      </x:c>
      <x:c r="H76" s="9" t="s">
        <x:v>801</x:v>
      </x:c>
    </x:row>
    <x:row r="77" ht="46" customHeight="1">
      <x:c r="A77" s="10" t="s">
        <x:v>826</x:v>
      </x:c>
      <x:c r="B77" s="10" t="s">
        <x:v>20</x:v>
      </x:c>
      <x:c r="C77" s="10" t="s">
        <x:v>863</x:v>
      </x:c>
      <x:c r="D77" s="10" t="s">
        <x:v>172</x:v>
      </x:c>
      <x:c r="E77" s="10" t="s">
        <x:v>881</x:v>
      </x:c>
      <x:c r="F77" s="10" t="s">
        <x:v>865</x:v>
      </x:c>
      <x:c r="G77" s="10" t="s">
        <x:v>800</x:v>
      </x:c>
      <x:c r="H77" s="10" t="s">
        <x:v>801</x:v>
      </x:c>
    </x:row>
    <x:row r="78" ht="46" customHeight="1">
      <x:c r="A78" s="9" t="s">
        <x:v>826</x:v>
      </x:c>
      <x:c r="B78" s="9" t="s">
        <x:v>35</x:v>
      </x:c>
      <x:c r="C78" s="9" t="s">
        <x:v>882</x:v>
      </x:c>
      <x:c r="D78" s="9" t="s">
        <x:v>172</x:v>
      </x:c>
      <x:c r="E78" s="9" t="s">
        <x:v>883</x:v>
      </x:c>
      <x:c r="F78" s="9" t="s">
        <x:v>844</x:v>
      </x:c>
      <x:c r="G78" s="9" t="s">
        <x:v>794</x:v>
      </x:c>
      <x:c r="H78" s="9" t="s">
        <x:v>775</x:v>
      </x:c>
    </x:row>
    <x:row r="79" ht="46" customHeight="1">
      <x:c r="A79" s="10" t="s">
        <x:v>826</x:v>
      </x:c>
      <x:c r="B79" s="10" t="s">
        <x:v>57</x:v>
      </x:c>
      <x:c r="C79" s="10" t="s">
        <x:v>882</x:v>
      </x:c>
      <x:c r="D79" s="10" t="s">
        <x:v>172</x:v>
      </x:c>
      <x:c r="E79" s="10" t="s">
        <x:v>884</x:v>
      </x:c>
      <x:c r="F79" s="10" t="s">
        <x:v>844</x:v>
      </x:c>
      <x:c r="G79" s="10" t="s">
        <x:v>794</x:v>
      </x:c>
      <x:c r="H79" s="10" t="s">
        <x:v>775</x:v>
      </x:c>
    </x:row>
    <x:row r="80" ht="46" customHeight="1">
      <x:c r="A80" s="9" t="s">
        <x:v>826</x:v>
      </x:c>
      <x:c r="B80" s="9" t="s">
        <x:v>58</x:v>
      </x:c>
      <x:c r="C80" s="9" t="s">
        <x:v>882</x:v>
      </x:c>
      <x:c r="D80" s="9" t="s">
        <x:v>172</x:v>
      </x:c>
      <x:c r="E80" s="9" t="s">
        <x:v>885</x:v>
      </x:c>
      <x:c r="F80" s="9" t="s">
        <x:v>844</x:v>
      </x:c>
      <x:c r="G80" s="9" t="s">
        <x:v>794</x:v>
      </x:c>
      <x:c r="H80" s="9" t="s">
        <x:v>775</x:v>
      </x:c>
    </x:row>
    <x:row r="81" ht="46" customHeight="1">
      <x:c r="A81" s="10" t="s">
        <x:v>826</x:v>
      </x:c>
      <x:c r="B81" s="10" t="s">
        <x:v>59</x:v>
      </x:c>
      <x:c r="C81" s="10" t="s">
        <x:v>882</x:v>
      </x:c>
      <x:c r="D81" s="10" t="s">
        <x:v>172</x:v>
      </x:c>
      <x:c r="E81" s="10" t="s">
        <x:v>886</x:v>
      </x:c>
      <x:c r="F81" s="10" t="s">
        <x:v>844</x:v>
      </x:c>
      <x:c r="G81" s="10" t="s">
        <x:v>794</x:v>
      </x:c>
      <x:c r="H81" s="10" t="s">
        <x:v>775</x:v>
      </x:c>
    </x:row>
    <x:row r="82" ht="46" customHeight="1">
      <x:c r="A82" s="9" t="s">
        <x:v>826</x:v>
      </x:c>
      <x:c r="B82" s="9" t="s">
        <x:v>60</x:v>
      </x:c>
      <x:c r="C82" s="9" t="s">
        <x:v>887</x:v>
      </x:c>
      <x:c r="D82" s="9" t="s">
        <x:v>172</x:v>
      </x:c>
      <x:c r="E82" s="9" t="s">
        <x:v>888</x:v>
      </x:c>
      <x:c r="F82" s="9" t="s">
        <x:v>844</x:v>
      </x:c>
      <x:c r="G82" s="9" t="s">
        <x:v>889</x:v>
      </x:c>
      <x:c r="H82" s="9" t="s">
        <x:v>775</x:v>
      </x:c>
    </x:row>
    <x:row r="83" ht="46" customHeight="1">
      <x:c r="A83" s="10" t="s">
        <x:v>826</x:v>
      </x:c>
      <x:c r="B83" s="10" t="s">
        <x:v>61</x:v>
      </x:c>
      <x:c r="C83" s="10" t="s">
        <x:v>890</x:v>
      </x:c>
      <x:c r="D83" s="10" t="s">
        <x:v>172</x:v>
      </x:c>
      <x:c r="E83" s="10" t="s">
        <x:v>891</x:v>
      </x:c>
      <x:c r="F83" s="10" t="s">
        <x:v>844</x:v>
      </x:c>
      <x:c r="G83" s="10" t="s">
        <x:v>800</x:v>
      </x:c>
      <x:c r="H83" s="10" t="s">
        <x:v>801</x:v>
      </x:c>
    </x:row>
    <x:row r="84" ht="46" customHeight="1">
      <x:c r="A84" s="9" t="s">
        <x:v>826</x:v>
      </x:c>
      <x:c r="B84" s="9" t="s">
        <x:v>62</x:v>
      </x:c>
      <x:c r="C84" s="9" t="s">
        <x:v>892</x:v>
      </x:c>
      <x:c r="D84" s="9" t="s">
        <x:v>172</x:v>
      </x:c>
      <x:c r="E84" s="9" t="s">
        <x:v>893</x:v>
      </x:c>
      <x:c r="F84" s="9" t="s">
        <x:v>844</x:v>
      </x:c>
      <x:c r="G84" s="9" t="s">
        <x:v>765</x:v>
      </x:c>
      <x:c r="H84" s="9" t="s">
        <x:v>766</x:v>
      </x:c>
    </x:row>
    <x:row r="85" ht="46" customHeight="1">
      <x:c r="A85" s="10" t="s">
        <x:v>826</x:v>
      </x:c>
      <x:c r="B85" s="10" t="s">
        <x:v>63</x:v>
      </x:c>
      <x:c r="C85" s="10" t="s">
        <x:v>892</x:v>
      </x:c>
      <x:c r="D85" s="10" t="s">
        <x:v>172</x:v>
      </x:c>
      <x:c r="E85" s="10" t="s">
        <x:v>893</x:v>
      </x:c>
      <x:c r="F85" s="10" t="s">
        <x:v>844</x:v>
      </x:c>
      <x:c r="G85" s="10" t="s">
        <x:v>765</x:v>
      </x:c>
      <x:c r="H85" s="10" t="s">
        <x:v>766</x:v>
      </x:c>
    </x:row>
    <x:row r="86" ht="46" customHeight="1">
      <x:c r="A86" s="9" t="s">
        <x:v>826</x:v>
      </x:c>
      <x:c r="B86" s="9" t="s">
        <x:v>64</x:v>
      </x:c>
      <x:c r="C86" s="9" t="s">
        <x:v>892</x:v>
      </x:c>
      <x:c r="D86" s="9" t="s">
        <x:v>172</x:v>
      </x:c>
      <x:c r="E86" s="9" t="s">
        <x:v>893</x:v>
      </x:c>
      <x:c r="F86" s="9" t="s">
        <x:v>844</x:v>
      </x:c>
      <x:c r="G86" s="9" t="s">
        <x:v>765</x:v>
      </x:c>
      <x:c r="H86" s="9" t="s">
        <x:v>766</x:v>
      </x:c>
    </x:row>
    <x:row r="87" ht="46" customHeight="1">
      <x:c r="A87" s="10" t="s">
        <x:v>826</x:v>
      </x:c>
      <x:c r="B87" s="10" t="s">
        <x:v>65</x:v>
      </x:c>
      <x:c r="C87" s="10" t="s">
        <x:v>892</x:v>
      </x:c>
      <x:c r="D87" s="10" t="s">
        <x:v>172</x:v>
      </x:c>
      <x:c r="E87" s="10" t="s">
        <x:v>893</x:v>
      </x:c>
      <x:c r="F87" s="10" t="s">
        <x:v>844</x:v>
      </x:c>
      <x:c r="G87" s="10" t="s">
        <x:v>765</x:v>
      </x:c>
      <x:c r="H87" s="10" t="s">
        <x:v>766</x:v>
      </x:c>
    </x:row>
    <x:row r="88" ht="46" customHeight="1">
      <x:c r="A88" s="9" t="s">
        <x:v>826</x:v>
      </x:c>
      <x:c r="B88" s="9" t="s">
        <x:v>66</x:v>
      </x:c>
      <x:c r="C88" s="9" t="s">
        <x:v>892</x:v>
      </x:c>
      <x:c r="D88" s="9" t="s">
        <x:v>172</x:v>
      </x:c>
      <x:c r="E88" s="9" t="s">
        <x:v>893</x:v>
      </x:c>
      <x:c r="F88" s="9" t="s">
        <x:v>844</x:v>
      </x:c>
      <x:c r="G88" s="9" t="s">
        <x:v>765</x:v>
      </x:c>
      <x:c r="H88" s="9" t="s">
        <x:v>766</x:v>
      </x:c>
    </x:row>
    <x:row r="89" ht="46" customHeight="1">
      <x:c r="A89" s="10" t="s">
        <x:v>894</x:v>
      </x:c>
      <x:c r="B89" s="10" t="s">
        <x:v>79</x:v>
      </x:c>
      <x:c r="C89" s="10" t="s">
        <x:v>895</x:v>
      </x:c>
      <x:c r="D89" s="10" t="s">
        <x:v>172</x:v>
      </x:c>
      <x:c r="E89" s="10" t="s">
        <x:v>896</x:v>
      </x:c>
      <x:c r="F89" s="10" t="s">
        <x:v>897</x:v>
      </x:c>
      <x:c r="G89" s="10" t="s">
        <x:v>845</x:v>
      </x:c>
      <x:c r="H89" s="10" t="s">
        <x:v>775</x:v>
      </x:c>
    </x:row>
    <x:row r="90" ht="46" customHeight="1">
      <x:c r="A90" s="9" t="s">
        <x:v>894</x:v>
      </x:c>
      <x:c r="B90" s="9" t="s">
        <x:v>898</x:v>
      </x:c>
      <x:c r="C90" s="9" t="s">
        <x:v>771</x:v>
      </x:c>
      <x:c r="D90" s="9" t="s">
        <x:v>172</x:v>
      </x:c>
      <x:c r="E90" s="9" t="s">
        <x:v>899</x:v>
      </x:c>
      <x:c r="F90" s="9" t="s">
        <x:v>897</x:v>
      </x:c>
      <x:c r="G90" s="9" t="s">
        <x:v>774</x:v>
      </x:c>
      <x:c r="H90" s="9" t="s">
        <x:v>775</x:v>
      </x:c>
    </x:row>
    <x:row r="91" ht="46" customHeight="1">
      <x:c r="A91" s="10" t="s">
        <x:v>894</x:v>
      </x:c>
      <x:c r="B91" s="10" t="s">
        <x:v>900</x:v>
      </x:c>
      <x:c r="C91" s="10" t="s">
        <x:v>771</x:v>
      </x:c>
      <x:c r="D91" s="10" t="s">
        <x:v>172</x:v>
      </x:c>
      <x:c r="E91" s="10" t="s">
        <x:v>847</x:v>
      </x:c>
      <x:c r="F91" s="10" t="s">
        <x:v>897</x:v>
      </x:c>
      <x:c r="G91" s="10" t="s">
        <x:v>774</x:v>
      </x:c>
      <x:c r="H91" s="10" t="s">
        <x:v>775</x:v>
      </x:c>
    </x:row>
    <x:row r="92" ht="46" customHeight="1">
      <x:c r="A92" s="9" t="s">
        <x:v>894</x:v>
      </x:c>
      <x:c r="B92" s="9" t="s">
        <x:v>901</x:v>
      </x:c>
      <x:c r="C92" s="9" t="s">
        <x:v>771</x:v>
      </x:c>
      <x:c r="D92" s="9" t="s">
        <x:v>172</x:v>
      </x:c>
      <x:c r="E92" s="9" t="s">
        <x:v>848</x:v>
      </x:c>
      <x:c r="F92" s="9" t="s">
        <x:v>897</x:v>
      </x:c>
      <x:c r="G92" s="9" t="s">
        <x:v>774</x:v>
      </x:c>
      <x:c r="H92" s="9" t="s">
        <x:v>775</x:v>
      </x:c>
    </x:row>
    <x:row r="93" ht="46" customHeight="1">
      <x:c r="A93" s="10" t="s">
        <x:v>894</x:v>
      </x:c>
      <x:c r="B93" s="10" t="s">
        <x:v>902</x:v>
      </x:c>
      <x:c r="C93" s="10" t="s">
        <x:v>771</x:v>
      </x:c>
      <x:c r="D93" s="10" t="s">
        <x:v>172</x:v>
      </x:c>
      <x:c r="E93" s="10" t="s">
        <x:v>849</x:v>
      </x:c>
      <x:c r="F93" s="10" t="s">
        <x:v>897</x:v>
      </x:c>
      <x:c r="G93" s="10" t="s">
        <x:v>774</x:v>
      </x:c>
      <x:c r="H93" s="10" t="s">
        <x:v>775</x:v>
      </x:c>
    </x:row>
    <x:row r="94" ht="46" customHeight="1">
      <x:c r="A94" s="9" t="s">
        <x:v>894</x:v>
      </x:c>
      <x:c r="B94" s="9" t="s">
        <x:v>903</x:v>
      </x:c>
      <x:c r="C94" s="9" t="s">
        <x:v>771</x:v>
      </x:c>
      <x:c r="D94" s="9" t="s">
        <x:v>172</x:v>
      </x:c>
      <x:c r="E94" s="9" t="s">
        <x:v>850</x:v>
      </x:c>
      <x:c r="F94" s="9" t="s">
        <x:v>897</x:v>
      </x:c>
      <x:c r="G94" s="9" t="s">
        <x:v>774</x:v>
      </x:c>
      <x:c r="H94" s="9" t="s">
        <x:v>775</x:v>
      </x:c>
    </x:row>
    <x:row r="95" ht="46" customHeight="1">
      <x:c r="A95" s="10" t="s">
        <x:v>894</x:v>
      </x:c>
      <x:c r="B95" s="10" t="s">
        <x:v>904</x:v>
      </x:c>
      <x:c r="C95" s="10" t="s">
        <x:v>771</x:v>
      </x:c>
      <x:c r="D95" s="10" t="s">
        <x:v>172</x:v>
      </x:c>
      <x:c r="E95" s="10" t="s">
        <x:v>851</x:v>
      </x:c>
      <x:c r="F95" s="10" t="s">
        <x:v>897</x:v>
      </x:c>
      <x:c r="G95" s="10" t="s">
        <x:v>774</x:v>
      </x:c>
      <x:c r="H95" s="10" t="s">
        <x:v>775</x:v>
      </x:c>
    </x:row>
    <x:row r="96" ht="46" customHeight="1">
      <x:c r="A96" s="9" t="s">
        <x:v>894</x:v>
      </x:c>
      <x:c r="B96" s="9" t="s">
        <x:v>905</x:v>
      </x:c>
      <x:c r="C96" s="9" t="s">
        <x:v>771</x:v>
      </x:c>
      <x:c r="D96" s="9" t="s">
        <x:v>172</x:v>
      </x:c>
      <x:c r="E96" s="9" t="s">
        <x:v>906</x:v>
      </x:c>
      <x:c r="F96" s="9" t="s">
        <x:v>897</x:v>
      </x:c>
      <x:c r="G96" s="9" t="s">
        <x:v>907</x:v>
      </x:c>
      <x:c r="H96" s="9" t="s">
        <x:v>801</x:v>
      </x:c>
    </x:row>
    <x:row r="97" ht="46" customHeight="1">
      <x:c r="A97" s="10" t="s">
        <x:v>894</x:v>
      </x:c>
      <x:c r="B97" s="10" t="s">
        <x:v>908</x:v>
      </x:c>
      <x:c r="C97" s="10" t="s">
        <x:v>771</x:v>
      </x:c>
      <x:c r="D97" s="10" t="s">
        <x:v>172</x:v>
      </x:c>
      <x:c r="E97" s="10" t="s">
        <x:v>854</x:v>
      </x:c>
      <x:c r="F97" s="10" t="s">
        <x:v>897</x:v>
      </x:c>
      <x:c r="G97" s="10" t="s">
        <x:v>774</x:v>
      </x:c>
      <x:c r="H97" s="10" t="s">
        <x:v>775</x:v>
      </x:c>
    </x:row>
    <x:row r="98" ht="46" customHeight="1">
      <x:c r="A98" s="9" t="s">
        <x:v>894</x:v>
      </x:c>
      <x:c r="B98" s="9" t="s">
        <x:v>909</x:v>
      </x:c>
      <x:c r="C98" s="9" t="s">
        <x:v>771</x:v>
      </x:c>
      <x:c r="D98" s="9" t="s">
        <x:v>172</x:v>
      </x:c>
      <x:c r="E98" s="9" t="s">
        <x:v>910</x:v>
      </x:c>
      <x:c r="F98" s="9" t="s">
        <x:v>897</x:v>
      </x:c>
      <x:c r="G98" s="9" t="s">
        <x:v>774</x:v>
      </x:c>
      <x:c r="H98" s="9" t="s">
        <x:v>775</x:v>
      </x:c>
    </x:row>
    <x:row r="99" ht="46" customHeight="1">
      <x:c r="A99" s="10" t="s">
        <x:v>894</x:v>
      </x:c>
      <x:c r="B99" s="10" t="s">
        <x:v>911</x:v>
      </x:c>
      <x:c r="C99" s="10" t="s">
        <x:v>771</x:v>
      </x:c>
      <x:c r="D99" s="10" t="s">
        <x:v>172</x:v>
      </x:c>
      <x:c r="E99" s="10" t="s">
        <x:v>912</x:v>
      </x:c>
      <x:c r="F99" s="10" t="s">
        <x:v>897</x:v>
      </x:c>
      <x:c r="G99" s="10" t="s">
        <x:v>774</x:v>
      </x:c>
      <x:c r="H99" s="10" t="s">
        <x:v>775</x:v>
      </x:c>
    </x:row>
    <x:row r="100" ht="46" customHeight="1">
      <x:c r="A100" s="9" t="s">
        <x:v>894</x:v>
      </x:c>
      <x:c r="B100" s="9" t="s">
        <x:v>913</x:v>
      </x:c>
      <x:c r="C100" s="9" t="s">
        <x:v>771</x:v>
      </x:c>
      <x:c r="D100" s="9" t="s">
        <x:v>172</x:v>
      </x:c>
      <x:c r="E100" s="9" t="s">
        <x:v>914</x:v>
      </x:c>
      <x:c r="F100" s="9" t="s">
        <x:v>897</x:v>
      </x:c>
      <x:c r="G100" s="9" t="s">
        <x:v>774</x:v>
      </x:c>
      <x:c r="H100" s="9" t="s">
        <x:v>775</x:v>
      </x:c>
    </x:row>
    <x:row r="101" ht="46" customHeight="1">
      <x:c r="A101" s="10" t="s">
        <x:v>894</x:v>
      </x:c>
      <x:c r="B101" s="10" t="s">
        <x:v>915</x:v>
      </x:c>
      <x:c r="C101" s="10" t="s">
        <x:v>771</x:v>
      </x:c>
      <x:c r="D101" s="10" t="s">
        <x:v>172</x:v>
      </x:c>
      <x:c r="E101" s="10" t="s">
        <x:v>916</x:v>
      </x:c>
      <x:c r="F101" s="10" t="s">
        <x:v>897</x:v>
      </x:c>
      <x:c r="G101" s="10" t="s">
        <x:v>774</x:v>
      </x:c>
      <x:c r="H101" s="10" t="s">
        <x:v>775</x:v>
      </x:c>
    </x:row>
    <x:row r="102" ht="46" customHeight="1">
      <x:c r="A102" s="9" t="s">
        <x:v>894</x:v>
      </x:c>
      <x:c r="B102" s="9" t="s">
        <x:v>917</x:v>
      </x:c>
      <x:c r="C102" s="9" t="s">
        <x:v>918</x:v>
      </x:c>
      <x:c r="D102" s="9" t="s">
        <x:v>172</x:v>
      </x:c>
      <x:c r="E102" s="9" t="s">
        <x:v>919</x:v>
      </x:c>
      <x:c r="F102" s="9" t="s">
        <x:v>897</x:v>
      </x:c>
      <x:c r="G102" s="9" t="s">
        <x:v>800</x:v>
      </x:c>
      <x:c r="H102" s="9" t="s">
        <x:v>801</x:v>
      </x:c>
    </x:row>
    <x:row r="103" ht="46" customHeight="1">
      <x:c r="A103" s="10" t="s">
        <x:v>894</x:v>
      </x:c>
      <x:c r="B103" s="10" t="s">
        <x:v>920</x:v>
      </x:c>
      <x:c r="C103" s="10" t="s">
        <x:v>918</x:v>
      </x:c>
      <x:c r="D103" s="10" t="s">
        <x:v>172</x:v>
      </x:c>
      <x:c r="E103" s="10" t="s">
        <x:v>921</x:v>
      </x:c>
      <x:c r="F103" s="10" t="s">
        <x:v>897</x:v>
      </x:c>
      <x:c r="G103" s="10" t="s">
        <x:v>922</x:v>
      </x:c>
      <x:c r="H103" s="10" t="s">
        <x:v>753</x:v>
      </x:c>
    </x:row>
    <x:row r="104" ht="46" customHeight="1">
      <x:c r="A104" s="9" t="s">
        <x:v>894</x:v>
      </x:c>
      <x:c r="B104" s="9" t="s">
        <x:v>923</x:v>
      </x:c>
      <x:c r="C104" s="9" t="s">
        <x:v>918</x:v>
      </x:c>
      <x:c r="D104" s="9" t="s">
        <x:v>172</x:v>
      </x:c>
      <x:c r="E104" s="9" t="s">
        <x:v>924</x:v>
      </x:c>
      <x:c r="F104" s="9" t="s">
        <x:v>897</x:v>
      </x:c>
      <x:c r="G104" s="9" t="s">
        <x:v>800</x:v>
      </x:c>
      <x:c r="H104" s="9" t="s">
        <x:v>801</x:v>
      </x:c>
    </x:row>
    <x:row r="105" ht="46" customHeight="1">
      <x:c r="A105" s="10" t="s">
        <x:v>894</x:v>
      </x:c>
      <x:c r="B105" s="10" t="s">
        <x:v>925</x:v>
      </x:c>
      <x:c r="C105" s="10" t="s">
        <x:v>918</x:v>
      </x:c>
      <x:c r="D105" s="10" t="s">
        <x:v>172</x:v>
      </x:c>
      <x:c r="E105" s="10" t="s">
        <x:v>855</x:v>
      </x:c>
      <x:c r="F105" s="10" t="s">
        <x:v>897</x:v>
      </x:c>
      <x:c r="G105" s="10" t="s">
        <x:v>774</x:v>
      </x:c>
      <x:c r="H105" s="10" t="s">
        <x:v>775</x:v>
      </x:c>
    </x:row>
    <x:row r="106" ht="46" customHeight="1">
      <x:c r="A106" s="9" t="s">
        <x:v>894</x:v>
      </x:c>
      <x:c r="B106" s="9" t="s">
        <x:v>926</x:v>
      </x:c>
      <x:c r="C106" s="9" t="s">
        <x:v>749</x:v>
      </x:c>
      <x:c r="D106" s="9" t="s">
        <x:v>172</x:v>
      </x:c>
      <x:c r="E106" s="9" t="s">
        <x:v>927</x:v>
      </x:c>
      <x:c r="F106" s="9" t="s">
        <x:v>897</x:v>
      </x:c>
      <x:c r="G106" s="9" t="s">
        <x:v>770</x:v>
      </x:c>
      <x:c r="H106" s="9" t="s">
        <x:v>753</x:v>
      </x:c>
    </x:row>
    <x:row r="107" ht="46" customHeight="1">
      <x:c r="A107" s="10" t="s">
        <x:v>894</x:v>
      </x:c>
      <x:c r="B107" s="10" t="s">
        <x:v>928</x:v>
      </x:c>
      <x:c r="C107" s="10" t="s">
        <x:v>863</x:v>
      </x:c>
      <x:c r="D107" s="10" t="s">
        <x:v>172</x:v>
      </x:c>
      <x:c r="E107" s="10" t="s">
        <x:v>929</x:v>
      </x:c>
      <x:c r="F107" s="10" t="s">
        <x:v>930</x:v>
      </x:c>
      <x:c r="G107" s="10" t="s">
        <x:v>800</x:v>
      </x:c>
      <x:c r="H107" s="10" t="s">
        <x:v>801</x:v>
      </x:c>
    </x:row>
    <x:row r="108" ht="46" customHeight="1">
      <x:c r="A108" s="9" t="s">
        <x:v>894</x:v>
      </x:c>
      <x:c r="B108" s="9" t="s">
        <x:v>931</x:v>
      </x:c>
      <x:c r="C108" s="9" t="s">
        <x:v>863</x:v>
      </x:c>
      <x:c r="D108" s="9" t="s">
        <x:v>172</x:v>
      </x:c>
      <x:c r="E108" s="9" t="s">
        <x:v>932</x:v>
      </x:c>
      <x:c r="F108" s="9" t="s">
        <x:v>930</x:v>
      </x:c>
      <x:c r="G108" s="9" t="s">
        <x:v>800</x:v>
      </x:c>
      <x:c r="H108" s="9" t="s">
        <x:v>801</x:v>
      </x:c>
    </x:row>
    <x:row r="109" ht="46" customHeight="1">
      <x:c r="A109" s="10" t="s">
        <x:v>894</x:v>
      </x:c>
      <x:c r="B109" s="10" t="s">
        <x:v>933</x:v>
      </x:c>
      <x:c r="C109" s="10" t="s">
        <x:v>863</x:v>
      </x:c>
      <x:c r="D109" s="10" t="s">
        <x:v>172</x:v>
      </x:c>
      <x:c r="E109" s="10" t="s">
        <x:v>934</x:v>
      </x:c>
      <x:c r="F109" s="10" t="s">
        <x:v>930</x:v>
      </x:c>
      <x:c r="G109" s="10" t="s">
        <x:v>800</x:v>
      </x:c>
      <x:c r="H109" s="10" t="s">
        <x:v>801</x:v>
      </x:c>
    </x:row>
    <x:row r="110" ht="46" customHeight="1">
      <x:c r="A110" s="9" t="s">
        <x:v>894</x:v>
      </x:c>
      <x:c r="B110" s="9" t="s">
        <x:v>935</x:v>
      </x:c>
      <x:c r="C110" s="9" t="s">
        <x:v>863</x:v>
      </x:c>
      <x:c r="D110" s="9" t="s">
        <x:v>172</x:v>
      </x:c>
      <x:c r="E110" s="9" t="s">
        <x:v>936</x:v>
      </x:c>
      <x:c r="F110" s="9" t="s">
        <x:v>930</x:v>
      </x:c>
      <x:c r="G110" s="9" t="s">
        <x:v>800</x:v>
      </x:c>
      <x:c r="H110" s="9" t="s">
        <x:v>801</x:v>
      </x:c>
    </x:row>
    <x:row r="111" ht="46" customHeight="1">
      <x:c r="A111" s="10" t="s">
        <x:v>894</x:v>
      </x:c>
      <x:c r="B111" s="10" t="s">
        <x:v>937</x:v>
      </x:c>
      <x:c r="C111" s="10" t="s">
        <x:v>890</x:v>
      </x:c>
      <x:c r="D111" s="10" t="s">
        <x:v>172</x:v>
      </x:c>
      <x:c r="E111" s="10" t="s">
        <x:v>938</x:v>
      </x:c>
      <x:c r="F111" s="10" t="s">
        <x:v>930</x:v>
      </x:c>
      <x:c r="G111" s="10" t="s">
        <x:v>800</x:v>
      </x:c>
      <x:c r="H111" s="10" t="s">
        <x:v>753</x:v>
      </x:c>
    </x:row>
    <x:row r="112" ht="46" customHeight="1">
      <x:c r="A112" s="9" t="s">
        <x:v>894</x:v>
      </x:c>
      <x:c r="B112" s="9" t="s">
        <x:v>3892</x:v>
      </x:c>
      <x:c r="C112" s="9" t="s">
        <x:v>940</x:v>
      </x:c>
      <x:c r="D112" s="9" t="s">
        <x:v>172</x:v>
      </x:c>
      <x:c r="E112" s="9" t="s">
        <x:v>3906</x:v>
      </x:c>
      <x:c r="F112" s="9" t="s">
        <x:v>897</x:v>
      </x:c>
      <x:c r="G112" s="9" t="s">
        <x:v>785</x:v>
      </x:c>
      <x:c r="H112" s="9" t="s">
        <x:v>775</x:v>
      </x:c>
    </x:row>
    <x:row r="113" ht="46" customHeight="1">
      <x:c r="A113" s="10" t="s">
        <x:v>894</x:v>
      </x:c>
      <x:c r="B113" s="10" t="s">
        <x:v>3893</x:v>
      </x:c>
      <x:c r="C113" s="10" t="s">
        <x:v>940</x:v>
      </x:c>
      <x:c r="D113" s="10" t="s">
        <x:v>172</x:v>
      </x:c>
      <x:c r="E113" s="10" t="s">
        <x:v>3907</x:v>
      </x:c>
      <x:c r="F113" s="10" t="s">
        <x:v>3914</x:v>
      </x:c>
      <x:c r="G113" s="10" t="s">
        <x:v>785</x:v>
      </x:c>
      <x:c r="H113" s="10" t="s">
        <x:v>775</x:v>
      </x:c>
    </x:row>
    <x:row r="114" ht="46" customHeight="1">
      <x:c r="A114" s="9" t="s">
        <x:v>894</x:v>
      </x:c>
      <x:c r="B114" s="9" t="s">
        <x:v>3894</x:v>
      </x:c>
      <x:c r="C114" s="9" t="s">
        <x:v>940</x:v>
      </x:c>
      <x:c r="D114" s="9" t="s">
        <x:v>172</x:v>
      </x:c>
      <x:c r="E114" s="9" t="s">
        <x:v>3908</x:v>
      </x:c>
      <x:c r="F114" s="9" t="s">
        <x:v>897</x:v>
      </x:c>
      <x:c r="G114" s="9" t="s">
        <x:v>785</x:v>
      </x:c>
      <x:c r="H114" s="9" t="s">
        <x:v>775</x:v>
      </x:c>
    </x:row>
    <x:row r="115" ht="46" customHeight="1">
      <x:c r="A115" s="10" t="s">
        <x:v>894</x:v>
      </x:c>
      <x:c r="B115" s="10" t="s">
        <x:v>3895</x:v>
      </x:c>
      <x:c r="C115" s="10" t="s">
        <x:v>940</x:v>
      </x:c>
      <x:c r="D115" s="10" t="s">
        <x:v>172</x:v>
      </x:c>
      <x:c r="E115" s="10" t="s">
        <x:v>3909</x:v>
      </x:c>
      <x:c r="F115" s="10" t="s">
        <x:v>897</x:v>
      </x:c>
      <x:c r="G115" s="10" t="s">
        <x:v>785</x:v>
      </x:c>
      <x:c r="H115" s="10" t="s">
        <x:v>775</x:v>
      </x:c>
    </x:row>
    <x:row r="116" ht="46" customHeight="1">
      <x:c r="A116" s="9" t="s">
        <x:v>894</x:v>
      </x:c>
      <x:c r="B116" s="9" t="s">
        <x:v>3896</x:v>
      </x:c>
      <x:c r="C116" s="9" t="s">
        <x:v>940</x:v>
      </x:c>
      <x:c r="D116" s="9" t="s">
        <x:v>172</x:v>
      </x:c>
      <x:c r="E116" s="9" t="s">
        <x:v>3910</x:v>
      </x:c>
      <x:c r="F116" s="9" t="s">
        <x:v>897</x:v>
      </x:c>
      <x:c r="G116" s="9" t="s">
        <x:v>785</x:v>
      </x:c>
      <x:c r="H116" s="9" t="s">
        <x:v>775</x:v>
      </x:c>
    </x:row>
    <x:row r="117" ht="46" customHeight="1">
      <x:c r="A117" s="10" t="s">
        <x:v>894</x:v>
      </x:c>
      <x:c r="B117" s="10" t="s">
        <x:v>3897</x:v>
      </x:c>
      <x:c r="C117" s="10" t="s">
        <x:v>940</x:v>
      </x:c>
      <x:c r="D117" s="10" t="s">
        <x:v>172</x:v>
      </x:c>
      <x:c r="E117" s="10" t="s">
        <x:v>3911</x:v>
      </x:c>
      <x:c r="F117" s="10" t="s">
        <x:v>897</x:v>
      </x:c>
      <x:c r="G117" s="10" t="s">
        <x:v>785</x:v>
      </x:c>
      <x:c r="H117" s="10" t="s">
        <x:v>775</x:v>
      </x:c>
    </x:row>
    <x:row r="118" ht="46" customHeight="1">
      <x:c r="A118" s="9" t="s">
        <x:v>894</x:v>
      </x:c>
      <x:c r="B118" s="9" t="s">
        <x:v>3898</x:v>
      </x:c>
      <x:c r="C118" s="9" t="s">
        <x:v>940</x:v>
      </x:c>
      <x:c r="D118" s="9" t="s">
        <x:v>172</x:v>
      </x:c>
      <x:c r="E118" s="9" t="s">
        <x:v>3912</x:v>
      </x:c>
      <x:c r="F118" s="9" t="s">
        <x:v>897</x:v>
      </x:c>
      <x:c r="G118" s="9" t="s">
        <x:v>785</x:v>
      </x:c>
      <x:c r="H118" s="9" t="s">
        <x:v>775</x:v>
      </x:c>
    </x:row>
    <x:row r="119" ht="46" customHeight="1">
      <x:c r="A119" s="10" t="s">
        <x:v>894</x:v>
      </x:c>
      <x:c r="B119" s="10" t="s">
        <x:v>3899</x:v>
      </x:c>
      <x:c r="C119" s="10" t="s">
        <x:v>940</x:v>
      </x:c>
      <x:c r="D119" s="10" t="s">
        <x:v>172</x:v>
      </x:c>
      <x:c r="E119" s="10" t="s">
        <x:v>3913</x:v>
      </x:c>
      <x:c r="F119" s="10" t="s">
        <x:v>897</x:v>
      </x:c>
      <x:c r="G119" s="10" t="s">
        <x:v>785</x:v>
      </x:c>
      <x:c r="H119" s="10" t="s">
        <x:v>775</x:v>
      </x:c>
    </x:row>
    <x:row r="120" ht="46" customHeight="1">
      <x:c r="A120" s="9" t="s">
        <x:v>894</x:v>
      </x:c>
      <x:c r="B120" s="9" t="s">
        <x:v>3900</x:v>
      </x:c>
      <x:c r="C120" s="9" t="s">
        <x:v>940</x:v>
      </x:c>
      <x:c r="D120" s="9" t="s">
        <x:v>172</x:v>
      </x:c>
      <x:c r="E120" s="9" t="s">
        <x:v>957</x:v>
      </x:c>
      <x:c r="F120" s="9" t="s">
        <x:v>897</x:v>
      </x:c>
      <x:c r="G120" s="9" t="s">
        <x:v>785</x:v>
      </x:c>
      <x:c r="H120" s="9" t="s">
        <x:v>775</x:v>
      </x:c>
    </x:row>
    <x:row r="121" ht="46" customHeight="1">
      <x:c r="A121" s="10" t="s">
        <x:v>894</x:v>
      </x:c>
      <x:c r="B121" s="10" t="s">
        <x:v>3901</x:v>
      </x:c>
      <x:c r="C121" s="10" t="s">
        <x:v>940</x:v>
      </x:c>
      <x:c r="D121" s="10" t="s">
        <x:v>172</x:v>
      </x:c>
      <x:c r="E121" s="10" t="s">
        <x:v>959</x:v>
      </x:c>
      <x:c r="F121" s="10" t="s">
        <x:v>897</x:v>
      </x:c>
      <x:c r="G121" s="10" t="s">
        <x:v>785</x:v>
      </x:c>
      <x:c r="H121" s="10" t="s">
        <x:v>775</x:v>
      </x:c>
    </x:row>
    <x:row r="122" ht="46" customHeight="1">
      <x:c r="A122" s="9" t="s">
        <x:v>894</x:v>
      </x:c>
      <x:c r="B122" s="9" t="s">
        <x:v>3902</x:v>
      </x:c>
      <x:c r="C122" s="9" t="s">
        <x:v>940</x:v>
      </x:c>
      <x:c r="D122" s="9" t="s">
        <x:v>172</x:v>
      </x:c>
      <x:c r="E122" s="9" t="s">
        <x:v>961</x:v>
      </x:c>
      <x:c r="F122" s="9" t="s">
        <x:v>897</x:v>
      </x:c>
      <x:c r="G122" s="9" t="s">
        <x:v>785</x:v>
      </x:c>
      <x:c r="H122" s="9" t="s">
        <x:v>775</x:v>
      </x:c>
    </x:row>
    <x:row r="123" ht="46" customHeight="1">
      <x:c r="A123" s="10" t="s">
        <x:v>894</x:v>
      </x:c>
      <x:c r="B123" s="10" t="s">
        <x:v>3903</x:v>
      </x:c>
      <x:c r="C123" s="10" t="s">
        <x:v>940</x:v>
      </x:c>
      <x:c r="D123" s="10" t="s">
        <x:v>172</x:v>
      </x:c>
      <x:c r="E123" s="10" t="s">
        <x:v>963</x:v>
      </x:c>
      <x:c r="F123" s="10" t="s">
        <x:v>897</x:v>
      </x:c>
      <x:c r="G123" s="10" t="s">
        <x:v>785</x:v>
      </x:c>
      <x:c r="H123" s="10" t="s">
        <x:v>775</x:v>
      </x:c>
    </x:row>
    <x:row r="124" ht="46" customHeight="1">
      <x:c r="A124" s="9" t="s">
        <x:v>894</x:v>
      </x:c>
      <x:c r="B124" s="9" t="s">
        <x:v>3904</x:v>
      </x:c>
      <x:c r="C124" s="9" t="s">
        <x:v>940</x:v>
      </x:c>
      <x:c r="D124" s="9" t="s">
        <x:v>172</x:v>
      </x:c>
      <x:c r="E124" s="9" t="s">
        <x:v>965</x:v>
      </x:c>
      <x:c r="F124" s="9" t="s">
        <x:v>897</x:v>
      </x:c>
      <x:c r="G124" s="9" t="s">
        <x:v>785</x:v>
      </x:c>
      <x:c r="H124" s="9" t="s">
        <x:v>775</x:v>
      </x:c>
    </x:row>
    <x:row r="125" ht="46" customHeight="1">
      <x:c r="A125" s="10" t="s">
        <x:v>894</x:v>
      </x:c>
      <x:c r="B125" s="10" t="s">
        <x:v>3905</x:v>
      </x:c>
      <x:c r="C125" s="10" t="s">
        <x:v>940</x:v>
      </x:c>
      <x:c r="D125" s="10" t="s">
        <x:v>172</x:v>
      </x:c>
      <x:c r="E125" s="10" t="s">
        <x:v>967</x:v>
      </x:c>
      <x:c r="F125" s="10" t="s">
        <x:v>897</x:v>
      </x:c>
      <x:c r="G125" s="10" t="s">
        <x:v>785</x:v>
      </x:c>
      <x:c r="H125" s="10" t="s">
        <x:v>775</x:v>
      </x:c>
    </x:row>
    <x:row r="126" ht="46" customHeight="1">
      <x:c r="A126" s="9" t="s">
        <x:v>894</x:v>
      </x:c>
      <x:c r="B126" s="9" t="s">
        <x:v>968</x:v>
      </x:c>
      <x:c r="C126" s="9" t="s">
        <x:v>969</x:v>
      </x:c>
      <x:c r="D126" s="9" t="s">
        <x:v>172</x:v>
      </x:c>
      <x:c r="E126" s="9" t="s">
        <x:v>805</x:v>
      </x:c>
      <x:c r="F126" s="9" t="s">
        <x:v>930</x:v>
      </x:c>
      <x:c r="G126" s="9" t="s">
        <x:v>800</x:v>
      </x:c>
      <x:c r="H126" s="9" t="s">
        <x:v>801</x:v>
      </x:c>
    </x:row>
    <x:row r="127" ht="46" customHeight="1">
      <x:c r="A127" s="10" t="s">
        <x:v>894</x:v>
      </x:c>
      <x:c r="B127" s="10" t="s">
        <x:v>970</x:v>
      </x:c>
      <x:c r="C127" s="10" t="s">
        <x:v>969</x:v>
      </x:c>
      <x:c r="D127" s="10" t="s">
        <x:v>172</x:v>
      </x:c>
      <x:c r="E127" s="10" t="s">
        <x:v>971</x:v>
      </x:c>
      <x:c r="F127" s="10" t="s">
        <x:v>930</x:v>
      </x:c>
      <x:c r="G127" s="10" t="s">
        <x:v>774</x:v>
      </x:c>
      <x:c r="H127" s="10" t="s">
        <x:v>775</x:v>
      </x:c>
    </x:row>
    <x:row r="128" ht="46" customHeight="1">
      <x:c r="A128" s="9" t="s">
        <x:v>894</x:v>
      </x:c>
      <x:c r="B128" s="9" t="s">
        <x:v>972</x:v>
      </x:c>
      <x:c r="C128" s="9" t="s">
        <x:v>969</x:v>
      </x:c>
      <x:c r="D128" s="9" t="s">
        <x:v>172</x:v>
      </x:c>
      <x:c r="E128" s="9" t="s">
        <x:v>973</x:v>
      </x:c>
      <x:c r="F128" s="9" t="s">
        <x:v>930</x:v>
      </x:c>
      <x:c r="G128" s="9" t="s">
        <x:v>800</x:v>
      </x:c>
      <x:c r="H128" s="9" t="s">
        <x:v>801</x:v>
      </x:c>
    </x:row>
    <x:row r="129" ht="46" customHeight="1">
      <x:c r="A129" s="10" t="s">
        <x:v>894</x:v>
      </x:c>
      <x:c r="B129" s="10" t="s">
        <x:v>974</x:v>
      </x:c>
      <x:c r="C129" s="10" t="s">
        <x:v>969</x:v>
      </x:c>
      <x:c r="D129" s="10" t="s">
        <x:v>172</x:v>
      </x:c>
      <x:c r="E129" s="10" t="s">
        <x:v>975</x:v>
      </x:c>
      <x:c r="F129" s="10" t="s">
        <x:v>930</x:v>
      </x:c>
      <x:c r="G129" s="10" t="s">
        <x:v>800</x:v>
      </x:c>
      <x:c r="H129" s="10" t="s">
        <x:v>801</x:v>
      </x:c>
    </x:row>
    <x:row r="130" ht="46" customHeight="1">
      <x:c r="A130" s="9" t="s">
        <x:v>894</x:v>
      </x:c>
      <x:c r="B130" s="9" t="s">
        <x:v>976</x:v>
      </x:c>
      <x:c r="C130" s="9" t="s">
        <x:v>969</x:v>
      </x:c>
      <x:c r="D130" s="9" t="s">
        <x:v>172</x:v>
      </x:c>
      <x:c r="E130" s="9" t="s">
        <x:v>977</x:v>
      </x:c>
      <x:c r="F130" s="9" t="s">
        <x:v>930</x:v>
      </x:c>
      <x:c r="G130" s="9" t="s">
        <x:v>774</x:v>
      </x:c>
      <x:c r="H130" s="9" t="s">
        <x:v>775</x:v>
      </x:c>
    </x:row>
    <x:row r="131" ht="46" customHeight="1">
      <x:c r="A131" s="10" t="s">
        <x:v>894</x:v>
      </x:c>
      <x:c r="B131" s="10" t="s">
        <x:v>978</x:v>
      </x:c>
      <x:c r="C131" s="10" t="s">
        <x:v>969</x:v>
      </x:c>
      <x:c r="D131" s="10" t="s">
        <x:v>172</x:v>
      </x:c>
      <x:c r="E131" s="10" t="s">
        <x:v>979</x:v>
      </x:c>
      <x:c r="F131" s="10" t="s">
        <x:v>930</x:v>
      </x:c>
      <x:c r="G131" s="10" t="s">
        <x:v>800</x:v>
      </x:c>
      <x:c r="H131" s="10" t="s">
        <x:v>801</x:v>
      </x:c>
    </x:row>
    <x:row r="132" ht="46" customHeight="1">
      <x:c r="A132" s="9" t="s">
        <x:v>894</x:v>
      </x:c>
      <x:c r="B132" s="9" t="s">
        <x:v>980</x:v>
      </x:c>
      <x:c r="C132" s="9" t="s">
        <x:v>870</x:v>
      </x:c>
      <x:c r="D132" s="9" t="s">
        <x:v>172</x:v>
      </x:c>
      <x:c r="E132" s="9" t="s">
        <x:v>981</x:v>
      </x:c>
      <x:c r="F132" s="9" t="s">
        <x:v>897</x:v>
      </x:c>
      <x:c r="G132" s="9" t="s">
        <x:v>982</x:v>
      </x:c>
      <x:c r="H132" s="9" t="s">
        <x:v>775</x:v>
      </x:c>
    </x:row>
    <x:row r="133" ht="46" customHeight="1">
      <x:c r="A133" s="10" t="s">
        <x:v>894</x:v>
      </x:c>
      <x:c r="B133" s="10" t="s">
        <x:v>983</x:v>
      </x:c>
      <x:c r="C133" s="10" t="s">
        <x:v>870</x:v>
      </x:c>
      <x:c r="D133" s="10" t="s">
        <x:v>172</x:v>
      </x:c>
      <x:c r="E133" s="10" t="s">
        <x:v>984</x:v>
      </x:c>
      <x:c r="F133" s="10" t="s">
        <x:v>897</x:v>
      </x:c>
      <x:c r="G133" s="10" t="s">
        <x:v>982</x:v>
      </x:c>
      <x:c r="H133" s="10" t="s">
        <x:v>775</x:v>
      </x:c>
    </x:row>
    <x:row r="134" ht="46" customHeight="1">
      <x:c r="A134" s="9" t="s">
        <x:v>894</x:v>
      </x:c>
      <x:c r="B134" s="9" t="s">
        <x:v>985</x:v>
      </x:c>
      <x:c r="C134" s="9" t="s">
        <x:v>870</x:v>
      </x:c>
      <x:c r="D134" s="9" t="s">
        <x:v>172</x:v>
      </x:c>
      <x:c r="E134" s="9" t="s">
        <x:v>986</x:v>
      </x:c>
      <x:c r="F134" s="9" t="s">
        <x:v>897</x:v>
      </x:c>
      <x:c r="G134" s="9" t="s">
        <x:v>982</x:v>
      </x:c>
      <x:c r="H134" s="9" t="s">
        <x:v>775</x:v>
      </x:c>
    </x:row>
    <x:row r="135" ht="46" customHeight="1">
      <x:c r="A135" s="10" t="s">
        <x:v>894</x:v>
      </x:c>
      <x:c r="B135" s="10" t="s">
        <x:v>987</x:v>
      </x:c>
      <x:c r="C135" s="10" t="s">
        <x:v>870</x:v>
      </x:c>
      <x:c r="D135" s="10" t="s">
        <x:v>172</x:v>
      </x:c>
      <x:c r="E135" s="10" t="s">
        <x:v>988</x:v>
      </x:c>
      <x:c r="F135" s="10" t="s">
        <x:v>897</x:v>
      </x:c>
      <x:c r="G135" s="10" t="s">
        <x:v>982</x:v>
      </x:c>
      <x:c r="H135" s="10" t="s">
        <x:v>775</x:v>
      </x:c>
    </x:row>
    <x:row r="136" ht="46" customHeight="1">
      <x:c r="A136" s="9" t="s">
        <x:v>894</x:v>
      </x:c>
      <x:c r="B136" s="9" t="s">
        <x:v>989</x:v>
      </x:c>
      <x:c r="C136" s="9" t="s">
        <x:v>870</x:v>
      </x:c>
      <x:c r="D136" s="9" t="s">
        <x:v>172</x:v>
      </x:c>
      <x:c r="E136" s="9" t="s">
        <x:v>990</x:v>
      </x:c>
      <x:c r="F136" s="9" t="s">
        <x:v>897</x:v>
      </x:c>
      <x:c r="G136" s="9" t="s">
        <x:v>982</x:v>
      </x:c>
      <x:c r="H136" s="9" t="s">
        <x:v>775</x:v>
      </x:c>
    </x:row>
    <x:row r="137" ht="46" customHeight="1">
      <x:c r="A137" s="10" t="s">
        <x:v>894</x:v>
      </x:c>
      <x:c r="B137" s="10" t="s">
        <x:v>991</x:v>
      </x:c>
      <x:c r="C137" s="10" t="s">
        <x:v>870</x:v>
      </x:c>
      <x:c r="D137" s="10" t="s">
        <x:v>172</x:v>
      </x:c>
      <x:c r="E137" s="10" t="s">
        <x:v>992</x:v>
      </x:c>
      <x:c r="F137" s="10" t="s">
        <x:v>897</x:v>
      </x:c>
      <x:c r="G137" s="10" t="s">
        <x:v>982</x:v>
      </x:c>
      <x:c r="H137" s="10" t="s">
        <x:v>775</x:v>
      </x:c>
    </x:row>
    <x:row r="138" ht="46" customHeight="1">
      <x:c r="A138" s="9" t="s">
        <x:v>894</x:v>
      </x:c>
      <x:c r="B138" s="9" t="s">
        <x:v>993</x:v>
      </x:c>
      <x:c r="C138" s="9" t="s">
        <x:v>870</x:v>
      </x:c>
      <x:c r="D138" s="9" t="s">
        <x:v>172</x:v>
      </x:c>
      <x:c r="E138" s="9" t="s">
        <x:v>994</x:v>
      </x:c>
      <x:c r="F138" s="9" t="s">
        <x:v>897</x:v>
      </x:c>
      <x:c r="G138" s="9" t="s">
        <x:v>982</x:v>
      </x:c>
      <x:c r="H138" s="9" t="s">
        <x:v>775</x:v>
      </x:c>
    </x:row>
    <x:row r="139" ht="46" customHeight="1">
      <x:c r="A139" s="10" t="s">
        <x:v>894</x:v>
      </x:c>
      <x:c r="B139" s="10" t="s">
        <x:v>995</x:v>
      </x:c>
      <x:c r="C139" s="10" t="s">
        <x:v>870</x:v>
      </x:c>
      <x:c r="D139" s="10" t="s">
        <x:v>172</x:v>
      </x:c>
      <x:c r="E139" s="10" t="s">
        <x:v>996</x:v>
      </x:c>
      <x:c r="F139" s="10" t="s">
        <x:v>897</x:v>
      </x:c>
      <x:c r="G139" s="10" t="s">
        <x:v>982</x:v>
      </x:c>
      <x:c r="H139" s="10" t="s">
        <x:v>775</x:v>
      </x:c>
    </x:row>
    <x:row r="140" ht="46" customHeight="1">
      <x:c r="A140" s="9" t="s">
        <x:v>894</x:v>
      </x:c>
      <x:c r="B140" s="9" t="s">
        <x:v>997</x:v>
      </x:c>
      <x:c r="C140" s="9" t="s">
        <x:v>870</x:v>
      </x:c>
      <x:c r="D140" s="9" t="s">
        <x:v>172</x:v>
      </x:c>
      <x:c r="E140" s="9" t="s">
        <x:v>998</x:v>
      </x:c>
      <x:c r="F140" s="9" t="s">
        <x:v>897</x:v>
      </x:c>
      <x:c r="G140" s="9" t="s">
        <x:v>982</x:v>
      </x:c>
      <x:c r="H140" s="9" t="s">
        <x:v>775</x:v>
      </x:c>
    </x:row>
    <x:row r="141" ht="46" customHeight="1">
      <x:c r="A141" s="10" t="s">
        <x:v>894</x:v>
      </x:c>
      <x:c r="B141" s="10" t="s">
        <x:v>999</x:v>
      </x:c>
      <x:c r="C141" s="10" t="s">
        <x:v>870</x:v>
      </x:c>
      <x:c r="D141" s="10" t="s">
        <x:v>172</x:v>
      </x:c>
      <x:c r="E141" s="10" t="s">
        <x:v>1000</x:v>
      </x:c>
      <x:c r="F141" s="10" t="s">
        <x:v>897</x:v>
      </x:c>
      <x:c r="G141" s="10" t="s">
        <x:v>982</x:v>
      </x:c>
      <x:c r="H141" s="10" t="s">
        <x:v>775</x:v>
      </x:c>
    </x:row>
    <x:row r="142" ht="46" customHeight="1">
      <x:c r="A142" s="9" t="s">
        <x:v>894</x:v>
      </x:c>
      <x:c r="B142" s="9" t="s">
        <x:v>1001</x:v>
      </x:c>
      <x:c r="C142" s="9" t="s">
        <x:v>870</x:v>
      </x:c>
      <x:c r="D142" s="9" t="s">
        <x:v>172</x:v>
      </x:c>
      <x:c r="E142" s="9" t="s">
        <x:v>1002</x:v>
      </x:c>
      <x:c r="F142" s="9" t="s">
        <x:v>897</x:v>
      </x:c>
      <x:c r="G142" s="9" t="s">
        <x:v>788</x:v>
      </x:c>
      <x:c r="H142" s="9" t="s">
        <x:v>775</x:v>
      </x:c>
    </x:row>
    <x:row r="143" ht="46" customHeight="1">
      <x:c r="A143" s="10" t="s">
        <x:v>894</x:v>
      </x:c>
      <x:c r="B143" s="10" t="s">
        <x:v>1003</x:v>
      </x:c>
      <x:c r="C143" s="10" t="s">
        <x:v>875</x:v>
      </x:c>
      <x:c r="D143" s="10" t="s">
        <x:v>172</x:v>
      </x:c>
      <x:c r="E143" s="10" t="s">
        <x:v>1004</x:v>
      </x:c>
      <x:c r="F143" s="10" t="s">
        <x:v>930</x:v>
      </x:c>
      <x:c r="G143" s="10" t="s">
        <x:v>800</x:v>
      </x:c>
      <x:c r="H143" s="10" t="s">
        <x:v>801</x:v>
      </x:c>
    </x:row>
    <x:row r="144" ht="46" customHeight="1">
      <x:c r="A144" s="9" t="s">
        <x:v>894</x:v>
      </x:c>
      <x:c r="B144" s="9" t="s">
        <x:v>1005</x:v>
      </x:c>
      <x:c r="C144" s="9" t="s">
        <x:v>875</x:v>
      </x:c>
      <x:c r="D144" s="9" t="s">
        <x:v>172</x:v>
      </x:c>
      <x:c r="E144" s="9" t="s">
        <x:v>1006</x:v>
      </x:c>
      <x:c r="F144" s="9" t="s">
        <x:v>930</x:v>
      </x:c>
      <x:c r="G144" s="9" t="s">
        <x:v>800</x:v>
      </x:c>
      <x:c r="H144" s="9" t="s">
        <x:v>801</x:v>
      </x:c>
    </x:row>
    <x:row r="145" ht="46" customHeight="1">
      <x:c r="A145" s="10" t="s">
        <x:v>894</x:v>
      </x:c>
      <x:c r="B145" s="10" t="s">
        <x:v>1007</x:v>
      </x:c>
      <x:c r="C145" s="10" t="s">
        <x:v>875</x:v>
      </x:c>
      <x:c r="D145" s="10" t="s">
        <x:v>172</x:v>
      </x:c>
      <x:c r="E145" s="10" t="s">
        <x:v>1008</x:v>
      </x:c>
      <x:c r="F145" s="10" t="s">
        <x:v>930</x:v>
      </x:c>
      <x:c r="G145" s="10" t="s">
        <x:v>800</x:v>
      </x:c>
      <x:c r="H145" s="10" t="s">
        <x:v>801</x:v>
      </x:c>
    </x:row>
    <x:row r="146" ht="46" customHeight="1">
      <x:c r="A146" s="9" t="s">
        <x:v>894</x:v>
      </x:c>
      <x:c r="B146" s="9" t="s">
        <x:v>1009</x:v>
      </x:c>
      <x:c r="C146" s="9" t="s">
        <x:v>875</x:v>
      </x:c>
      <x:c r="D146" s="9" t="s">
        <x:v>172</x:v>
      </x:c>
      <x:c r="E146" s="9" t="s">
        <x:v>1010</x:v>
      </x:c>
      <x:c r="F146" s="9" t="s">
        <x:v>930</x:v>
      </x:c>
      <x:c r="G146" s="9" t="s">
        <x:v>800</x:v>
      </x:c>
      <x:c r="H146" s="9" t="s">
        <x:v>801</x:v>
      </x:c>
    </x:row>
    <x:row r="147" ht="46" customHeight="1">
      <x:c r="A147" s="10" t="s">
        <x:v>894</x:v>
      </x:c>
      <x:c r="B147" s="10" t="s">
        <x:v>1011</x:v>
      </x:c>
      <x:c r="C147" s="10" t="s">
        <x:v>875</x:v>
      </x:c>
      <x:c r="D147" s="10" t="s">
        <x:v>172</x:v>
      </x:c>
      <x:c r="E147" s="10" t="s">
        <x:v>1012</x:v>
      </x:c>
      <x:c r="F147" s="10" t="s">
        <x:v>930</x:v>
      </x:c>
      <x:c r="G147" s="10" t="s">
        <x:v>800</x:v>
      </x:c>
      <x:c r="H147" s="10" t="s">
        <x:v>801</x:v>
      </x:c>
    </x:row>
    <x:row r="148" ht="46" customHeight="1">
      <x:c r="A148" s="9" t="s">
        <x:v>894</x:v>
      </x:c>
      <x:c r="B148" s="9" t="s">
        <x:v>1013</x:v>
      </x:c>
      <x:c r="C148" s="9" t="s">
        <x:v>875</x:v>
      </x:c>
      <x:c r="D148" s="9" t="s">
        <x:v>172</x:v>
      </x:c>
      <x:c r="E148" s="9" t="s">
        <x:v>1014</x:v>
      </x:c>
      <x:c r="F148" s="9" t="s">
        <x:v>930</x:v>
      </x:c>
      <x:c r="G148" s="9" t="s">
        <x:v>800</x:v>
      </x:c>
      <x:c r="H148" s="9" t="s">
        <x:v>801</x:v>
      </x:c>
    </x:row>
    <x:row r="149" ht="46" customHeight="1">
      <x:c r="A149" s="10" t="s">
        <x:v>894</x:v>
      </x:c>
      <x:c r="B149" s="10" t="s">
        <x:v>1015</x:v>
      </x:c>
      <x:c r="C149" s="10" t="s">
        <x:v>875</x:v>
      </x:c>
      <x:c r="D149" s="10" t="s">
        <x:v>172</x:v>
      </x:c>
      <x:c r="E149" s="10" t="s">
        <x:v>1016</x:v>
      </x:c>
      <x:c r="F149" s="10" t="s">
        <x:v>930</x:v>
      </x:c>
      <x:c r="G149" s="10" t="s">
        <x:v>800</x:v>
      </x:c>
      <x:c r="H149" s="10" t="s">
        <x:v>801</x:v>
      </x:c>
    </x:row>
    <x:row r="150" ht="46" customHeight="1">
      <x:c r="A150" s="9" t="s">
        <x:v>894</x:v>
      </x:c>
      <x:c r="B150" s="9" t="s">
        <x:v>1017</x:v>
      </x:c>
      <x:c r="C150" s="9" t="s">
        <x:v>875</x:v>
      </x:c>
      <x:c r="D150" s="9" t="s">
        <x:v>172</x:v>
      </x:c>
      <x:c r="E150" s="9" t="s">
        <x:v>1018</x:v>
      </x:c>
      <x:c r="F150" s="9" t="s">
        <x:v>930</x:v>
      </x:c>
      <x:c r="G150" s="9" t="s">
        <x:v>800</x:v>
      </x:c>
      <x:c r="H150" s="9" t="s">
        <x:v>801</x:v>
      </x:c>
    </x:row>
    <x:row r="151" ht="46" customHeight="1">
      <x:c r="A151" s="10" t="s">
        <x:v>894</x:v>
      </x:c>
      <x:c r="B151" s="10" t="s">
        <x:v>1019</x:v>
      </x:c>
      <x:c r="C151" s="10" t="s">
        <x:v>875</x:v>
      </x:c>
      <x:c r="D151" s="10" t="s">
        <x:v>172</x:v>
      </x:c>
      <x:c r="E151" s="10" t="s">
        <x:v>1020</x:v>
      </x:c>
      <x:c r="F151" s="10" t="s">
        <x:v>930</x:v>
      </x:c>
      <x:c r="G151" s="10" t="s">
        <x:v>800</x:v>
      </x:c>
      <x:c r="H151" s="10" t="s">
        <x:v>801</x:v>
      </x:c>
    </x:row>
    <x:row r="152" ht="46" customHeight="1">
      <x:c r="A152" s="9" t="s">
        <x:v>894</x:v>
      </x:c>
      <x:c r="B152" s="9" t="s">
        <x:v>1021</x:v>
      </x:c>
      <x:c r="C152" s="9" t="s">
        <x:v>882</x:v>
      </x:c>
      <x:c r="D152" s="9" t="s">
        <x:v>172</x:v>
      </x:c>
      <x:c r="E152" s="9" t="s">
        <x:v>1022</x:v>
      </x:c>
      <x:c r="F152" s="9" t="s">
        <x:v>897</x:v>
      </x:c>
      <x:c r="G152" s="9" t="s">
        <x:v>794</x:v>
      </x:c>
      <x:c r="H152" s="9" t="s">
        <x:v>775</x:v>
      </x:c>
    </x:row>
    <x:row r="153" ht="46" customHeight="1">
      <x:c r="A153" s="10" t="s">
        <x:v>894</x:v>
      </x:c>
      <x:c r="B153" s="10" t="s">
        <x:v>1023</x:v>
      </x:c>
      <x:c r="C153" s="10" t="s">
        <x:v>882</x:v>
      </x:c>
      <x:c r="D153" s="10" t="s">
        <x:v>172</x:v>
      </x:c>
      <x:c r="E153" s="10" t="s">
        <x:v>1024</x:v>
      </x:c>
      <x:c r="F153" s="10" t="s">
        <x:v>897</x:v>
      </x:c>
      <x:c r="G153" s="10" t="s">
        <x:v>794</x:v>
      </x:c>
      <x:c r="H153" s="10" t="s">
        <x:v>775</x:v>
      </x:c>
    </x:row>
    <x:row r="154" ht="46" customHeight="1">
      <x:c r="A154" s="9" t="s">
        <x:v>894</x:v>
      </x:c>
      <x:c r="B154" s="9" t="s">
        <x:v>1025</x:v>
      </x:c>
      <x:c r="C154" s="9" t="s">
        <x:v>882</x:v>
      </x:c>
      <x:c r="D154" s="9" t="s">
        <x:v>172</x:v>
      </x:c>
      <x:c r="E154" s="9" t="s">
        <x:v>1026</x:v>
      </x:c>
      <x:c r="F154" s="9" t="s">
        <x:v>897</x:v>
      </x:c>
      <x:c r="G154" s="9" t="s">
        <x:v>794</x:v>
      </x:c>
      <x:c r="H154" s="9" t="s">
        <x:v>775</x:v>
      </x:c>
    </x:row>
    <x:row r="155" ht="46" customHeight="1">
      <x:c r="A155" s="10" t="s">
        <x:v>894</x:v>
      </x:c>
      <x:c r="B155" s="10" t="s">
        <x:v>1027</x:v>
      </x:c>
      <x:c r="C155" s="10" t="s">
        <x:v>882</x:v>
      </x:c>
      <x:c r="D155" s="10" t="s">
        <x:v>172</x:v>
      </x:c>
      <x:c r="E155" s="10" t="s">
        <x:v>1028</x:v>
      </x:c>
      <x:c r="F155" s="10" t="s">
        <x:v>897</x:v>
      </x:c>
      <x:c r="G155" s="10" t="s">
        <x:v>794</x:v>
      </x:c>
      <x:c r="H155" s="10" t="s">
        <x:v>775</x:v>
      </x:c>
    </x:row>
    <x:row r="156" ht="46" customHeight="1">
      <x:c r="A156" s="9" t="s">
        <x:v>894</x:v>
      </x:c>
      <x:c r="B156" s="9" t="s">
        <x:v>1029</x:v>
      </x:c>
      <x:c r="C156" s="9" t="s">
        <x:v>882</x:v>
      </x:c>
      <x:c r="D156" s="9" t="s">
        <x:v>172</x:v>
      </x:c>
      <x:c r="E156" s="9" t="s">
        <x:v>1030</x:v>
      </x:c>
      <x:c r="F156" s="9" t="s">
        <x:v>897</x:v>
      </x:c>
      <x:c r="G156" s="9" t="s">
        <x:v>794</x:v>
      </x:c>
      <x:c r="H156" s="9" t="s">
        <x:v>775</x:v>
      </x:c>
    </x:row>
    <x:row r="157" ht="46" customHeight="1">
      <x:c r="A157" s="10" t="s">
        <x:v>894</x:v>
      </x:c>
      <x:c r="B157" s="10" t="s">
        <x:v>1031</x:v>
      </x:c>
      <x:c r="C157" s="10" t="s">
        <x:v>882</x:v>
      </x:c>
      <x:c r="D157" s="10" t="s">
        <x:v>172</x:v>
      </x:c>
      <x:c r="E157" s="10" t="s">
        <x:v>1032</x:v>
      </x:c>
      <x:c r="F157" s="10" t="s">
        <x:v>897</x:v>
      </x:c>
      <x:c r="G157" s="10" t="s">
        <x:v>794</x:v>
      </x:c>
      <x:c r="H157" s="10" t="s">
        <x:v>775</x:v>
      </x:c>
    </x:row>
    <x:row r="158" ht="46" customHeight="1">
      <x:c r="A158" s="9" t="s">
        <x:v>894</x:v>
      </x:c>
      <x:c r="B158" s="9" t="s">
        <x:v>1033</x:v>
      </x:c>
      <x:c r="C158" s="9" t="s">
        <x:v>882</x:v>
      </x:c>
      <x:c r="D158" s="9" t="s">
        <x:v>172</x:v>
      </x:c>
      <x:c r="E158" s="9" t="s">
        <x:v>1034</x:v>
      </x:c>
      <x:c r="F158" s="9" t="s">
        <x:v>897</x:v>
      </x:c>
      <x:c r="G158" s="9" t="s">
        <x:v>794</x:v>
      </x:c>
      <x:c r="H158" s="9" t="s">
        <x:v>775</x:v>
      </x:c>
    </x:row>
    <x:row r="159" ht="46" customHeight="1">
      <x:c r="A159" s="10" t="s">
        <x:v>894</x:v>
      </x:c>
      <x:c r="B159" s="10" t="s">
        <x:v>1035</x:v>
      </x:c>
      <x:c r="C159" s="10" t="s">
        <x:v>882</x:v>
      </x:c>
      <x:c r="D159" s="10" t="s">
        <x:v>172</x:v>
      </x:c>
      <x:c r="E159" s="10" t="s">
        <x:v>1036</x:v>
      </x:c>
      <x:c r="F159" s="10" t="s">
        <x:v>897</x:v>
      </x:c>
      <x:c r="G159" s="10" t="s">
        <x:v>794</x:v>
      </x:c>
      <x:c r="H159" s="10" t="s">
        <x:v>775</x:v>
      </x:c>
    </x:row>
    <x:row r="160" ht="46" customHeight="1">
      <x:c r="A160" s="9" t="s">
        <x:v>894</x:v>
      </x:c>
      <x:c r="B160" s="9" t="s">
        <x:v>1037</x:v>
      </x:c>
      <x:c r="C160" s="9" t="s">
        <x:v>882</x:v>
      </x:c>
      <x:c r="D160" s="9" t="s">
        <x:v>172</x:v>
      </x:c>
      <x:c r="E160" s="9" t="s">
        <x:v>1038</x:v>
      </x:c>
      <x:c r="F160" s="9" t="s">
        <x:v>897</x:v>
      </x:c>
      <x:c r="G160" s="9" t="s">
        <x:v>794</x:v>
      </x:c>
      <x:c r="H160" s="9" t="s">
        <x:v>775</x:v>
      </x:c>
    </x:row>
    <x:row r="161" ht="46" customHeight="1">
      <x:c r="A161" s="10" t="s">
        <x:v>894</x:v>
      </x:c>
      <x:c r="B161" s="10" t="s">
        <x:v>1039</x:v>
      </x:c>
      <x:c r="C161" s="10" t="s">
        <x:v>882</x:v>
      </x:c>
      <x:c r="D161" s="10" t="s">
        <x:v>172</x:v>
      </x:c>
      <x:c r="E161" s="10" t="s">
        <x:v>1040</x:v>
      </x:c>
      <x:c r="F161" s="10" t="s">
        <x:v>897</x:v>
      </x:c>
      <x:c r="G161" s="10" t="s">
        <x:v>794</x:v>
      </x:c>
      <x:c r="H161" s="10" t="s">
        <x:v>775</x:v>
      </x:c>
    </x:row>
    <x:row r="162" ht="46" customHeight="1">
      <x:c r="A162" s="9" t="s">
        <x:v>894</x:v>
      </x:c>
      <x:c r="B162" s="9" t="s">
        <x:v>1041</x:v>
      </x:c>
      <x:c r="C162" s="9" t="s">
        <x:v>882</x:v>
      </x:c>
      <x:c r="D162" s="9" t="s">
        <x:v>172</x:v>
      </x:c>
      <x:c r="E162" s="9" t="s">
        <x:v>1042</x:v>
      </x:c>
      <x:c r="F162" s="9" t="s">
        <x:v>897</x:v>
      </x:c>
      <x:c r="G162" s="9" t="s">
        <x:v>794</x:v>
      </x:c>
      <x:c r="H162" s="9" t="s">
        <x:v>775</x:v>
      </x:c>
    </x:row>
    <x:row r="163" ht="46" customHeight="1">
      <x:c r="A163" s="10" t="s">
        <x:v>894</x:v>
      </x:c>
      <x:c r="B163" s="10" t="s">
        <x:v>1043</x:v>
      </x:c>
      <x:c r="C163" s="10" t="s">
        <x:v>882</x:v>
      </x:c>
      <x:c r="D163" s="10" t="s">
        <x:v>172</x:v>
      </x:c>
      <x:c r="E163" s="10" t="s">
        <x:v>1044</x:v>
      </x:c>
      <x:c r="F163" s="10" t="s">
        <x:v>897</x:v>
      </x:c>
      <x:c r="G163" s="10" t="s">
        <x:v>794</x:v>
      </x:c>
      <x:c r="H163" s="10" t="s">
        <x:v>775</x:v>
      </x:c>
    </x:row>
    <x:row r="164" ht="46" customHeight="1">
      <x:c r="A164" s="9" t="s">
        <x:v>894</x:v>
      </x:c>
      <x:c r="B164" s="9" t="s">
        <x:v>1045</x:v>
      </x:c>
      <x:c r="C164" s="9" t="s">
        <x:v>882</x:v>
      </x:c>
      <x:c r="D164" s="9" t="s">
        <x:v>172</x:v>
      </x:c>
      <x:c r="E164" s="9" t="s">
        <x:v>1046</x:v>
      </x:c>
      <x:c r="F164" s="9" t="s">
        <x:v>897</x:v>
      </x:c>
      <x:c r="G164" s="9" t="s">
        <x:v>794</x:v>
      </x:c>
      <x:c r="H164" s="9" t="s">
        <x:v>775</x:v>
      </x:c>
    </x:row>
    <x:row r="165" ht="46" customHeight="1">
      <x:c r="A165" s="10" t="s">
        <x:v>894</x:v>
      </x:c>
      <x:c r="B165" s="10" t="s">
        <x:v>1047</x:v>
      </x:c>
      <x:c r="C165" s="10" t="s">
        <x:v>882</x:v>
      </x:c>
      <x:c r="D165" s="10" t="s">
        <x:v>172</x:v>
      </x:c>
      <x:c r="E165" s="10" t="s">
        <x:v>1048</x:v>
      </x:c>
      <x:c r="F165" s="10" t="s">
        <x:v>897</x:v>
      </x:c>
      <x:c r="G165" s="10" t="s">
        <x:v>794</x:v>
      </x:c>
      <x:c r="H165" s="10" t="s">
        <x:v>775</x:v>
      </x:c>
    </x:row>
    <x:row r="166" ht="46" customHeight="1">
      <x:c r="A166" s="9" t="s">
        <x:v>894</x:v>
      </x:c>
      <x:c r="B166" s="9" t="s">
        <x:v>1049</x:v>
      </x:c>
      <x:c r="C166" s="9" t="s">
        <x:v>882</x:v>
      </x:c>
      <x:c r="D166" s="9" t="s">
        <x:v>172</x:v>
      </x:c>
      <x:c r="E166" s="9" t="s">
        <x:v>1050</x:v>
      </x:c>
      <x:c r="F166" s="9" t="s">
        <x:v>897</x:v>
      </x:c>
      <x:c r="G166" s="9" t="s">
        <x:v>794</x:v>
      </x:c>
      <x:c r="H166" s="9" t="s">
        <x:v>775</x:v>
      </x:c>
    </x:row>
    <x:row r="167" ht="46" customHeight="1">
      <x:c r="A167" s="10" t="s">
        <x:v>894</x:v>
      </x:c>
      <x:c r="B167" s="10" t="s">
        <x:v>1051</x:v>
      </x:c>
      <x:c r="C167" s="10" t="s">
        <x:v>882</x:v>
      </x:c>
      <x:c r="D167" s="10" t="s">
        <x:v>172</x:v>
      </x:c>
      <x:c r="E167" s="10" t="s">
        <x:v>1052</x:v>
      </x:c>
      <x:c r="F167" s="10" t="s">
        <x:v>897</x:v>
      </x:c>
      <x:c r="G167" s="10" t="s">
        <x:v>794</x:v>
      </x:c>
      <x:c r="H167" s="10" t="s">
        <x:v>775</x:v>
      </x:c>
    </x:row>
    <x:row r="168" ht="46" customHeight="1">
      <x:c r="A168" s="9" t="s">
        <x:v>894</x:v>
      </x:c>
      <x:c r="B168" s="9" t="s">
        <x:v>1053</x:v>
      </x:c>
      <x:c r="C168" s="9" t="s">
        <x:v>892</x:v>
      </x:c>
      <x:c r="D168" s="9" t="s">
        <x:v>172</x:v>
      </x:c>
      <x:c r="E168" s="9" t="s">
        <x:v>1054</x:v>
      </x:c>
      <x:c r="F168" s="9" t="s">
        <x:v>897</x:v>
      </x:c>
      <x:c r="G168" s="9" t="s">
        <x:v>765</x:v>
      </x:c>
      <x:c r="H168" s="9" t="s">
        <x:v>766</x:v>
      </x:c>
    </x:row>
    <x:row r="169" ht="46" customHeight="1">
      <x:c r="A169" s="10" t="s">
        <x:v>894</x:v>
      </x:c>
      <x:c r="B169" s="10" t="s">
        <x:v>1055</x:v>
      </x:c>
      <x:c r="C169" s="10" t="s">
        <x:v>892</x:v>
      </x:c>
      <x:c r="D169" s="10" t="s">
        <x:v>172</x:v>
      </x:c>
      <x:c r="E169" s="10" t="s">
        <x:v>1056</x:v>
      </x:c>
      <x:c r="F169" s="10" t="s">
        <x:v>897</x:v>
      </x:c>
      <x:c r="G169" s="10" t="s">
        <x:v>765</x:v>
      </x:c>
      <x:c r="H169" s="10" t="s">
        <x:v>766</x:v>
      </x:c>
    </x:row>
    <x:row r="170" ht="46" customHeight="1">
      <x:c r="A170" s="9" t="s">
        <x:v>894</x:v>
      </x:c>
      <x:c r="B170" s="9" t="s">
        <x:v>1057</x:v>
      </x:c>
      <x:c r="C170" s="9" t="s">
        <x:v>892</x:v>
      </x:c>
      <x:c r="D170" s="9" t="s">
        <x:v>172</x:v>
      </x:c>
      <x:c r="E170" s="9" t="s">
        <x:v>1058</x:v>
      </x:c>
      <x:c r="F170" s="9" t="s">
        <x:v>897</x:v>
      </x:c>
      <x:c r="G170" s="9" t="s">
        <x:v>765</x:v>
      </x:c>
      <x:c r="H170" s="9" t="s">
        <x:v>766</x:v>
      </x:c>
    </x:row>
    <x:row r="171" ht="46" customHeight="1">
      <x:c r="A171" s="10" t="s">
        <x:v>894</x:v>
      </x:c>
      <x:c r="B171" s="10" t="s">
        <x:v>1059</x:v>
      </x:c>
      <x:c r="C171" s="10" t="s">
        <x:v>892</x:v>
      </x:c>
      <x:c r="D171" s="10" t="s">
        <x:v>172</x:v>
      </x:c>
      <x:c r="E171" s="10" t="s">
        <x:v>1060</x:v>
      </x:c>
      <x:c r="F171" s="10" t="s">
        <x:v>897</x:v>
      </x:c>
      <x:c r="G171" s="10" t="s">
        <x:v>765</x:v>
      </x:c>
      <x:c r="H171" s="10" t="s">
        <x:v>766</x:v>
      </x:c>
    </x:row>
    <x:row r="172" ht="46" customHeight="1">
      <x:c r="A172" s="9" t="s">
        <x:v>894</x:v>
      </x:c>
      <x:c r="B172" s="9" t="s">
        <x:v>1061</x:v>
      </x:c>
      <x:c r="C172" s="9" t="s">
        <x:v>892</x:v>
      </x:c>
      <x:c r="D172" s="9" t="s">
        <x:v>172</x:v>
      </x:c>
      <x:c r="E172" s="9" t="s">
        <x:v>1062</x:v>
      </x:c>
      <x:c r="F172" s="9" t="s">
        <x:v>897</x:v>
      </x:c>
      <x:c r="G172" s="9" t="s">
        <x:v>765</x:v>
      </x:c>
      <x:c r="H172" s="9" t="s">
        <x:v>766</x:v>
      </x:c>
    </x:row>
    <x:row r="173" ht="46" customHeight="1">
      <x:c r="A173" s="10" t="s">
        <x:v>894</x:v>
      </x:c>
      <x:c r="B173" s="10" t="s">
        <x:v>1063</x:v>
      </x:c>
      <x:c r="C173" s="10" t="s">
        <x:v>892</x:v>
      </x:c>
      <x:c r="D173" s="10" t="s">
        <x:v>172</x:v>
      </x:c>
      <x:c r="E173" s="10" t="s">
        <x:v>1064</x:v>
      </x:c>
      <x:c r="F173" s="10" t="s">
        <x:v>897</x:v>
      </x:c>
      <x:c r="G173" s="10" t="s">
        <x:v>765</x:v>
      </x:c>
      <x:c r="H173" s="10" t="s">
        <x:v>766</x:v>
      </x:c>
    </x:row>
    <x:row r="174" ht="46" customHeight="1">
      <x:c r="A174" s="9" t="s">
        <x:v>894</x:v>
      </x:c>
      <x:c r="B174" s="9" t="s">
        <x:v>1065</x:v>
      </x:c>
      <x:c r="C174" s="9" t="s">
        <x:v>892</x:v>
      </x:c>
      <x:c r="D174" s="9" t="s">
        <x:v>172</x:v>
      </x:c>
      <x:c r="E174" s="9" t="s">
        <x:v>1066</x:v>
      </x:c>
      <x:c r="F174" s="9" t="s">
        <x:v>897</x:v>
      </x:c>
      <x:c r="G174" s="9" t="s">
        <x:v>765</x:v>
      </x:c>
      <x:c r="H174" s="9" t="s">
        <x:v>766</x:v>
      </x:c>
    </x:row>
    <x:row r="175" ht="46" customHeight="1">
      <x:c r="A175" s="10" t="s">
        <x:v>894</x:v>
      </x:c>
      <x:c r="B175" s="10" t="s">
        <x:v>1067</x:v>
      </x:c>
      <x:c r="C175" s="10" t="s">
        <x:v>892</x:v>
      </x:c>
      <x:c r="D175" s="10" t="s">
        <x:v>172</x:v>
      </x:c>
      <x:c r="E175" s="10" t="s">
        <x:v>1068</x:v>
      </x:c>
      <x:c r="F175" s="10" t="s">
        <x:v>897</x:v>
      </x:c>
      <x:c r="G175" s="10" t="s">
        <x:v>765</x:v>
      </x:c>
      <x:c r="H175" s="10" t="s">
        <x:v>766</x:v>
      </x:c>
    </x:row>
    <x:row r="176" ht="46" customHeight="1">
      <x:c r="A176" s="9" t="s">
        <x:v>1069</x:v>
      </x:c>
      <x:c r="B176" s="9" t="s">
        <x:v>23</x:v>
      </x:c>
      <x:c r="C176" s="9" t="s">
        <x:v>1070</x:v>
      </x:c>
      <x:c r="D176" s="9" t="s">
        <x:v>172</x:v>
      </x:c>
      <x:c r="E176" s="9" t="s">
        <x:v>1071</x:v>
      </x:c>
      <x:c r="F176" s="9" t="s">
        <x:v>1072</x:v>
      </x:c>
      <x:c r="G176" s="9" t="s">
        <x:v>1073</x:v>
      </x:c>
      <x:c r="H176" s="9" t="s">
        <x:v>775</x:v>
      </x:c>
    </x:row>
    <x:row r="177" ht="46" customHeight="1">
      <x:c r="A177" s="10" t="s">
        <x:v>1069</x:v>
      </x:c>
      <x:c r="B177" s="10" t="s">
        <x:v>144</x:v>
      </x:c>
      <x:c r="C177" s="10" t="s">
        <x:v>1070</x:v>
      </x:c>
      <x:c r="D177" s="10" t="s">
        <x:v>172</x:v>
      </x:c>
      <x:c r="E177" s="10" t="s">
        <x:v>1074</x:v>
      </x:c>
      <x:c r="F177" s="10" t="s">
        <x:v>1072</x:v>
      </x:c>
      <x:c r="G177" s="10" t="s">
        <x:v>1073</x:v>
      </x:c>
      <x:c r="H177" s="10" t="s">
        <x:v>775</x:v>
      </x:c>
    </x:row>
    <x:row r="178" ht="46" customHeight="1">
      <x:c r="A178" s="9" t="s">
        <x:v>1069</x:v>
      </x:c>
      <x:c r="B178" s="9" t="s">
        <x:v>145</x:v>
      </x:c>
      <x:c r="C178" s="9" t="s">
        <x:v>1070</x:v>
      </x:c>
      <x:c r="D178" s="9" t="s">
        <x:v>172</x:v>
      </x:c>
      <x:c r="E178" s="9" t="s">
        <x:v>1075</x:v>
      </x:c>
      <x:c r="F178" s="9" t="s">
        <x:v>1072</x:v>
      </x:c>
      <x:c r="G178" s="9" t="s">
        <x:v>1073</x:v>
      </x:c>
      <x:c r="H178" s="9" t="s">
        <x:v>775</x:v>
      </x:c>
    </x:row>
    <x:row r="179" ht="46" customHeight="1">
      <x:c r="A179" s="10" t="s">
        <x:v>1069</x:v>
      </x:c>
      <x:c r="B179" s="10" t="s">
        <x:v>146</x:v>
      </x:c>
      <x:c r="C179" s="10" t="s">
        <x:v>1070</x:v>
      </x:c>
      <x:c r="D179" s="10" t="s">
        <x:v>172</x:v>
      </x:c>
      <x:c r="E179" s="10" t="s">
        <x:v>1076</x:v>
      </x:c>
      <x:c r="F179" s="10" t="s">
        <x:v>1072</x:v>
      </x:c>
      <x:c r="G179" s="10" t="s">
        <x:v>1073</x:v>
      </x:c>
      <x:c r="H179" s="10" t="s">
        <x:v>775</x:v>
      </x:c>
    </x:row>
    <x:row r="180" ht="46" customHeight="1">
      <x:c r="A180" s="9" t="s">
        <x:v>1069</x:v>
      </x:c>
      <x:c r="B180" s="9" t="s">
        <x:v>147</x:v>
      </x:c>
      <x:c r="C180" s="9" t="s">
        <x:v>1070</x:v>
      </x:c>
      <x:c r="D180" s="9" t="s">
        <x:v>172</x:v>
      </x:c>
      <x:c r="E180" s="9" t="s">
        <x:v>1077</x:v>
      </x:c>
      <x:c r="F180" s="9" t="s">
        <x:v>1072</x:v>
      </x:c>
      <x:c r="G180" s="9" t="s">
        <x:v>1073</x:v>
      </x:c>
      <x:c r="H180" s="9" t="s">
        <x:v>775</x:v>
      </x:c>
    </x:row>
    <x:row r="181" ht="46" customHeight="1">
      <x:c r="A181" s="10" t="s">
        <x:v>1069</x:v>
      </x:c>
      <x:c r="B181" s="10" t="s">
        <x:v>148</x:v>
      </x:c>
      <x:c r="C181" s="10" t="s">
        <x:v>1070</x:v>
      </x:c>
      <x:c r="D181" s="10" t="s">
        <x:v>172</x:v>
      </x:c>
      <x:c r="E181" s="10" t="s">
        <x:v>1078</x:v>
      </x:c>
      <x:c r="F181" s="10" t="s">
        <x:v>1072</x:v>
      </x:c>
      <x:c r="G181" s="10" t="s">
        <x:v>1073</x:v>
      </x:c>
      <x:c r="H181" s="10" t="s">
        <x:v>775</x:v>
      </x:c>
    </x:row>
    <x:row r="182" ht="46" customHeight="1">
      <x:c r="A182" s="9" t="s">
        <x:v>1069</x:v>
      </x:c>
      <x:c r="B182" s="9" t="s">
        <x:v>149</x:v>
      </x:c>
      <x:c r="C182" s="9" t="s">
        <x:v>1070</x:v>
      </x:c>
      <x:c r="D182" s="9" t="s">
        <x:v>172</x:v>
      </x:c>
      <x:c r="E182" s="9" t="s">
        <x:v>1079</x:v>
      </x:c>
      <x:c r="F182" s="9" t="s">
        <x:v>1072</x:v>
      </x:c>
      <x:c r="G182" s="9" t="s">
        <x:v>1073</x:v>
      </x:c>
      <x:c r="H182" s="9" t="s">
        <x:v>775</x:v>
      </x:c>
    </x:row>
    <x:row r="183" ht="46" customHeight="1">
      <x:c r="A183" s="10" t="s">
        <x:v>1069</x:v>
      </x:c>
      <x:c r="B183" s="10" t="s">
        <x:v>116</x:v>
      </x:c>
      <x:c r="C183" s="10" t="s">
        <x:v>1070</x:v>
      </x:c>
      <x:c r="D183" s="10" t="s">
        <x:v>172</x:v>
      </x:c>
      <x:c r="E183" s="10" t="s">
        <x:v>1080</x:v>
      </x:c>
      <x:c r="F183" s="10" t="s">
        <x:v>1072</x:v>
      </x:c>
      <x:c r="G183" s="10" t="s">
        <x:v>1073</x:v>
      </x:c>
      <x:c r="H183" s="10" t="s">
        <x:v>775</x:v>
      </x:c>
    </x:row>
    <x:row r="184" ht="46" customHeight="1">
      <x:c r="A184" s="9" t="s">
        <x:v>1069</x:v>
      </x:c>
      <x:c r="B184" s="9" t="s">
        <x:v>117</x:v>
      </x:c>
      <x:c r="C184" s="9" t="s">
        <x:v>1070</x:v>
      </x:c>
      <x:c r="D184" s="9" t="s">
        <x:v>172</x:v>
      </x:c>
      <x:c r="E184" s="9" t="s">
        <x:v>1081</x:v>
      </x:c>
      <x:c r="F184" s="9" t="s">
        <x:v>1072</x:v>
      </x:c>
      <x:c r="G184" s="9" t="s">
        <x:v>1073</x:v>
      </x:c>
      <x:c r="H184" s="9" t="s">
        <x:v>775</x:v>
      </x:c>
    </x:row>
    <x:row r="185" ht="46" customHeight="1">
      <x:c r="A185" s="10" t="s">
        <x:v>1069</x:v>
      </x:c>
      <x:c r="B185" s="10" t="s">
        <x:v>118</x:v>
      </x:c>
      <x:c r="C185" s="10" t="s">
        <x:v>1070</x:v>
      </x:c>
      <x:c r="D185" s="10" t="s">
        <x:v>172</x:v>
      </x:c>
      <x:c r="E185" s="10" t="s">
        <x:v>1082</x:v>
      </x:c>
      <x:c r="F185" s="10" t="s">
        <x:v>1072</x:v>
      </x:c>
      <x:c r="G185" s="10" t="s">
        <x:v>1073</x:v>
      </x:c>
      <x:c r="H185" s="10" t="s">
        <x:v>775</x:v>
      </x:c>
    </x:row>
    <x:row r="186" ht="46" customHeight="1">
      <x:c r="A186" s="9" t="s">
        <x:v>1069</x:v>
      </x:c>
      <x:c r="B186" s="9" t="s">
        <x:v>150</x:v>
      </x:c>
      <x:c r="C186" s="9" t="s">
        <x:v>1070</x:v>
      </x:c>
      <x:c r="D186" s="9" t="s">
        <x:v>172</x:v>
      </x:c>
      <x:c r="E186" s="9" t="s">
        <x:v>1083</x:v>
      </x:c>
      <x:c r="F186" s="9" t="s">
        <x:v>1072</x:v>
      </x:c>
      <x:c r="G186" s="9" t="s">
        <x:v>1073</x:v>
      </x:c>
      <x:c r="H186" s="9" t="s">
        <x:v>775</x:v>
      </x:c>
    </x:row>
    <x:row r="187" ht="46" customHeight="1">
      <x:c r="A187" s="10" t="s">
        <x:v>1069</x:v>
      </x:c>
      <x:c r="B187" s="10" t="s">
        <x:v>151</x:v>
      </x:c>
      <x:c r="C187" s="10" t="s">
        <x:v>1070</x:v>
      </x:c>
      <x:c r="D187" s="10" t="s">
        <x:v>172</x:v>
      </x:c>
      <x:c r="E187" s="10" t="s">
        <x:v>1084</x:v>
      </x:c>
      <x:c r="F187" s="10" t="s">
        <x:v>1072</x:v>
      </x:c>
      <x:c r="G187" s="10" t="s">
        <x:v>1073</x:v>
      </x:c>
      <x:c r="H187" s="10" t="s">
        <x:v>775</x:v>
      </x:c>
    </x:row>
    <x:row r="188" ht="46" customHeight="1">
      <x:c r="A188" s="9" t="s">
        <x:v>1069</x:v>
      </x:c>
      <x:c r="B188" s="9" t="s">
        <x:v>152</x:v>
      </x:c>
      <x:c r="C188" s="9" t="s">
        <x:v>1070</x:v>
      </x:c>
      <x:c r="D188" s="9" t="s">
        <x:v>172</x:v>
      </x:c>
      <x:c r="E188" s="9" t="s">
        <x:v>1085</x:v>
      </x:c>
      <x:c r="F188" s="9" t="s">
        <x:v>1072</x:v>
      </x:c>
      <x:c r="G188" s="9" t="s">
        <x:v>1073</x:v>
      </x:c>
      <x:c r="H188" s="9" t="s">
        <x:v>775</x:v>
      </x:c>
    </x:row>
    <x:row r="189" ht="46" customHeight="1">
      <x:c r="A189" s="10" t="s">
        <x:v>1069</x:v>
      </x:c>
      <x:c r="B189" s="10" t="s">
        <x:v>153</x:v>
      </x:c>
      <x:c r="C189" s="10" t="s">
        <x:v>1070</x:v>
      </x:c>
      <x:c r="D189" s="10" t="s">
        <x:v>172</x:v>
      </x:c>
      <x:c r="E189" s="10" t="s">
        <x:v>1086</x:v>
      </x:c>
      <x:c r="F189" s="10" t="s">
        <x:v>1072</x:v>
      </x:c>
      <x:c r="G189" s="10" t="s">
        <x:v>1073</x:v>
      </x:c>
      <x:c r="H189" s="10" t="s">
        <x:v>775</x:v>
      </x:c>
    </x:row>
    <x:row r="190" ht="46" customHeight="1">
      <x:c r="A190" s="9" t="s">
        <x:v>1069</x:v>
      </x:c>
      <x:c r="B190" s="9" t="s">
        <x:v>154</x:v>
      </x:c>
      <x:c r="C190" s="9" t="s">
        <x:v>1070</x:v>
      </x:c>
      <x:c r="D190" s="9" t="s">
        <x:v>172</x:v>
      </x:c>
      <x:c r="E190" s="9" t="s">
        <x:v>1087</x:v>
      </x:c>
      <x:c r="F190" s="9" t="s">
        <x:v>1072</x:v>
      </x:c>
      <x:c r="G190" s="9" t="s">
        <x:v>1073</x:v>
      </x:c>
      <x:c r="H190" s="9" t="s">
        <x:v>775</x:v>
      </x:c>
    </x:row>
    <x:row r="191" ht="46" customHeight="1">
      <x:c r="A191" s="10" t="s">
        <x:v>1069</x:v>
      </x:c>
      <x:c r="B191" s="10" t="s">
        <x:v>155</x:v>
      </x:c>
      <x:c r="C191" s="10" t="s">
        <x:v>1070</x:v>
      </x:c>
      <x:c r="D191" s="10" t="s">
        <x:v>172</x:v>
      </x:c>
      <x:c r="E191" s="10" t="s">
        <x:v>1088</x:v>
      </x:c>
      <x:c r="F191" s="10" t="s">
        <x:v>1072</x:v>
      </x:c>
      <x:c r="G191" s="10" t="s">
        <x:v>1073</x:v>
      </x:c>
      <x:c r="H191" s="10" t="s">
        <x:v>775</x:v>
      </x:c>
    </x:row>
    <x:row r="192" ht="46" customHeight="1">
      <x:c r="A192" s="9" t="s">
        <x:v>1069</x:v>
      </x:c>
      <x:c r="B192" s="9" t="s">
        <x:v>156</x:v>
      </x:c>
      <x:c r="C192" s="9" t="s">
        <x:v>1070</x:v>
      </x:c>
      <x:c r="D192" s="9" t="s">
        <x:v>172</x:v>
      </x:c>
      <x:c r="E192" s="9" t="s">
        <x:v>1089</x:v>
      </x:c>
      <x:c r="F192" s="9" t="s">
        <x:v>1072</x:v>
      </x:c>
      <x:c r="G192" s="9" t="s">
        <x:v>1073</x:v>
      </x:c>
      <x:c r="H192" s="9" t="s">
        <x:v>775</x:v>
      </x:c>
    </x:row>
    <x:row r="193" ht="46" customHeight="1">
      <x:c r="A193" s="10" t="s">
        <x:v>1069</x:v>
      </x:c>
      <x:c r="B193" s="10" t="s">
        <x:v>157</x:v>
      </x:c>
      <x:c r="C193" s="10" t="s">
        <x:v>1070</x:v>
      </x:c>
      <x:c r="D193" s="10" t="s">
        <x:v>172</x:v>
      </x:c>
      <x:c r="E193" s="10" t="s">
        <x:v>1090</x:v>
      </x:c>
      <x:c r="F193" s="10" t="s">
        <x:v>1072</x:v>
      </x:c>
      <x:c r="G193" s="10" t="s">
        <x:v>1073</x:v>
      </x:c>
      <x:c r="H193" s="10" t="s">
        <x:v>775</x:v>
      </x:c>
    </x:row>
    <x:row r="194" ht="46" customHeight="1">
      <x:c r="A194" s="9" t="s">
        <x:v>1069</x:v>
      </x:c>
      <x:c r="B194" s="9" t="s">
        <x:v>158</x:v>
      </x:c>
      <x:c r="C194" s="9" t="s">
        <x:v>1070</x:v>
      </x:c>
      <x:c r="D194" s="9" t="s">
        <x:v>172</x:v>
      </x:c>
      <x:c r="E194" s="9" t="s">
        <x:v>1091</x:v>
      </x:c>
      <x:c r="F194" s="9" t="s">
        <x:v>1072</x:v>
      </x:c>
      <x:c r="G194" s="9" t="s">
        <x:v>1073</x:v>
      </x:c>
      <x:c r="H194" s="9" t="s">
        <x:v>775</x:v>
      </x:c>
    </x:row>
    <x:row r="195" ht="46" customHeight="1">
      <x:c r="A195" s="10" t="s">
        <x:v>1069</x:v>
      </x:c>
      <x:c r="B195" s="10" t="s">
        <x:v>159</x:v>
      </x:c>
      <x:c r="C195" s="10" t="s">
        <x:v>1070</x:v>
      </x:c>
      <x:c r="D195" s="10" t="s">
        <x:v>172</x:v>
      </x:c>
      <x:c r="E195" s="10" t="s">
        <x:v>1092</x:v>
      </x:c>
      <x:c r="F195" s="10" t="s">
        <x:v>1072</x:v>
      </x:c>
      <x:c r="G195" s="10" t="s">
        <x:v>1073</x:v>
      </x:c>
      <x:c r="H195" s="10" t="s">
        <x:v>775</x:v>
      </x:c>
    </x:row>
    <x:row r="196" ht="46" customHeight="1">
      <x:c r="A196" s="9" t="s">
        <x:v>1069</x:v>
      </x:c>
      <x:c r="B196" s="9" t="s">
        <x:v>160</x:v>
      </x:c>
      <x:c r="C196" s="9" t="s">
        <x:v>1070</x:v>
      </x:c>
      <x:c r="D196" s="9" t="s">
        <x:v>172</x:v>
      </x:c>
      <x:c r="E196" s="9" t="s">
        <x:v>1093</x:v>
      </x:c>
      <x:c r="F196" s="9" t="s">
        <x:v>1072</x:v>
      </x:c>
      <x:c r="G196" s="9" t="s">
        <x:v>1073</x:v>
      </x:c>
      <x:c r="H196" s="9" t="s">
        <x:v>775</x:v>
      </x:c>
    </x:row>
    <x:row r="197" ht="46" customHeight="1">
      <x:c r="A197" s="10" t="s">
        <x:v>1069</x:v>
      </x:c>
      <x:c r="B197" s="10" t="s">
        <x:v>161</x:v>
      </x:c>
      <x:c r="C197" s="10" t="s">
        <x:v>1094</x:v>
      </x:c>
      <x:c r="D197" s="10" t="s">
        <x:v>171</x:v>
      </x:c>
      <x:c r="E197" s="10" t="s">
        <x:v>1095</x:v>
      </x:c>
      <x:c r="F197" s="10" t="s">
        <x:v>1072</x:v>
      </x:c>
      <x:c r="G197" s="10" t="s">
        <x:v>1073</x:v>
      </x:c>
      <x:c r="H197" s="10" t="s">
        <x:v>766</x:v>
      </x:c>
    </x:row>
    <x:row r="198" ht="46" customHeight="1">
      <x:c r="A198" s="9" t="s">
        <x:v>1069</x:v>
      </x:c>
      <x:c r="B198" s="9" t="s">
        <x:v>162</x:v>
      </x:c>
      <x:c r="C198" s="9" t="s">
        <x:v>1070</x:v>
      </x:c>
      <x:c r="D198" s="9" t="s">
        <x:v>172</x:v>
      </x:c>
      <x:c r="E198" s="9" t="s">
        <x:v>1096</x:v>
      </x:c>
      <x:c r="F198" s="9" t="s">
        <x:v>1072</x:v>
      </x:c>
      <x:c r="G198" s="9" t="s">
        <x:v>1073</x:v>
      </x:c>
      <x:c r="H198" s="9" t="s">
        <x:v>775</x:v>
      </x:c>
    </x:row>
    <x:row r="199" ht="46" customHeight="1">
      <x:c r="A199" s="10" t="s">
        <x:v>1097</x:v>
      </x:c>
      <x:c r="B199" s="10" t="s">
        <x:v>23</x:v>
      </x:c>
      <x:c r="C199" s="10" t="s">
        <x:v>882</x:v>
      </x:c>
      <x:c r="D199" s="10" t="s">
        <x:v>172</x:v>
      </x:c>
      <x:c r="E199" s="10" t="s">
        <x:v>811</x:v>
      </x:c>
      <x:c r="F199" s="10" t="s">
        <x:v>812</x:v>
      </x:c>
      <x:c r="G199" s="10" t="s">
        <x:v>794</x:v>
      </x:c>
      <x:c r="H199" s="10" t="s">
        <x:v>775</x:v>
      </x:c>
    </x:row>
    <x:row r="200" ht="46" customHeight="1">
      <x:c r="A200" s="9" t="s">
        <x:v>1097</x:v>
      </x:c>
      <x:c r="B200" s="9" t="s">
        <x:v>27</x:v>
      </x:c>
      <x:c r="C200" s="9" t="s">
        <x:v>882</x:v>
      </x:c>
      <x:c r="D200" s="9" t="s">
        <x:v>172</x:v>
      </x:c>
      <x:c r="E200" s="9" t="s">
        <x:v>821</x:v>
      </x:c>
      <x:c r="F200" s="9" t="s">
        <x:v>812</x:v>
      </x:c>
      <x:c r="G200" s="9" t="s">
        <x:v>794</x:v>
      </x:c>
      <x:c r="H200" s="9" t="s">
        <x:v>775</x:v>
      </x:c>
    </x:row>
    <x:row r="201" ht="46" customHeight="1">
      <x:c r="A201" s="10" t="s">
        <x:v>1097</x:v>
      </x:c>
      <x:c r="B201" s="10" t="s">
        <x:v>28</x:v>
      </x:c>
      <x:c r="C201" s="10" t="s">
        <x:v>882</x:v>
      </x:c>
      <x:c r="D201" s="10" t="s">
        <x:v>172</x:v>
      </x:c>
      <x:c r="E201" s="10" t="s">
        <x:v>823</x:v>
      </x:c>
      <x:c r="F201" s="10" t="s">
        <x:v>812</x:v>
      </x:c>
      <x:c r="G201" s="10" t="s">
        <x:v>794</x:v>
      </x:c>
      <x:c r="H201" s="10" t="s">
        <x:v>775</x:v>
      </x:c>
    </x:row>
    <x:row r="202" ht="46" customHeight="1">
      <x:c r="A202" s="9" t="s">
        <x:v>1097</x:v>
      </x:c>
      <x:c r="B202" s="9" t="s">
        <x:v>699</x:v>
      </x:c>
      <x:c r="C202" s="9" t="s">
        <x:v>882</x:v>
      </x:c>
      <x:c r="D202" s="9" t="s">
        <x:v>172</x:v>
      </x:c>
      <x:c r="E202" s="9" t="s">
        <x:v>1098</x:v>
      </x:c>
      <x:c r="F202" s="9" t="s">
        <x:v>812</x:v>
      </x:c>
      <x:c r="G202" s="9" t="s">
        <x:v>794</x:v>
      </x:c>
      <x:c r="H202" s="9" t="s">
        <x:v>775</x:v>
      </x:c>
    </x:row>
    <x:row r="203" ht="46" customHeight="1">
      <x:c r="A203" s="10" t="s">
        <x:v>1097</x:v>
      </x:c>
      <x:c r="B203" s="10" t="s">
        <x:v>700</x:v>
      </x:c>
      <x:c r="C203" s="10" t="s">
        <x:v>882</x:v>
      </x:c>
      <x:c r="D203" s="10" t="s">
        <x:v>172</x:v>
      </x:c>
      <x:c r="E203" s="10" t="s">
        <x:v>1099</x:v>
      </x:c>
      <x:c r="F203" s="10" t="s">
        <x:v>1100</x:v>
      </x:c>
      <x:c r="G203" s="10" t="s">
        <x:v>794</x:v>
      </x:c>
      <x:c r="H203" s="10" t="s">
        <x:v>775</x:v>
      </x:c>
    </x:row>
    <x:row r="204" ht="46" customHeight="1">
      <x:c r="A204" s="9" t="s">
        <x:v>1097</x:v>
      </x:c>
      <x:c r="B204" s="9" t="s">
        <x:v>128</x:v>
      </x:c>
      <x:c r="C204" s="9" t="s">
        <x:v>882</x:v>
      </x:c>
      <x:c r="D204" s="9" t="s">
        <x:v>172</x:v>
      </x:c>
      <x:c r="E204" s="9" t="s">
        <x:v>1101</x:v>
      </x:c>
      <x:c r="F204" s="9" t="s">
        <x:v>812</x:v>
      </x:c>
      <x:c r="G204" s="9" t="s">
        <x:v>794</x:v>
      </x:c>
      <x:c r="H204" s="9" t="s">
        <x:v>775</x:v>
      </x:c>
    </x:row>
    <x:row r="205" ht="46" customHeight="1">
      <x:c r="A205" s="10" t="s">
        <x:v>1097</x:v>
      </x:c>
      <x:c r="B205" s="10" t="s">
        <x:v>129</x:v>
      </x:c>
      <x:c r="C205" s="10" t="s">
        <x:v>882</x:v>
      </x:c>
      <x:c r="D205" s="10" t="s">
        <x:v>172</x:v>
      </x:c>
      <x:c r="E205" s="10" t="s">
        <x:v>1102</x:v>
      </x:c>
      <x:c r="F205" s="10" t="s">
        <x:v>812</x:v>
      </x:c>
      <x:c r="G205" s="10" t="s">
        <x:v>794</x:v>
      </x:c>
      <x:c r="H205" s="10" t="s">
        <x:v>775</x:v>
      </x:c>
    </x:row>
    <x:row r="206" ht="46" customHeight="1">
      <x:c r="A206" s="9" t="s">
        <x:v>1097</x:v>
      </x:c>
      <x:c r="B206" s="9" t="s">
        <x:v>130</x:v>
      </x:c>
      <x:c r="C206" s="9" t="s">
        <x:v>882</x:v>
      </x:c>
      <x:c r="D206" s="9" t="s">
        <x:v>172</x:v>
      </x:c>
      <x:c r="E206" s="9" t="s">
        <x:v>1103</x:v>
      </x:c>
      <x:c r="F206" s="9" t="s">
        <x:v>812</x:v>
      </x:c>
      <x:c r="G206" s="9" t="s">
        <x:v>794</x:v>
      </x:c>
      <x:c r="H206" s="9" t="s">
        <x:v>775</x:v>
      </x:c>
    </x:row>
    <x:row r="207" ht="46" customHeight="1">
      <x:c r="A207" s="10" t="s">
        <x:v>1097</x:v>
      </x:c>
      <x:c r="B207" s="10" t="s">
        <x:v>701</x:v>
      </x:c>
      <x:c r="C207" s="10" t="s">
        <x:v>882</x:v>
      </x:c>
      <x:c r="D207" s="10" t="s">
        <x:v>172</x:v>
      </x:c>
      <x:c r="E207" s="10" t="s">
        <x:v>1104</x:v>
      </x:c>
      <x:c r="F207" s="10" t="s">
        <x:v>812</x:v>
      </x:c>
      <x:c r="G207" s="10" t="s">
        <x:v>794</x:v>
      </x:c>
      <x:c r="H207" s="10" t="s">
        <x:v>775</x:v>
      </x:c>
    </x:row>
    <x:row r="208" ht="46" customHeight="1">
      <x:c r="A208" s="9" t="s">
        <x:v>1097</x:v>
      </x:c>
      <x:c r="B208" s="9" t="s">
        <x:v>132</x:v>
      </x:c>
      <x:c r="C208" s="9" t="s">
        <x:v>882</x:v>
      </x:c>
      <x:c r="D208" s="9" t="s">
        <x:v>172</x:v>
      </x:c>
      <x:c r="E208" s="9" t="s">
        <x:v>1105</x:v>
      </x:c>
      <x:c r="F208" s="9" t="s">
        <x:v>812</x:v>
      </x:c>
      <x:c r="G208" s="9" t="s">
        <x:v>794</x:v>
      </x:c>
      <x:c r="H208" s="9" t="s">
        <x:v>775</x:v>
      </x:c>
    </x:row>
    <x:row r="209" ht="46" customHeight="1">
      <x:c r="A209" s="10" t="s">
        <x:v>1097</x:v>
      </x:c>
      <x:c r="B209" s="10" t="s">
        <x:v>702</x:v>
      </x:c>
      <x:c r="C209" s="10" t="s">
        <x:v>882</x:v>
      </x:c>
      <x:c r="D209" s="10" t="s">
        <x:v>172</x:v>
      </x:c>
      <x:c r="E209" s="10" t="s">
        <x:v>1106</x:v>
      </x:c>
      <x:c r="F209" s="10" t="s">
        <x:v>812</x:v>
      </x:c>
      <x:c r="G209" s="10" t="s">
        <x:v>794</x:v>
      </x:c>
      <x:c r="H209" s="10" t="s">
        <x:v>775</x:v>
      </x:c>
    </x:row>
    <x:row r="210" ht="46" customHeight="1">
      <x:c r="A210" s="9" t="s">
        <x:v>1097</x:v>
      </x:c>
      <x:c r="B210" s="9" t="s">
        <x:v>703</x:v>
      </x:c>
      <x:c r="C210" s="9" t="s">
        <x:v>882</x:v>
      </x:c>
      <x:c r="D210" s="9" t="s">
        <x:v>172</x:v>
      </x:c>
      <x:c r="E210" s="9" t="s">
        <x:v>1107</x:v>
      </x:c>
      <x:c r="F210" s="9" t="s">
        <x:v>1100</x:v>
      </x:c>
      <x:c r="G210" s="9" t="s">
        <x:v>794</x:v>
      </x:c>
      <x:c r="H210" s="9" t="s">
        <x:v>775</x:v>
      </x:c>
    </x:row>
    <x:row r="211" ht="46" customHeight="1">
      <x:c r="A211" s="10" t="s">
        <x:v>1097</x:v>
      </x:c>
      <x:c r="B211" s="10" t="s">
        <x:v>704</x:v>
      </x:c>
      <x:c r="C211" s="10" t="s">
        <x:v>882</x:v>
      </x:c>
      <x:c r="D211" s="10" t="s">
        <x:v>172</x:v>
      </x:c>
      <x:c r="E211" s="10" t="s">
        <x:v>1108</x:v>
      </x:c>
      <x:c r="F211" s="10" t="s">
        <x:v>812</x:v>
      </x:c>
      <x:c r="G211" s="10" t="s">
        <x:v>794</x:v>
      </x:c>
      <x:c r="H211" s="10" t="s">
        <x:v>775</x:v>
      </x:c>
    </x:row>
    <x:row r="212" ht="46" customHeight="1">
      <x:c r="A212" s="9" t="s">
        <x:v>1097</x:v>
      </x:c>
      <x:c r="B212" s="9" t="s">
        <x:v>59</x:v>
      </x:c>
      <x:c r="C212" s="9" t="s">
        <x:v>882</x:v>
      </x:c>
      <x:c r="D212" s="9" t="s">
        <x:v>172</x:v>
      </x:c>
      <x:c r="E212" s="9" t="s">
        <x:v>1109</x:v>
      </x:c>
      <x:c r="F212" s="9" t="s">
        <x:v>812</x:v>
      </x:c>
      <x:c r="G212" s="9" t="s">
        <x:v>794</x:v>
      </x:c>
      <x:c r="H212" s="9" t="s">
        <x:v>775</x:v>
      </x:c>
    </x:row>
    <x:row r="213" ht="46" customHeight="1">
      <x:c r="A213" s="10" t="s">
        <x:v>1097</x:v>
      </x:c>
      <x:c r="B213" s="10" t="s">
        <x:v>135</x:v>
      </x:c>
      <x:c r="C213" s="10" t="s">
        <x:v>882</x:v>
      </x:c>
      <x:c r="D213" s="10" t="s">
        <x:v>172</x:v>
      </x:c>
      <x:c r="E213" s="10" t="s">
        <x:v>1110</x:v>
      </x:c>
      <x:c r="F213" s="10" t="s">
        <x:v>812</x:v>
      </x:c>
      <x:c r="G213" s="10" t="s">
        <x:v>794</x:v>
      </x:c>
      <x:c r="H213" s="10" t="s">
        <x:v>775</x:v>
      </x:c>
    </x:row>
    <x:row r="214" ht="46" customHeight="1">
      <x:c r="A214" s="9" t="s">
        <x:v>1097</x:v>
      </x:c>
      <x:c r="B214" s="9" t="s">
        <x:v>35</x:v>
      </x:c>
      <x:c r="C214" s="9" t="s">
        <x:v>882</x:v>
      </x:c>
      <x:c r="D214" s="9" t="s">
        <x:v>172</x:v>
      </x:c>
      <x:c r="E214" s="9" t="s">
        <x:v>838</x:v>
      </x:c>
      <x:c r="F214" s="9" t="s">
        <x:v>812</x:v>
      </x:c>
      <x:c r="G214" s="9" t="s">
        <x:v>794</x:v>
      </x:c>
      <x:c r="H214" s="9" t="s">
        <x:v>775</x:v>
      </x:c>
    </x:row>
    <x:row r="215" ht="46" customHeight="1">
      <x:c r="A215" s="10" t="s">
        <x:v>1097</x:v>
      </x:c>
      <x:c r="B215" s="10" t="s">
        <x:v>705</x:v>
      </x:c>
      <x:c r="C215" s="10" t="s">
        <x:v>882</x:v>
      </x:c>
      <x:c r="D215" s="10" t="s">
        <x:v>172</x:v>
      </x:c>
      <x:c r="E215" s="10" t="s">
        <x:v>1111</x:v>
      </x:c>
      <x:c r="F215" s="10" t="s">
        <x:v>812</x:v>
      </x:c>
      <x:c r="G215" s="10" t="s">
        <x:v>794</x:v>
      </x:c>
      <x:c r="H215" s="10" t="s">
        <x:v>775</x:v>
      </x:c>
    </x:row>
    <x:row r="216" ht="46" customHeight="1">
      <x:c r="A216" s="9" t="s">
        <x:v>765</x:v>
      </x:c>
      <x:c r="B216" s="9" t="s">
        <x:v>62</x:v>
      </x:c>
      <x:c r="C216" s="9" t="s">
        <x:v>1112</x:v>
      </x:c>
      <x:c r="D216" s="9" t="s">
        <x:v>171</x:v>
      </x:c>
      <x:c r="E216" s="9" t="s">
        <x:v>1113</x:v>
      </x:c>
      <x:c r="F216" s="9" t="s">
        <x:v>1114</x:v>
      </x:c>
      <x:c r="G216" s="9" t="s">
        <x:v>1115</x:v>
      </x:c>
      <x:c r="H216" s="9" t="s">
        <x:v>766</x:v>
      </x:c>
    </x:row>
    <x:row r="217" ht="46" customHeight="1">
      <x:c r="A217" s="10" t="s">
        <x:v>765</x:v>
      </x:c>
      <x:c r="B217" s="10" t="s">
        <x:v>708</x:v>
      </x:c>
      <x:c r="C217" s="10" t="s">
        <x:v>1112</x:v>
      </x:c>
      <x:c r="D217" s="10" t="s">
        <x:v>171</x:v>
      </x:c>
      <x:c r="E217" s="10" t="s">
        <x:v>1116</x:v>
      </x:c>
      <x:c r="F217" s="10" t="s">
        <x:v>1114</x:v>
      </x:c>
      <x:c r="G217" s="10" t="s">
        <x:v>1115</x:v>
      </x:c>
      <x:c r="H217" s="10" t="s">
        <x:v>766</x:v>
      </x:c>
    </x:row>
    <x:row r="218" ht="46" customHeight="1">
      <x:c r="A218" s="9" t="s">
        <x:v>765</x:v>
      </x:c>
      <x:c r="B218" s="9" t="s">
        <x:v>709</x:v>
      </x:c>
      <x:c r="C218" s="9" t="s">
        <x:v>1112</x:v>
      </x:c>
      <x:c r="D218" s="9" t="s">
        <x:v>171</x:v>
      </x:c>
      <x:c r="E218" s="9" t="s">
        <x:v>1117</x:v>
      </x:c>
      <x:c r="F218" s="9" t="s">
        <x:v>1114</x:v>
      </x:c>
      <x:c r="G218" s="9" t="s">
        <x:v>1115</x:v>
      </x:c>
      <x:c r="H218" s="9" t="s">
        <x:v>766</x:v>
      </x:c>
    </x:row>
    <x:row r="219" ht="46" customHeight="1">
      <x:c r="A219" s="10" t="s">
        <x:v>765</x:v>
      </x:c>
      <x:c r="B219" s="10" t="s">
        <x:v>710</x:v>
      </x:c>
      <x:c r="C219" s="10" t="s">
        <x:v>1112</x:v>
      </x:c>
      <x:c r="D219" s="10" t="s">
        <x:v>171</x:v>
      </x:c>
      <x:c r="E219" s="10" t="s">
        <x:v>1118</x:v>
      </x:c>
      <x:c r="F219" s="10" t="s">
        <x:v>1114</x:v>
      </x:c>
      <x:c r="G219" s="10" t="s">
        <x:v>1115</x:v>
      </x:c>
      <x:c r="H219" s="10" t="s">
        <x:v>766</x:v>
      </x:c>
    </x:row>
    <x:row r="220" ht="46" customHeight="1">
      <x:c r="A220" s="9" t="s">
        <x:v>765</x:v>
      </x:c>
      <x:c r="B220" s="9" t="s">
        <x:v>711</x:v>
      </x:c>
      <x:c r="C220" s="9" t="s">
        <x:v>1112</x:v>
      </x:c>
      <x:c r="D220" s="9" t="s">
        <x:v>171</x:v>
      </x:c>
      <x:c r="E220" s="9" t="s">
        <x:v>1119</x:v>
      </x:c>
      <x:c r="F220" s="9" t="s">
        <x:v>1114</x:v>
      </x:c>
      <x:c r="G220" s="9" t="s">
        <x:v>1115</x:v>
      </x:c>
      <x:c r="H220" s="9" t="s">
        <x:v>766</x:v>
      </x:c>
    </x:row>
    <x:row r="221" ht="46" customHeight="1">
      <x:c r="A221" s="10" t="s">
        <x:v>765</x:v>
      </x:c>
      <x:c r="B221" s="10" t="s">
        <x:v>712</x:v>
      </x:c>
      <x:c r="C221" s="10" t="s">
        <x:v>1112</x:v>
      </x:c>
      <x:c r="D221" s="10" t="s">
        <x:v>171</x:v>
      </x:c>
      <x:c r="E221" s="10" t="s">
        <x:v>1120</x:v>
      </x:c>
      <x:c r="F221" s="10" t="s">
        <x:v>1114</x:v>
      </x:c>
      <x:c r="G221" s="10" t="s">
        <x:v>1115</x:v>
      </x:c>
      <x:c r="H221" s="10" t="s">
        <x:v>766</x:v>
      </x:c>
    </x:row>
    <x:row r="222" ht="46" customHeight="1">
      <x:c r="A222" s="9" t="s">
        <x:v>765</x:v>
      </x:c>
      <x:c r="B222" s="9" t="s">
        <x:v>63</x:v>
      </x:c>
      <x:c r="C222" s="9" t="s">
        <x:v>1112</x:v>
      </x:c>
      <x:c r="D222" s="9" t="s">
        <x:v>171</x:v>
      </x:c>
      <x:c r="E222" s="9" t="s">
        <x:v>1121</x:v>
      </x:c>
      <x:c r="F222" s="9" t="s">
        <x:v>1114</x:v>
      </x:c>
      <x:c r="G222" s="9" t="s">
        <x:v>1115</x:v>
      </x:c>
      <x:c r="H222" s="9" t="s">
        <x:v>766</x:v>
      </x:c>
    </x:row>
    <x:row r="223" ht="46" customHeight="1">
      <x:c r="A223" s="10" t="s">
        <x:v>765</x:v>
      </x:c>
      <x:c r="B223" s="10" t="s">
        <x:v>138</x:v>
      </x:c>
      <x:c r="C223" s="10" t="s">
        <x:v>1112</x:v>
      </x:c>
      <x:c r="D223" s="10" t="s">
        <x:v>171</x:v>
      </x:c>
      <x:c r="E223" s="10" t="s">
        <x:v>1122</x:v>
      </x:c>
      <x:c r="F223" s="10" t="s">
        <x:v>1114</x:v>
      </x:c>
      <x:c r="G223" s="10" t="s">
        <x:v>1115</x:v>
      </x:c>
      <x:c r="H223" s="10" t="s">
        <x:v>766</x:v>
      </x:c>
    </x:row>
    <x:row r="224" ht="46" customHeight="1">
      <x:c r="A224" s="9" t="s">
        <x:v>765</x:v>
      </x:c>
      <x:c r="B224" s="9" t="s">
        <x:v>139</x:v>
      </x:c>
      <x:c r="C224" s="9" t="s">
        <x:v>1112</x:v>
      </x:c>
      <x:c r="D224" s="9" t="s">
        <x:v>171</x:v>
      </x:c>
      <x:c r="E224" s="9" t="s">
        <x:v>1123</x:v>
      </x:c>
      <x:c r="F224" s="9" t="s">
        <x:v>1114</x:v>
      </x:c>
      <x:c r="G224" s="9" t="s">
        <x:v>1115</x:v>
      </x:c>
      <x:c r="H224" s="9" t="s">
        <x:v>766</x:v>
      </x:c>
    </x:row>
    <x:row r="225" ht="46" customHeight="1">
      <x:c r="A225" s="10" t="s">
        <x:v>765</x:v>
      </x:c>
      <x:c r="B225" s="10" t="s">
        <x:v>140</x:v>
      </x:c>
      <x:c r="C225" s="10" t="s">
        <x:v>1112</x:v>
      </x:c>
      <x:c r="D225" s="10" t="s">
        <x:v>171</x:v>
      </x:c>
      <x:c r="E225" s="10" t="s">
        <x:v>1124</x:v>
      </x:c>
      <x:c r="F225" s="10" t="s">
        <x:v>1114</x:v>
      </x:c>
      <x:c r="G225" s="10" t="s">
        <x:v>1115</x:v>
      </x:c>
      <x:c r="H225" s="10" t="s">
        <x:v>766</x:v>
      </x:c>
    </x:row>
    <x:row r="226" ht="46" customHeight="1">
      <x:c r="A226" s="9" t="s">
        <x:v>765</x:v>
      </x:c>
      <x:c r="B226" s="9" t="s">
        <x:v>64</x:v>
      </x:c>
      <x:c r="C226" s="9" t="s">
        <x:v>1112</x:v>
      </x:c>
      <x:c r="D226" s="9" t="s">
        <x:v>171</x:v>
      </x:c>
      <x:c r="E226" s="9" t="s">
        <x:v>1125</x:v>
      </x:c>
      <x:c r="F226" s="9" t="s">
        <x:v>1114</x:v>
      </x:c>
      <x:c r="G226" s="9" t="s">
        <x:v>1115</x:v>
      </x:c>
      <x:c r="H226" s="9" t="s">
        <x:v>766</x:v>
      </x:c>
    </x:row>
    <x:row r="227" ht="46" customHeight="1">
      <x:c r="A227" s="10" t="s">
        <x:v>765</x:v>
      </x:c>
      <x:c r="B227" s="10" t="s">
        <x:v>713</x:v>
      </x:c>
      <x:c r="C227" s="10" t="s">
        <x:v>1112</x:v>
      </x:c>
      <x:c r="D227" s="10" t="s">
        <x:v>171</x:v>
      </x:c>
      <x:c r="E227" s="10" t="s">
        <x:v>1126</x:v>
      </x:c>
      <x:c r="F227" s="10" t="s">
        <x:v>1114</x:v>
      </x:c>
      <x:c r="G227" s="10" t="s">
        <x:v>1115</x:v>
      </x:c>
      <x:c r="H227" s="10" t="s">
        <x:v>766</x:v>
      </x:c>
    </x:row>
    <x:row r="228" ht="46" customHeight="1">
      <x:c r="A228" s="9" t="s">
        <x:v>765</x:v>
      </x:c>
      <x:c r="B228" s="9" t="s">
        <x:v>714</x:v>
      </x:c>
      <x:c r="C228" s="9" t="s">
        <x:v>1112</x:v>
      </x:c>
      <x:c r="D228" s="9" t="s">
        <x:v>171</x:v>
      </x:c>
      <x:c r="E228" s="9" t="s">
        <x:v>1127</x:v>
      </x:c>
      <x:c r="F228" s="9" t="s">
        <x:v>1114</x:v>
      </x:c>
      <x:c r="G228" s="9" t="s">
        <x:v>1115</x:v>
      </x:c>
      <x:c r="H228" s="9" t="s">
        <x:v>766</x:v>
      </x:c>
    </x:row>
    <x:row r="229" ht="46" customHeight="1">
      <x:c r="A229" s="10" t="s">
        <x:v>765</x:v>
      </x:c>
      <x:c r="B229" s="10" t="s">
        <x:v>141</x:v>
      </x:c>
      <x:c r="C229" s="10" t="s">
        <x:v>1112</x:v>
      </x:c>
      <x:c r="D229" s="10" t="s">
        <x:v>171</x:v>
      </x:c>
      <x:c r="E229" s="10" t="s">
        <x:v>1128</x:v>
      </x:c>
      <x:c r="F229" s="10" t="s">
        <x:v>1114</x:v>
      </x:c>
      <x:c r="G229" s="10" t="s">
        <x:v>1115</x:v>
      </x:c>
      <x:c r="H229" s="10" t="s">
        <x:v>766</x:v>
      </x:c>
    </x:row>
    <x:row r="230" ht="46" customHeight="1">
      <x:c r="A230" s="9" t="s">
        <x:v>765</x:v>
      </x:c>
      <x:c r="B230" s="9" t="s">
        <x:v>715</x:v>
      </x:c>
      <x:c r="C230" s="9" t="s">
        <x:v>1112</x:v>
      </x:c>
      <x:c r="D230" s="9" t="s">
        <x:v>171</x:v>
      </x:c>
      <x:c r="E230" s="9" t="s">
        <x:v>1129</x:v>
      </x:c>
      <x:c r="F230" s="9" t="s">
        <x:v>1114</x:v>
      </x:c>
      <x:c r="G230" s="9" t="s">
        <x:v>1115</x:v>
      </x:c>
      <x:c r="H230" s="9" t="s">
        <x:v>766</x:v>
      </x:c>
    </x:row>
    <x:row r="231" ht="46" customHeight="1">
      <x:c r="A231" s="10" t="s">
        <x:v>765</x:v>
      </x:c>
      <x:c r="B231" s="10" t="s">
        <x:v>716</x:v>
      </x:c>
      <x:c r="C231" s="10" t="s">
        <x:v>1112</x:v>
      </x:c>
      <x:c r="D231" s="10" t="s">
        <x:v>171</x:v>
      </x:c>
      <x:c r="E231" s="10" t="s">
        <x:v>1130</x:v>
      </x:c>
      <x:c r="F231" s="10" t="s">
        <x:v>1114</x:v>
      </x:c>
      <x:c r="G231" s="10" t="s">
        <x:v>1115</x:v>
      </x:c>
      <x:c r="H231" s="10" t="s">
        <x:v>766</x:v>
      </x:c>
    </x:row>
    <x:row r="232" ht="46" customHeight="1">
      <x:c r="A232" s="9" t="s">
        <x:v>765</x:v>
      </x:c>
      <x:c r="B232" s="9" t="s">
        <x:v>717</x:v>
      </x:c>
      <x:c r="C232" s="9" t="s">
        <x:v>1112</x:v>
      </x:c>
      <x:c r="D232" s="9" t="s">
        <x:v>171</x:v>
      </x:c>
      <x:c r="E232" s="9" t="s">
        <x:v>1131</x:v>
      </x:c>
      <x:c r="F232" s="9" t="s">
        <x:v>1114</x:v>
      </x:c>
      <x:c r="G232" s="9" t="s">
        <x:v>1115</x:v>
      </x:c>
      <x:c r="H232" s="9" t="s">
        <x:v>766</x:v>
      </x:c>
    </x:row>
    <x:row r="233" ht="46" customHeight="1">
      <x:c r="A233" s="10" t="s">
        <x:v>765</x:v>
      </x:c>
      <x:c r="B233" s="10" t="s">
        <x:v>718</x:v>
      </x:c>
      <x:c r="C233" s="10" t="s">
        <x:v>1112</x:v>
      </x:c>
      <x:c r="D233" s="10" t="s">
        <x:v>171</x:v>
      </x:c>
      <x:c r="E233" s="10" t="s">
        <x:v>1132</x:v>
      </x:c>
      <x:c r="F233" s="10" t="s">
        <x:v>1114</x:v>
      </x:c>
      <x:c r="G233" s="10" t="s">
        <x:v>1115</x:v>
      </x:c>
      <x:c r="H233" s="10" t="s">
        <x:v>766</x:v>
      </x:c>
    </x:row>
    <x:row r="234" ht="46" customHeight="1">
      <x:c r="A234" s="9" t="s">
        <x:v>765</x:v>
      </x:c>
      <x:c r="B234" s="9" t="s">
        <x:v>719</x:v>
      </x:c>
      <x:c r="C234" s="9" t="s">
        <x:v>1112</x:v>
      </x:c>
      <x:c r="D234" s="9" t="s">
        <x:v>171</x:v>
      </x:c>
      <x:c r="E234" s="9" t="s">
        <x:v>1133</x:v>
      </x:c>
      <x:c r="F234" s="9" t="s">
        <x:v>1114</x:v>
      </x:c>
      <x:c r="G234" s="9" t="s">
        <x:v>1115</x:v>
      </x:c>
      <x:c r="H234" s="9" t="s">
        <x:v>766</x:v>
      </x:c>
    </x:row>
    <x:row r="235" ht="46" customHeight="1">
      <x:c r="A235" s="10" t="s">
        <x:v>765</x:v>
      </x:c>
      <x:c r="B235" s="10" t="s">
        <x:v>720</x:v>
      </x:c>
      <x:c r="C235" s="10" t="s">
        <x:v>1112</x:v>
      </x:c>
      <x:c r="D235" s="10" t="s">
        <x:v>171</x:v>
      </x:c>
      <x:c r="E235" s="10" t="s">
        <x:v>1134</x:v>
      </x:c>
      <x:c r="F235" s="10" t="s">
        <x:v>1114</x:v>
      </x:c>
      <x:c r="G235" s="10" t="s">
        <x:v>1115</x:v>
      </x:c>
      <x:c r="H235" s="10" t="s">
        <x:v>766</x:v>
      </x:c>
    </x:row>
    <x:row r="236" ht="46" customHeight="1">
      <x:c r="A236" s="9" t="s">
        <x:v>765</x:v>
      </x:c>
      <x:c r="B236" s="9" t="s">
        <x:v>721</x:v>
      </x:c>
      <x:c r="C236" s="9" t="s">
        <x:v>1112</x:v>
      </x:c>
      <x:c r="D236" s="9" t="s">
        <x:v>171</x:v>
      </x:c>
      <x:c r="E236" s="9" t="s">
        <x:v>1135</x:v>
      </x:c>
      <x:c r="F236" s="9" t="s">
        <x:v>1114</x:v>
      </x:c>
      <x:c r="G236" s="9" t="s">
        <x:v>1115</x:v>
      </x:c>
      <x:c r="H236" s="9" t="s">
        <x:v>766</x:v>
      </x:c>
    </x:row>
    <x:row r="237" ht="46" customHeight="1">
      <x:c r="A237" s="10" t="s">
        <x:v>765</x:v>
      </x:c>
      <x:c r="B237" s="10" t="s">
        <x:v>66</x:v>
      </x:c>
      <x:c r="C237" s="10" t="s">
        <x:v>1112</x:v>
      </x:c>
      <x:c r="D237" s="10" t="s">
        <x:v>171</x:v>
      </x:c>
      <x:c r="E237" s="10" t="s">
        <x:v>1136</x:v>
      </x:c>
      <x:c r="F237" s="10" t="s">
        <x:v>1114</x:v>
      </x:c>
      <x:c r="G237" s="10" t="s">
        <x:v>1115</x:v>
      </x:c>
      <x:c r="H237" s="10" t="s">
        <x:v>766</x:v>
      </x:c>
    </x:row>
    <x:row r="238" ht="46" customHeight="1">
      <x:c r="A238" s="9" t="s">
        <x:v>1137</x:v>
      </x:c>
      <x:c r="B238" s="9" t="s">
        <x:v>1138</x:v>
      </x:c>
      <x:c r="C238" s="9" t="s">
        <x:v>1139</x:v>
      </x:c>
      <x:c r="D238" s="9" t="s">
        <x:v>172</x:v>
      </x:c>
      <x:c r="E238" s="9" t="s">
        <x:v>1140</x:v>
      </x:c>
      <x:c r="F238" s="9" t="s">
        <x:v>1141</x:v>
      </x:c>
      <x:c r="G238" s="9" t="s">
        <x:v>1142</x:v>
      </x:c>
      <x:c r="H238" s="9" t="s">
        <x:v>753</x:v>
      </x:c>
    </x:row>
    <x:row r="239" ht="46" customHeight="1">
      <x:c r="A239" s="10" t="s">
        <x:v>1137</x:v>
      </x:c>
      <x:c r="B239" s="10" t="s">
        <x:v>1143</x:v>
      </x:c>
      <x:c r="C239" s="10" t="s">
        <x:v>1144</x:v>
      </x:c>
      <x:c r="D239" s="10" t="s">
        <x:v>172</x:v>
      </x:c>
      <x:c r="E239" s="10" t="s">
        <x:v>1145</x:v>
      </x:c>
      <x:c r="F239" s="10" t="s">
        <x:v>1146</x:v>
      </x:c>
      <x:c r="G239" s="10" t="s">
        <x:v>794</x:v>
      </x:c>
      <x:c r="H239" s="10" t="s">
        <x:v>775</x:v>
      </x:c>
    </x:row>
    <x:row r="240" ht="46" customHeight="1">
      <x:c r="A240" s="9" t="s">
        <x:v>1137</x:v>
      </x:c>
      <x:c r="B240" s="9" t="s">
        <x:v>1147</x:v>
      </x:c>
      <x:c r="C240" s="9" t="s">
        <x:v>887</x:v>
      </x:c>
      <x:c r="D240" s="9" t="s">
        <x:v>172</x:v>
      </x:c>
      <x:c r="E240" s="9" t="s">
        <x:v>1148</x:v>
      </x:c>
      <x:c r="F240" s="9" t="s">
        <x:v>1149</x:v>
      </x:c>
      <x:c r="G240" s="9" t="s">
        <x:v>794</x:v>
      </x:c>
      <x:c r="H240" s="9" t="s">
        <x:v>775</x:v>
      </x:c>
    </x:row>
    <x:row r="241" ht="46" customHeight="1">
      <x:c r="A241" s="10" t="s">
        <x:v>1137</x:v>
      </x:c>
      <x:c r="B241" s="10" t="s">
        <x:v>1150</x:v>
      </x:c>
      <x:c r="C241" s="10" t="s">
        <x:v>1151</x:v>
      </x:c>
      <x:c r="D241" s="10" t="s">
        <x:v>172</x:v>
      </x:c>
      <x:c r="E241" s="10" t="s">
        <x:v>1152</x:v>
      </x:c>
      <x:c r="F241" s="10" t="s">
        <x:v>1153</x:v>
      </x:c>
      <x:c r="G241" s="10" t="s">
        <x:v>1154</x:v>
      </x:c>
      <x:c r="H241" s="10" t="s">
        <x:v>775</x:v>
      </x:c>
    </x:row>
    <x:row r="242" ht="46" customHeight="1">
      <x:c r="A242" s="9" t="s">
        <x:v>1137</x:v>
      </x:c>
      <x:c r="B242" s="9" t="s">
        <x:v>1155</x:v>
      </x:c>
      <x:c r="C242" s="9" t="s">
        <x:v>1156</x:v>
      </x:c>
      <x:c r="D242" s="9" t="s">
        <x:v>172</x:v>
      </x:c>
      <x:c r="E242" s="9" t="s">
        <x:v>1157</x:v>
      </x:c>
      <x:c r="F242" s="9" t="s">
        <x:v>1158</x:v>
      </x:c>
      <x:c r="G242" s="9" t="s">
        <x:v>1159</x:v>
      </x:c>
      <x:c r="H242" s="9" t="s">
        <x:v>753</x:v>
      </x:c>
    </x:row>
    <x:row r="243" ht="46" customHeight="1">
      <x:c r="A243" s="10" t="s">
        <x:v>1137</x:v>
      </x:c>
      <x:c r="B243" s="10" t="s">
        <x:v>1160</x:v>
      </x:c>
      <x:c r="C243" s="10" t="s">
        <x:v>887</x:v>
      </x:c>
      <x:c r="D243" s="10" t="s">
        <x:v>172</x:v>
      </x:c>
      <x:c r="E243" s="10" t="s">
        <x:v>1161</x:v>
      </x:c>
      <x:c r="F243" s="10" t="s">
        <x:v>1162</x:v>
      </x:c>
      <x:c r="G243" s="10" t="s">
        <x:v>794</x:v>
      </x:c>
      <x:c r="H243" s="10" t="s">
        <x:v>775</x:v>
      </x:c>
    </x:row>
    <x:row r="244" ht="46" customHeight="1">
      <x:c r="A244" s="9" t="s">
        <x:v>1163</x:v>
      </x:c>
      <x:c r="B244" s="9" t="s">
        <x:v>1164</x:v>
      </x:c>
      <x:c r="C244" s="9" t="s">
        <x:v>1165</x:v>
      </x:c>
      <x:c r="D244" s="9" t="s">
        <x:v>172</x:v>
      </x:c>
      <x:c r="E244" s="9" t="s">
        <x:v>1166</x:v>
      </x:c>
      <x:c r="F244" s="9" t="s">
        <x:v>1167</x:v>
      </x:c>
      <x:c r="G244" s="9" t="s">
        <x:v>1168</x:v>
      </x:c>
      <x:c r="H244" s="9" t="s">
        <x:v>1169</x:v>
      </x:c>
    </x:row>
    <x:row r="245" ht="46" customHeight="1">
      <x:c r="A245" s="10" t="s">
        <x:v>1163</x:v>
      </x:c>
      <x:c r="B245" s="10" t="s">
        <x:v>1170</x:v>
      </x:c>
      <x:c r="C245" s="10" t="s">
        <x:v>1165</x:v>
      </x:c>
      <x:c r="D245" s="10" t="s">
        <x:v>172</x:v>
      </x:c>
      <x:c r="E245" s="10" t="s">
        <x:v>1171</x:v>
      </x:c>
      <x:c r="F245" s="10" t="s">
        <x:v>1167</x:v>
      </x:c>
      <x:c r="G245" s="10" t="s">
        <x:v>1168</x:v>
      </x:c>
      <x:c r="H245" s="10" t="s">
        <x:v>1172</x:v>
      </x:c>
    </x:row>
    <x:row r="246" ht="46" customHeight="1">
      <x:c r="A246" s="9" t="s">
        <x:v>1163</x:v>
      </x:c>
      <x:c r="B246" s="9" t="s">
        <x:v>1173</x:v>
      </x:c>
      <x:c r="C246" s="9" t="s">
        <x:v>1165</x:v>
      </x:c>
      <x:c r="D246" s="9" t="s">
        <x:v>172</x:v>
      </x:c>
      <x:c r="E246" s="9" t="s">
        <x:v>1174</x:v>
      </x:c>
      <x:c r="F246" s="9" t="s">
        <x:v>1167</x:v>
      </x:c>
      <x:c r="G246" s="9" t="s">
        <x:v>1168</x:v>
      </x:c>
      <x:c r="H246" s="9" t="s">
        <x:v>1172</x:v>
      </x:c>
    </x:row>
    <x:row r="247" ht="46" customHeight="1">
      <x:c r="A247" s="10" t="s">
        <x:v>1163</x:v>
      </x:c>
      <x:c r="B247" s="10" t="s">
        <x:v>1175</x:v>
      </x:c>
      <x:c r="C247" s="10" t="s">
        <x:v>1165</x:v>
      </x:c>
      <x:c r="D247" s="10" t="s">
        <x:v>172</x:v>
      </x:c>
      <x:c r="E247" s="10" t="s">
        <x:v>1176</x:v>
      </x:c>
      <x:c r="F247" s="10" t="s">
        <x:v>1167</x:v>
      </x:c>
      <x:c r="G247" s="10" t="s">
        <x:v>1168</x:v>
      </x:c>
      <x:c r="H247" s="10" t="s">
        <x:v>1172</x:v>
      </x:c>
    </x:row>
    <x:row r="248" ht="46" customHeight="1">
      <x:c r="A248" s="9" t="s">
        <x:v>1163</x:v>
      </x:c>
      <x:c r="B248" s="9" t="s">
        <x:v>1177</x:v>
      </x:c>
      <x:c r="C248" s="9" t="s">
        <x:v>1165</x:v>
      </x:c>
      <x:c r="D248" s="9" t="s">
        <x:v>172</x:v>
      </x:c>
      <x:c r="E248" s="9" t="s">
        <x:v>1178</x:v>
      </x:c>
      <x:c r="F248" s="9" t="s">
        <x:v>1167</x:v>
      </x:c>
      <x:c r="G248" s="9" t="s">
        <x:v>1168</x:v>
      </x:c>
      <x:c r="H248" s="9" t="s">
        <x:v>1172</x:v>
      </x:c>
    </x:row>
    <x:row r="249" ht="46" customHeight="1">
      <x:c r="A249" s="10" t="s">
        <x:v>1163</x:v>
      </x:c>
      <x:c r="B249" s="10" t="s">
        <x:v>1179</x:v>
      </x:c>
      <x:c r="C249" s="10" t="s">
        <x:v>1165</x:v>
      </x:c>
      <x:c r="D249" s="10" t="s">
        <x:v>172</x:v>
      </x:c>
      <x:c r="E249" s="10" t="s">
        <x:v>1180</x:v>
      </x:c>
      <x:c r="F249" s="10" t="s">
        <x:v>1167</x:v>
      </x:c>
      <x:c r="G249" s="10" t="s">
        <x:v>1168</x:v>
      </x:c>
      <x:c r="H249" s="10" t="s">
        <x:v>1172</x:v>
      </x:c>
    </x:row>
    <x:row r="250" ht="46" customHeight="1">
      <x:c r="A250" s="9" t="s">
        <x:v>1163</x:v>
      </x:c>
      <x:c r="B250" s="9" t="s">
        <x:v>1181</x:v>
      </x:c>
      <x:c r="C250" s="9" t="s">
        <x:v>1165</x:v>
      </x:c>
      <x:c r="D250" s="9" t="s">
        <x:v>172</x:v>
      </x:c>
      <x:c r="E250" s="9" t="s">
        <x:v>1182</x:v>
      </x:c>
      <x:c r="F250" s="9" t="s">
        <x:v>1167</x:v>
      </x:c>
      <x:c r="G250" s="9" t="s">
        <x:v>1168</x:v>
      </x:c>
      <x:c r="H250" s="9" t="s">
        <x:v>1172</x:v>
      </x:c>
    </x:row>
    <x:row r="251" ht="46" customHeight="1">
      <x:c r="A251" s="10" t="s">
        <x:v>1163</x:v>
      </x:c>
      <x:c r="B251" s="10" t="s">
        <x:v>1183</x:v>
      </x:c>
      <x:c r="C251" s="10" t="s">
        <x:v>1165</x:v>
      </x:c>
      <x:c r="D251" s="10" t="s">
        <x:v>172</x:v>
      </x:c>
      <x:c r="E251" s="10" t="s">
        <x:v>1184</x:v>
      </x:c>
      <x:c r="F251" s="10" t="s">
        <x:v>1167</x:v>
      </x:c>
      <x:c r="G251" s="10" t="s">
        <x:v>1168</x:v>
      </x:c>
      <x:c r="H251" s="10" t="s">
        <x:v>1172</x:v>
      </x:c>
    </x:row>
    <x:row r="252" ht="46" customHeight="1">
      <x:c r="A252" s="9" t="s">
        <x:v>1163</x:v>
      </x:c>
      <x:c r="B252" s="9" t="s">
        <x:v>1185</x:v>
      </x:c>
      <x:c r="C252" s="9" t="s">
        <x:v>1165</x:v>
      </x:c>
      <x:c r="D252" s="9" t="s">
        <x:v>172</x:v>
      </x:c>
      <x:c r="E252" s="9" t="s">
        <x:v>1184</x:v>
      </x:c>
      <x:c r="F252" s="9" t="s">
        <x:v>1167</x:v>
      </x:c>
      <x:c r="G252" s="9" t="s">
        <x:v>1168</x:v>
      </x:c>
      <x:c r="H252" s="9" t="s">
        <x:v>1172</x:v>
      </x:c>
    </x:row>
    <x:row r="253" ht="46" customHeight="1">
      <x:c r="A253" s="10" t="s">
        <x:v>1163</x:v>
      </x:c>
      <x:c r="B253" s="10" t="s">
        <x:v>1186</x:v>
      </x:c>
      <x:c r="C253" s="10" t="s">
        <x:v>1165</x:v>
      </x:c>
      <x:c r="D253" s="10" t="s">
        <x:v>172</x:v>
      </x:c>
      <x:c r="E253" s="10" t="s">
        <x:v>1184</x:v>
      </x:c>
      <x:c r="F253" s="10" t="s">
        <x:v>1167</x:v>
      </x:c>
      <x:c r="G253" s="10" t="s">
        <x:v>1168</x:v>
      </x:c>
      <x:c r="H253" s="10" t="s">
        <x:v>1172</x:v>
      </x:c>
    </x:row>
    <x:row r="254" ht="46" customHeight="1">
      <x:c r="A254" s="9" t="s">
        <x:v>1163</x:v>
      </x:c>
      <x:c r="B254" s="9" t="s">
        <x:v>1187</x:v>
      </x:c>
      <x:c r="C254" s="9" t="s">
        <x:v>1165</x:v>
      </x:c>
      <x:c r="D254" s="9" t="s">
        <x:v>172</x:v>
      </x:c>
      <x:c r="E254" s="9" t="s">
        <x:v>1188</x:v>
      </x:c>
      <x:c r="F254" s="9" t="s">
        <x:v>1167</x:v>
      </x:c>
      <x:c r="G254" s="9" t="s">
        <x:v>1168</x:v>
      </x:c>
      <x:c r="H254" s="9" t="s">
        <x:v>1169</x:v>
      </x:c>
    </x:row>
    <x:row r="255" ht="46" customHeight="1">
      <x:c r="A255" s="10" t="s">
        <x:v>1189</x:v>
      </x:c>
      <x:c r="B255" s="10" t="s">
        <x:v>800</x:v>
      </x:c>
      <x:c r="C255" s="10" t="s">
        <x:v>745</x:v>
      </x:c>
      <x:c r="D255" s="10" t="s">
        <x:v>172</x:v>
      </x:c>
      <x:c r="E255" s="10" t="s">
        <x:v>1190</x:v>
      </x:c>
      <x:c r="F255" s="10" t="s">
        <x:v>1191</x:v>
      </x:c>
      <x:c r="G255" s="10" t="s">
        <x:v>800</x:v>
      </x:c>
      <x:c r="H255" s="10" t="s">
        <x:v>775</x:v>
      </x:c>
    </x:row>
    <x:row r="256" ht="46" customHeight="1">
      <x:c r="A256" s="9" t="s">
        <x:v>1189</x:v>
      </x:c>
      <x:c r="B256" s="9" t="s">
        <x:v>1192</x:v>
      </x:c>
      <x:c r="C256" s="9" t="s">
        <x:v>745</x:v>
      </x:c>
      <x:c r="D256" s="9" t="s">
        <x:v>172</x:v>
      </x:c>
      <x:c r="E256" s="9" t="s">
        <x:v>1193</x:v>
      </x:c>
      <x:c r="F256" s="9" t="s">
        <x:v>1191</x:v>
      </x:c>
      <x:c r="G256" s="9" t="s">
        <x:v>1192</x:v>
      </x:c>
      <x:c r="H256" s="9" t="s">
        <x:v>775</x:v>
      </x:c>
    </x:row>
    <x:row r="257" ht="46" customHeight="1">
      <x:c r="A257" s="10" t="s">
        <x:v>1189</x:v>
      </x:c>
      <x:c r="B257" s="10" t="s">
        <x:v>1194</x:v>
      </x:c>
      <x:c r="C257" s="10" t="s">
        <x:v>745</x:v>
      </x:c>
      <x:c r="D257" s="10" t="s">
        <x:v>172</x:v>
      </x:c>
      <x:c r="E257" s="10" t="s">
        <x:v>1195</x:v>
      </x:c>
      <x:c r="F257" s="10" t="s">
        <x:v>1191</x:v>
      </x:c>
      <x:c r="G257" s="10" t="s">
        <x:v>1194</x:v>
      </x:c>
      <x:c r="H257" s="10" t="s">
        <x:v>775</x:v>
      </x:c>
    </x:row>
    <x:row r="258" ht="46" customHeight="1">
      <x:c r="A258" s="9" t="s">
        <x:v>1189</x:v>
      </x:c>
      <x:c r="B258" s="9" t="s">
        <x:v>774</x:v>
      </x:c>
      <x:c r="C258" s="9" t="s">
        <x:v>745</x:v>
      </x:c>
      <x:c r="D258" s="9" t="s">
        <x:v>172</x:v>
      </x:c>
      <x:c r="E258" s="9" t="s">
        <x:v>1196</x:v>
      </x:c>
      <x:c r="F258" s="9" t="s">
        <x:v>1191</x:v>
      </x:c>
      <x:c r="G258" s="9" t="s">
        <x:v>774</x:v>
      </x:c>
      <x:c r="H258" s="9" t="s">
        <x:v>775</x:v>
      </x:c>
    </x:row>
    <x:row r="259" ht="46" customHeight="1">
      <x:c r="A259" s="10" t="s">
        <x:v>1189</x:v>
      </x:c>
      <x:c r="B259" s="10" t="s">
        <x:v>785</x:v>
      </x:c>
      <x:c r="C259" s="10" t="s">
        <x:v>745</x:v>
      </x:c>
      <x:c r="D259" s="10" t="s">
        <x:v>172</x:v>
      </x:c>
      <x:c r="E259" s="10" t="s">
        <x:v>1197</x:v>
      </x:c>
      <x:c r="F259" s="10" t="s">
        <x:v>1191</x:v>
      </x:c>
      <x:c r="G259" s="10" t="s">
        <x:v>785</x:v>
      </x:c>
      <x:c r="H259" s="10" t="s">
        <x:v>775</x:v>
      </x:c>
    </x:row>
    <x:row r="260" ht="46" customHeight="1">
      <x:c r="A260" s="9" t="s">
        <x:v>1189</x:v>
      </x:c>
      <x:c r="B260" s="9" t="s">
        <x:v>1198</x:v>
      </x:c>
      <x:c r="C260" s="9" t="s">
        <x:v>745</x:v>
      </x:c>
      <x:c r="D260" s="9" t="s">
        <x:v>172</x:v>
      </x:c>
      <x:c r="E260" s="9" t="s">
        <x:v>1199</x:v>
      </x:c>
      <x:c r="F260" s="9" t="s">
        <x:v>1191</x:v>
      </x:c>
      <x:c r="G260" s="9" t="s">
        <x:v>1198</x:v>
      </x:c>
      <x:c r="H260" s="9" t="s">
        <x:v>775</x:v>
      </x:c>
    </x:row>
    <x:row r="261" ht="46" customHeight="1">
      <x:c r="A261" s="10" t="s">
        <x:v>1189</x:v>
      </x:c>
      <x:c r="B261" s="10" t="s">
        <x:v>794</x:v>
      </x:c>
      <x:c r="C261" s="10" t="s">
        <x:v>745</x:v>
      </x:c>
      <x:c r="D261" s="10" t="s">
        <x:v>172</x:v>
      </x:c>
      <x:c r="E261" s="10" t="s">
        <x:v>1200</x:v>
      </x:c>
      <x:c r="F261" s="10" t="s">
        <x:v>1191</x:v>
      </x:c>
      <x:c r="G261" s="10" t="s">
        <x:v>794</x:v>
      </x:c>
      <x:c r="H261" s="10" t="s">
        <x:v>775</x:v>
      </x:c>
    </x:row>
    <x:row r="262" ht="46" customHeight="1">
      <x:c r="A262" s="9" t="s">
        <x:v>1189</x:v>
      </x:c>
      <x:c r="B262" s="9" t="s">
        <x:v>765</x:v>
      </x:c>
      <x:c r="C262" s="9" t="s">
        <x:v>745</x:v>
      </x:c>
      <x:c r="D262" s="9" t="s">
        <x:v>172</x:v>
      </x:c>
      <x:c r="E262" s="9" t="s">
        <x:v>1201</x:v>
      </x:c>
      <x:c r="F262" s="9" t="s">
        <x:v>1191</x:v>
      </x:c>
      <x:c r="G262" s="9" t="s">
        <x:v>765</x:v>
      </x:c>
      <x:c r="H262" s="9" t="str">
        <x:v>F2.4新增保留；只复盘个人主动交易；不复盘自动跟单。自动跟单仅作为账户资金变动辅助证据，进入资金轨迹和资金节点，不进入个人交易行为、心理、策略、纪律和交易系统分析。</x:v>
      </x:c>
    </x:row>
  </x:sheetData>
  <x:mergeCells>
    <x:mergeCell ref="A1:G1"/>
    <x:mergeCell ref="A1:H1"/>
    <x:mergeCell ref="G2:H2"/>
    <x:mergeCell ref="A3:G3"/>
    <x:mergeCell ref="A3:H3"/>
  </x:mergeCells>
  <x:hyperlinks>
    <x:hyperlink ref="A2" location="'账户与交易总览'!A1"/>
    <x:hyperlink ref="B2" location="'逐笔人工复盘总表'!A1"/>
    <x:hyperlink ref="C2" location="'单笔交易复盘卡'!A1"/>
    <x:hyperlink ref="D2" location="'完整操作过程'!A1"/>
    <x:hyperlink ref="E2" location="'账户资金轨迹'!A1"/>
    <x:hyperlink ref="F2" location="'人工复盘完成清单'!A1"/>
    <x:hyperlink ref="G2" location="'字段与口径说明'!A1"/>
  </x:hyperlinks>
  <x:pageMargins left="0.7" right="0.7" top="0.75" bottom="0.75" header="0.3" footer="0.3"/>
</x:worksheet>
</file>

<file path=xl/worksheets/sheet8.xml><?xml version="1.0" encoding="utf-8"?>
<x:worksheet xmlns:x="http://schemas.openxmlformats.org/spreadsheetml/2006/main">
  <x:sheetFormatPr defaultColWidth="9" defaultRowHeight="16.799999237060547"/>
  <x:sheetData>
    <x:row r="1">
      <x:c r="A1" s="3" t="s">
        <x:v>23</x:v>
      </x:c>
      <x:c r="B1" s="3" t="s">
        <x:v>24</x:v>
      </x:c>
      <x:c r="C1" s="3" t="s">
        <x:v>25</x:v>
      </x:c>
      <x:c r="D1" s="3" t="s">
        <x:v>1202</x:v>
      </x:c>
      <x:c r="E1" s="3" t="s">
        <x:v>1203</x:v>
      </x:c>
      <x:c r="F1" s="3" t="s">
        <x:v>1204</x:v>
      </x:c>
      <x:c r="G1" s="3" t="s">
        <x:v>28</x:v>
      </x:c>
      <x:c r="H1" s="3" t="s">
        <x:v>29</x:v>
      </x:c>
      <x:c r="I1" s="3" t="s">
        <x:v>1205</x:v>
      </x:c>
      <x:c r="J1" s="3" t="s">
        <x:v>1206</x:v>
      </x:c>
      <x:c r="K1" s="3" t="s">
        <x:v>1207</x:v>
      </x:c>
      <x:c r="L1" s="3" t="s">
        <x:v>1208</x:v>
      </x:c>
      <x:c r="M1" s="3" t="s">
        <x:v>1209</x:v>
      </x:c>
      <x:c r="N1" s="3" t="s">
        <x:v>1210</x:v>
      </x:c>
      <x:c r="O1" s="3" t="s">
        <x:v>1211</x:v>
      </x:c>
      <x:c r="P1" s="3" t="s">
        <x:v>1212</x:v>
      </x:c>
      <x:c r="Q1" s="3" t="s">
        <x:v>1213</x:v>
      </x:c>
      <x:c r="R1" s="3" t="s">
        <x:v>1214</x:v>
      </x:c>
      <x:c r="S1" s="3" t="s">
        <x:v>1215</x:v>
      </x:c>
      <x:c r="T1" s="3" t="s">
        <x:v>1216</x:v>
      </x:c>
      <x:c r="U1" s="3" t="s">
        <x:v>1217</x:v>
      </x:c>
      <x:c r="V1" s="3" t="s">
        <x:v>1218</x:v>
      </x:c>
      <x:c r="W1" s="3" t="s">
        <x:v>1219</x:v>
      </x:c>
      <x:c r="X1" s="3" t="s">
        <x:v>1220</x:v>
      </x:c>
      <x:c r="Y1" s="3" t="s">
        <x:v>1221</x:v>
      </x:c>
      <x:c r="Z1" s="3" t="s">
        <x:v>1222</x:v>
      </x:c>
      <x:c r="AA1" s="3" t="s">
        <x:v>1223</x:v>
      </x:c>
      <x:c r="AB1" s="3" t="s">
        <x:v>1224</x:v>
      </x:c>
      <x:c r="AC1" s="3" t="s">
        <x:v>1225</x:v>
      </x:c>
      <x:c r="AD1" s="3" t="s">
        <x:v>1226</x:v>
      </x:c>
      <x:c r="AE1" s="3" t="s">
        <x:v>1227</x:v>
      </x:c>
      <x:c r="AF1" s="3" t="s">
        <x:v>1228</x:v>
      </x:c>
      <x:c r="AG1" s="3" t="s">
        <x:v>1229</x:v>
      </x:c>
      <x:c r="AH1" s="3" t="s">
        <x:v>1230</x:v>
      </x:c>
      <x:c r="AI1" s="3" t="s">
        <x:v>1231</x:v>
      </x:c>
      <x:c r="AJ1" s="3" t="s">
        <x:v>1232</x:v>
      </x:c>
      <x:c r="AK1" s="3" t="s">
        <x:v>1233</x:v>
      </x:c>
      <x:c r="AL1" s="3" t="s">
        <x:v>1234</x:v>
      </x:c>
      <x:c r="AM1" s="3" t="s">
        <x:v>1235</x:v>
      </x:c>
      <x:c r="AN1" s="3" t="s">
        <x:v>1236</x:v>
      </x:c>
      <x:c r="AO1" s="3" t="s">
        <x:v>1237</x:v>
      </x:c>
      <x:c r="AP1" s="3" t="s">
        <x:v>1238</x:v>
      </x:c>
      <x:c r="AQ1" s="3" t="s">
        <x:v>1239</x:v>
      </x:c>
      <x:c r="AR1" s="3" t="s">
        <x:v>1240</x:v>
      </x:c>
      <x:c r="AS1" s="3" t="s">
        <x:v>1241</x:v>
      </x:c>
      <x:c r="AT1" s="3" t="s">
        <x:v>1242</x:v>
      </x:c>
      <x:c r="AU1" s="3" t="s">
        <x:v>1243</x:v>
      </x:c>
      <x:c r="AV1" s="3" t="s">
        <x:v>1244</x:v>
      </x:c>
      <x:c r="AW1" s="3" t="s">
        <x:v>1245</x:v>
      </x:c>
      <x:c r="AX1" s="3" t="s">
        <x:v>1246</x:v>
      </x:c>
      <x:c r="AY1" s="3" t="s">
        <x:v>1247</x:v>
      </x:c>
      <x:c r="AZ1" s="3" t="s">
        <x:v>1248</x:v>
      </x:c>
      <x:c r="BA1" s="3" t="s">
        <x:v>1249</x:v>
      </x:c>
      <x:c r="BB1" s="3" t="s">
        <x:v>1250</x:v>
      </x:c>
      <x:c r="BC1" s="3" t="s">
        <x:v>1251</x:v>
      </x:c>
      <x:c r="BD1" s="3" t="s">
        <x:v>1252</x:v>
      </x:c>
      <x:c r="BE1" s="3" t="s">
        <x:v>1253</x:v>
      </x:c>
      <x:c r="BF1" s="3" t="s">
        <x:v>1254</x:v>
      </x:c>
      <x:c r="BG1" s="3" t="s">
        <x:v>1255</x:v>
      </x:c>
      <x:c r="BH1" s="3" t="s">
        <x:v>1256</x:v>
      </x:c>
      <x:c r="BI1" s="3" t="s">
        <x:v>1257</x:v>
      </x:c>
      <x:c r="BJ1" s="3" t="s">
        <x:v>1258</x:v>
      </x:c>
      <x:c r="BK1" s="3" t="s">
        <x:v>1259</x:v>
      </x:c>
      <x:c r="BL1" s="3" t="s">
        <x:v>1260</x:v>
      </x:c>
      <x:c r="BM1" s="3" t="s">
        <x:v>1261</x:v>
      </x:c>
      <x:c r="BN1" s="3" t="s">
        <x:v>1262</x:v>
      </x:c>
      <x:c r="BO1" s="3" t="s">
        <x:v>1263</x:v>
      </x:c>
      <x:c r="BP1" s="3" t="s">
        <x:v>1264</x:v>
      </x:c>
      <x:c r="BQ1" s="3" t="s">
        <x:v>1265</x:v>
      </x:c>
      <x:c r="BR1" s="3" t="s">
        <x:v>1266</x:v>
      </x:c>
      <x:c r="BS1" s="3" t="s">
        <x:v>1267</x:v>
      </x:c>
      <x:c r="BT1" s="3" t="s">
        <x:v>1268</x:v>
      </x:c>
      <x:c r="BU1" s="3" t="s">
        <x:v>1269</x:v>
      </x:c>
      <x:c r="BV1" s="3" t="s">
        <x:v>1270</x:v>
      </x:c>
      <x:c r="BW1" s="3" t="s">
        <x:v>1271</x:v>
      </x:c>
      <x:c r="BX1" s="3" t="s">
        <x:v>1272</x:v>
      </x:c>
      <x:c r="BY1" s="3" t="s">
        <x:v>1273</x:v>
      </x:c>
      <x:c r="BZ1" s="3" t="s">
        <x:v>1274</x:v>
      </x:c>
      <x:c r="CA1" s="3" t="s">
        <x:v>1275</x:v>
      </x:c>
      <x:c r="CB1" s="3" t="s">
        <x:v>1276</x:v>
      </x:c>
      <x:c r="CC1" s="3" t="s">
        <x:v>1277</x:v>
      </x:c>
      <x:c r="CD1" s="3" t="s">
        <x:v>1278</x:v>
      </x:c>
      <x:c r="CE1" s="3" t="s">
        <x:v>1279</x:v>
      </x:c>
      <x:c r="CF1" s="3" t="s">
        <x:v>1280</x:v>
      </x:c>
      <x:c r="CG1" s="3" t="s">
        <x:v>1281</x:v>
      </x:c>
      <x:c r="CH1" s="3" t="s">
        <x:v>1282</x:v>
      </x:c>
      <x:c r="CI1" s="3" t="s">
        <x:v>1283</x:v>
      </x:c>
      <x:c r="CJ1" s="3" t="s">
        <x:v>1284</x:v>
      </x:c>
      <x:c r="CK1" s="3" t="s">
        <x:v>1285</x:v>
      </x:c>
      <x:c r="CL1" s="3" t="s">
        <x:v>1286</x:v>
      </x:c>
      <x:c r="CM1" s="3" t="s">
        <x:v>1287</x:v>
      </x:c>
      <x:c r="CN1" s="3" t="s">
        <x:v>1288</x:v>
      </x:c>
      <x:c r="CO1" s="3" t="s">
        <x:v>1289</x:v>
      </x:c>
      <x:c r="CP1" s="3" t="s">
        <x:v>1290</x:v>
      </x:c>
      <x:c r="CQ1" s="3" t="s">
        <x:v>1291</x:v>
      </x:c>
      <x:c r="CR1" s="3" t="s">
        <x:v>1292</x:v>
      </x:c>
      <x:c r="CS1" s="3" t="s">
        <x:v>1293</x:v>
      </x:c>
      <x:c r="CT1" s="3" t="s">
        <x:v>1294</x:v>
      </x:c>
      <x:c r="CU1" s="3" t="s">
        <x:v>1295</x:v>
      </x:c>
      <x:c r="CV1" s="3" t="s">
        <x:v>1296</x:v>
      </x:c>
      <x:c r="CW1" s="3" t="s">
        <x:v>1297</x:v>
      </x:c>
      <x:c r="CX1" s="3" t="s">
        <x:v>1298</x:v>
      </x:c>
      <x:c r="CY1" s="3" t="s">
        <x:v>1299</x:v>
      </x:c>
      <x:c r="CZ1" s="3" t="s">
        <x:v>1300</x:v>
      </x:c>
      <x:c r="DA1" s="3" t="s">
        <x:v>1301</x:v>
      </x:c>
      <x:c r="DB1" s="3" t="s">
        <x:v>1302</x:v>
      </x:c>
      <x:c r="DC1" s="3" t="s">
        <x:v>1303</x:v>
      </x:c>
      <x:c r="DD1" s="3" t="s">
        <x:v>1304</x:v>
      </x:c>
      <x:c r="DE1" s="3" t="s">
        <x:v>1305</x:v>
      </x:c>
      <x:c r="DF1" s="3" t="s">
        <x:v>1306</x:v>
      </x:c>
      <x:c r="DG1" s="3" t="s">
        <x:v>1307</x:v>
      </x:c>
      <x:c r="DH1" s="3" t="s">
        <x:v>1308</x:v>
      </x:c>
      <x:c r="DI1" s="3" t="s">
        <x:v>1309</x:v>
      </x:c>
      <x:c r="DJ1" s="3" t="s">
        <x:v>1310</x:v>
      </x:c>
      <x:c r="DK1" s="3" t="s">
        <x:v>1311</x:v>
      </x:c>
      <x:c r="DL1" s="3" t="s">
        <x:v>1312</x:v>
      </x:c>
      <x:c r="DM1" s="3" t="s">
        <x:v>1313</x:v>
      </x:c>
      <x:c r="DN1" s="3" t="s">
        <x:v>1314</x:v>
      </x:c>
      <x:c r="DO1" s="3" t="s">
        <x:v>1315</x:v>
      </x:c>
      <x:c r="DP1" s="3" t="s">
        <x:v>1316</x:v>
      </x:c>
      <x:c r="DQ1" s="3" t="s">
        <x:v>1317</x:v>
      </x:c>
      <x:c r="DR1" s="3" t="s">
        <x:v>1318</x:v>
      </x:c>
      <x:c r="DS1" s="3" t="s">
        <x:v>710</x:v>
      </x:c>
      <x:c r="DT1" s="3" t="s">
        <x:v>711</x:v>
      </x:c>
      <x:c r="DU1" s="3" t="s">
        <x:v>1319</x:v>
      </x:c>
      <x:c r="DV1" s="3" t="s">
        <x:v>1320</x:v>
      </x:c>
      <x:c r="DW1" s="3" t="s">
        <x:v>1321</x:v>
      </x:c>
      <x:c r="DX1" s="3" t="s">
        <x:v>138</x:v>
      </x:c>
      <x:c r="DY1" s="3" t="s">
        <x:v>1322</x:v>
      </x:c>
      <x:c r="DZ1" s="3" t="s">
        <x:v>140</x:v>
      </x:c>
      <x:c r="EA1" s="3" t="s">
        <x:v>64</x:v>
      </x:c>
      <x:c r="EB1" s="3" t="s">
        <x:v>713</x:v>
      </x:c>
      <x:c r="EC1" s="3" t="s">
        <x:v>714</x:v>
      </x:c>
      <x:c r="ED1" s="3" t="s">
        <x:v>141</x:v>
      </x:c>
      <x:c r="EE1" s="3" t="s">
        <x:v>715</x:v>
      </x:c>
      <x:c r="EF1" s="3" t="s">
        <x:v>716</x:v>
      </x:c>
      <x:c r="EG1" s="3" t="s">
        <x:v>717</x:v>
      </x:c>
      <x:c r="EH1" s="3" t="s">
        <x:v>1323</x:v>
      </x:c>
      <x:c r="EI1" s="3" t="s">
        <x:v>1324</x:v>
      </x:c>
      <x:c r="EJ1" s="3" t="s">
        <x:v>1325</x:v>
      </x:c>
      <x:c r="EK1" s="3" t="s">
        <x:v>1326</x:v>
      </x:c>
      <x:c r="EL1" s="3" t="s">
        <x:v>1327</x:v>
      </x:c>
      <x:c r="EM1" s="3" t="s">
        <x:v>1328</x:v>
      </x:c>
      <x:c r="EN1" s="3" t="s">
        <x:v>1329</x:v>
      </x:c>
      <x:c r="EO1" s="3" t="s">
        <x:v>1330</x:v>
      </x:c>
      <x:c r="EP1" s="3" t="s">
        <x:v>1331</x:v>
      </x:c>
      <x:c r="EQ1" s="3" t="s">
        <x:v>1332</x:v>
      </x:c>
      <x:c r="ER1" s="3" t="s">
        <x:v>1333</x:v>
      </x:c>
      <x:c r="ES1" s="3" t="s">
        <x:v>1334</x:v>
      </x:c>
    </x:row>
    <x:row r="2">
      <x:c r="A2" s="4" t="s">
        <x:v>69</x:v>
      </x:c>
      <x:c r="B2" s="4" t="s">
        <x:v>1335</x:v>
      </x:c>
      <x:c r="C2" s="4" t="s">
        <x:v>1336</x:v>
      </x:c>
      <x:c r="D2" s="4" t="s">
        <x:v>1337</x:v>
      </x:c>
      <x:c r="E2" s="4" t="s">
        <x:v>1338</x:v>
      </x:c>
      <x:c r="F2" s="4" t="s">
        <x:v>216</x:v>
      </x:c>
      <x:c r="G2" s="4" t="s">
        <x:v>238</x:v>
      </x:c>
      <x:c r="H2" s="4" t="s">
        <x:v>1339</x:v>
      </x:c>
      <x:c r="I2" s="4" t="s">
        <x:v>1340</x:v>
      </x:c>
      <x:c r="J2" s="4" t="s">
        <x:v>1341</x:v>
      </x:c>
      <x:c r="K2" s="4" t="s">
        <x:v>1342</x:v>
      </x:c>
      <x:c r="L2" s="4" t="s">
        <x:v>1343</x:v>
      </x:c>
      <x:c r="M2" s="4" t="s">
        <x:v>1344</x:v>
      </x:c>
      <x:c r="N2" s="4" t="s">
        <x:v>1345</x:v>
      </x:c>
      <x:c r="O2" s="4" t="s">
        <x:v>169</x:v>
      </x:c>
      <x:c r="P2" s="4" t="s">
        <x:v>1346</x:v>
      </x:c>
      <x:c r="Q2" s="4" t="s">
        <x:v>1347</x:v>
      </x:c>
      <x:c r="R2" s="4" t="s">
        <x:v>1348</x:v>
      </x:c>
      <x:c r="S2" s="4" t="s">
        <x:v>200</x:v>
      </x:c>
      <x:c r="T2" s="4" t="s">
        <x:v>169</x:v>
      </x:c>
      <x:c r="U2" s="4" t="s">
        <x:v>169</x:v>
      </x:c>
      <x:c r="V2" s="4" t="s">
        <x:v>169</x:v>
      </x:c>
      <x:c r="W2" s="4" t="s">
        <x:v>169</x:v>
      </x:c>
      <x:c r="X2" s="4" t="s">
        <x:v>216</x:v>
      </x:c>
      <x:c r="Y2" s="4" t="s">
        <x:v>1349</x:v>
      </x:c>
      <x:c r="Z2" s="4" t="s">
        <x:v>199</x:v>
      </x:c>
      <x:c r="AA2" s="4" t="s">
        <x:v>218</x:v>
      </x:c>
      <x:c r="AB2" s="4" t="s">
        <x:v>217</x:v>
      </x:c>
      <x:c r="AC2" s="4" t="s">
        <x:v>1350</x:v>
      </x:c>
      <x:c r="AD2" s="4" t="s">
        <x:v>169</x:v>
      </x:c>
      <x:c r="AE2" s="4" t="s">
        <x:v>1351</x:v>
      </x:c>
      <x:c r="AF2" s="4" t="s">
        <x:v>1352</x:v>
      </x:c>
      <x:c r="AG2" s="4" t="s">
        <x:v>200</x:v>
      </x:c>
      <x:c r="AH2" s="4" t="s">
        <x:v>200</x:v>
      </x:c>
      <x:c r="AI2" s="4" t="s">
        <x:v>200</x:v>
      </x:c>
      <x:c r="AJ2" s="4" t="s">
        <x:v>169</x:v>
      </x:c>
      <x:c r="AK2" s="4" t="s">
        <x:v>169</x:v>
      </x:c>
      <x:c r="AL2" s="4" t="s">
        <x:v>169</x:v>
      </x:c>
      <x:c r="AM2" s="4" t="s">
        <x:v>1353</x:v>
      </x:c>
      <x:c r="AN2" s="4" t="s">
        <x:v>200</x:v>
      </x:c>
      <x:c r="AO2" s="4" t="s">
        <x:v>229</x:v>
      </x:c>
      <x:c r="AP2" s="4" t="s">
        <x:v>1354</x:v>
      </x:c>
      <x:c r="AQ2" s="4" t="s">
        <x:v>1355</x:v>
      </x:c>
      <x:c r="AR2" s="4" t="s">
        <x:v>1356</x:v>
      </x:c>
      <x:c r="AS2" s="4" t="s">
        <x:v>1357</x:v>
      </x:c>
      <x:c r="AT2" s="4" t="s">
        <x:v>1353</x:v>
      </x:c>
      <x:c r="AU2" s="4" t="s">
        <x:v>200</x:v>
      </x:c>
      <x:c r="AV2" s="4" t="s">
        <x:v>200</x:v>
      </x:c>
      <x:c r="AW2" s="4" t="s">
        <x:v>200</x:v>
      </x:c>
      <x:c r="AX2" s="4" t="s">
        <x:v>169</x:v>
      </x:c>
      <x:c r="AY2" s="4" t="s">
        <x:v>169</x:v>
      </x:c>
      <x:c r="AZ2" s="4" t="s">
        <x:v>169</x:v>
      </x:c>
      <x:c r="BA2" s="4" t="s">
        <x:v>169</x:v>
      </x:c>
      <x:c r="BB2" s="4" t="s">
        <x:v>169</x:v>
      </x:c>
      <x:c r="BC2" s="4" t="s">
        <x:v>169</x:v>
      </x:c>
      <x:c r="BD2" s="4" t="s">
        <x:v>169</x:v>
      </x:c>
      <x:c r="BE2" s="4" t="s">
        <x:v>169</x:v>
      </x:c>
      <x:c r="BF2" s="4" t="s">
        <x:v>169</x:v>
      </x:c>
      <x:c r="BG2" s="4" t="s">
        <x:v>169</x:v>
      </x:c>
      <x:c r="BH2" s="4" t="s">
        <x:v>169</x:v>
      </x:c>
      <x:c r="BI2" s="4" t="s">
        <x:v>1358</x:v>
      </x:c>
      <x:c r="BJ2" s="4" t="s">
        <x:v>1359</x:v>
      </x:c>
      <x:c r="BK2" s="4" t="s">
        <x:v>1360</x:v>
      </x:c>
      <x:c r="BL2" s="4" t="s">
        <x:v>1361</x:v>
      </x:c>
      <x:c r="BM2" s="4" t="s">
        <x:v>1362</x:v>
      </x:c>
      <x:c r="BN2" s="4" t="s">
        <x:v>1363</x:v>
      </x:c>
      <x:c r="BO2" s="4" t="s">
        <x:v>1364</x:v>
      </x:c>
      <x:c r="BP2" s="4" t="s">
        <x:v>1364</x:v>
      </x:c>
      <x:c r="BQ2" s="4" t="s">
        <x:v>1364</x:v>
      </x:c>
      <x:c r="BR2" s="4" t="s">
        <x:v>1365</x:v>
      </x:c>
      <x:c r="BS2" s="4" t="s">
        <x:v>1366</x:v>
      </x:c>
      <x:c r="BT2" s="4" t="s">
        <x:v>1367</x:v>
      </x:c>
      <x:c r="BU2" s="4" t="s">
        <x:v>1368</x:v>
      </x:c>
      <x:c r="BV2" s="4" t="s">
        <x:v>1369</x:v>
      </x:c>
      <x:c r="BW2" s="4" t="s">
        <x:v>1370</x:v>
      </x:c>
      <x:c r="BX2" s="4" t="s">
        <x:v>1371</x:v>
      </x:c>
      <x:c r="BY2" s="4" t="s">
        <x:v>1372</x:v>
      </x:c>
      <x:c r="BZ2" s="4" t="s">
        <x:v>1373</x:v>
      </x:c>
      <x:c r="CA2" s="4" t="s">
        <x:v>1374</x:v>
      </x:c>
      <x:c r="CB2" s="4" t="s">
        <x:v>1375</x:v>
      </x:c>
      <x:c r="CC2" s="4" t="s">
        <x:v>1376</x:v>
      </x:c>
      <x:c r="CD2" s="4" t="s">
        <x:v>1377</x:v>
      </x:c>
      <x:c r="CE2" s="4" t="s">
        <x:v>1378</x:v>
      </x:c>
      <x:c r="CF2" s="4" t="s">
        <x:v>1379</x:v>
      </x:c>
      <x:c r="CG2" s="4" t="s">
        <x:v>1380</x:v>
      </x:c>
      <x:c r="CH2" s="4" t="s">
        <x:v>1381</x:v>
      </x:c>
      <x:c r="CI2" s="4" t="s">
        <x:v>1382</x:v>
      </x:c>
      <x:c r="CJ2" s="4" t="s">
        <x:v>1383</x:v>
      </x:c>
      <x:c r="CK2" s="4" t="s">
        <x:v>1384</x:v>
      </x:c>
      <x:c r="CL2" s="4" t="s">
        <x:v>1385</x:v>
      </x:c>
      <x:c r="CM2" s="4" t="s">
        <x:v>1386</x:v>
      </x:c>
      <x:c r="CN2" s="4" t="s">
        <x:v>218</x:v>
      </x:c>
      <x:c r="CO2" s="4" t="s">
        <x:v>217</x:v>
      </x:c>
      <x:c r="CP2" s="4" t="s">
        <x:v>1350</x:v>
      </x:c>
      <x:c r="CQ2" s="4" t="s">
        <x:v>1387</x:v>
      </x:c>
      <x:c r="CR2" s="4" t="s">
        <x:v>1388</x:v>
      </x:c>
      <x:c r="CS2" s="4" t="s">
        <x:v>1389</x:v>
      </x:c>
      <x:c r="CT2" s="4" t="s">
        <x:v>1390</x:v>
      </x:c>
      <x:c r="CU2" s="4" t="s">
        <x:v>229</x:v>
      </x:c>
      <x:c r="CV2" s="4" t="s">
        <x:v>1354</x:v>
      </x:c>
      <x:c r="CW2" s="4" t="s">
        <x:v>1355</x:v>
      </x:c>
      <x:c r="CX2" s="4" t="s">
        <x:v>1391</x:v>
      </x:c>
      <x:c r="CY2" s="4" t="s">
        <x:v>1392</x:v>
      </x:c>
      <x:c r="CZ2" s="4" t="s">
        <x:v>1393</x:v>
      </x:c>
      <x:c r="DA2" s="4" t="s">
        <x:v>1394</x:v>
      </x:c>
      <x:c r="DB2" s="4" t="s">
        <x:v>1395</x:v>
      </x:c>
      <x:c r="DC2" s="4" t="s">
        <x:v>1396</x:v>
      </x:c>
      <x:c r="DD2" s="4" t="s">
        <x:v>1397</x:v>
      </x:c>
      <x:c r="DE2" s="4" t="s">
        <x:v>172</x:v>
      </x:c>
      <x:c r="DF2" s="4" t="s">
        <x:v>1398</x:v>
      </x:c>
      <x:c r="DG2" s="4" t="s">
        <x:v>1397</x:v>
      </x:c>
      <x:c r="DH2" s="4" t="s">
        <x:v>1397</x:v>
      </x:c>
      <x:c r="DI2" s="4" t="s">
        <x:v>1397</x:v>
      </x:c>
      <x:c r="DJ2" s="4" t="s">
        <x:v>171</x:v>
      </x:c>
      <x:c r="DK2" s="4" t="s">
        <x:v>172</x:v>
      </x:c>
      <x:c r="DL2" s="4" t="s">
        <x:v>729</x:v>
      </x:c>
      <x:c r="DM2" s="4" t="s">
        <x:v>1399</x:v>
      </x:c>
      <x:c r="DN2" s="4" t="s">
        <x:v>1400</x:v>
      </x:c>
      <x:c r="DO2" s="4" t="s">
        <x:v>1401</x:v>
      </x:c>
      <x:c r="DP2" s="4" t="s">
        <x:v>1398</x:v>
      </x:c>
      <x:c r="DQ2" s="4" t="s">
        <x:v>176</x:v>
      </x:c>
      <x:c r="DR2" s="4" t="s">
        <x:v>176</x:v>
      </x:c>
      <x:c r="DS2" s="4" t="s">
        <x:v>176</x:v>
      </x:c>
      <x:c r="DT2" s="4" t="s">
        <x:v>176</x:v>
      </x:c>
      <x:c r="DU2" s="4" t="s">
        <x:v>176</x:v>
      </x:c>
      <x:c r="DV2" s="4" t="s">
        <x:v>176</x:v>
      </x:c>
      <x:c r="DW2" s="4" t="s">
        <x:v>176</x:v>
      </x:c>
      <x:c r="DX2" s="4" t="s">
        <x:v>176</x:v>
      </x:c>
      <x:c r="DY2" s="4" t="s">
        <x:v>176</x:v>
      </x:c>
      <x:c r="DZ2" s="4" t="s">
        <x:v>176</x:v>
      </x:c>
      <x:c r="EA2" s="4" t="s">
        <x:v>176</x:v>
      </x:c>
      <x:c r="EB2" s="4" t="s">
        <x:v>176</x:v>
      </x:c>
      <x:c r="EC2" s="4" t="s">
        <x:v>176</x:v>
      </x:c>
      <x:c r="ED2" s="4" t="s">
        <x:v>176</x:v>
      </x:c>
      <x:c r="EE2" s="4" t="s">
        <x:v>176</x:v>
      </x:c>
      <x:c r="EF2" s="4" t="s">
        <x:v>176</x:v>
      </x:c>
      <x:c r="EG2" s="4" t="s">
        <x:v>176</x:v>
      </x:c>
      <x:c r="EH2" s="4" t="s">
        <x:v>176</x:v>
      </x:c>
      <x:c r="EI2" s="4" t="s">
        <x:v>726</x:v>
      </x:c>
      <x:c r="EJ2" s="4" t="s">
        <x:v>726</x:v>
      </x:c>
      <x:c r="EK2" s="4" t="s">
        <x:v>726</x:v>
      </x:c>
      <x:c r="EL2" s="4" t="s">
        <x:v>1402</x:v>
      </x:c>
      <x:c r="EM2" s="4" t="s">
        <x:v>1403</x:v>
      </x:c>
      <x:c r="EN2" s="4" t="s">
        <x:v>200</x:v>
      </x:c>
      <x:c r="EO2" s="4" t="s">
        <x:v>1404</x:v>
      </x:c>
      <x:c r="EP2" s="4" t="s">
        <x:v>1405</x:v>
      </x:c>
      <x:c r="EQ2" s="4" t="s">
        <x:v>1406</x:v>
      </x:c>
      <x:c r="ER2" s="4" t="s">
        <x:v>1407</x:v>
      </x:c>
      <x:c r="ES2" s="4" t="s">
        <x:v>1408</x:v>
      </x:c>
    </x:row>
    <x:row r="3">
      <x:c r="A3" s="4" t="s">
        <x:v>70</x:v>
      </x:c>
      <x:c r="B3" s="4" t="s">
        <x:v>1335</x:v>
      </x:c>
      <x:c r="C3" s="4" t="s">
        <x:v>1336</x:v>
      </x:c>
      <x:c r="D3" s="4" t="s">
        <x:v>1409</x:v>
      </x:c>
      <x:c r="E3" s="4" t="s">
        <x:v>1338</x:v>
      </x:c>
      <x:c r="F3" s="4" t="s">
        <x:v>238</x:v>
      </x:c>
      <x:c r="G3" s="4" t="s">
        <x:v>245</x:v>
      </x:c>
      <x:c r="H3" s="4" t="s">
        <x:v>1410</x:v>
      </x:c>
      <x:c r="I3" s="4" t="s">
        <x:v>179</x:v>
      </x:c>
      <x:c r="J3" s="4" t="s">
        <x:v>1411</x:v>
      </x:c>
      <x:c r="K3" s="4" t="s">
        <x:v>1412</x:v>
      </x:c>
      <x:c r="L3" s="4" t="s">
        <x:v>1343</x:v>
      </x:c>
      <x:c r="M3" s="4" t="s">
        <x:v>1413</x:v>
      </x:c>
      <x:c r="N3" s="4" t="s">
        <x:v>1414</x:v>
      </x:c>
      <x:c r="O3" s="4" t="s">
        <x:v>169</x:v>
      </x:c>
      <x:c r="P3" s="4" t="s">
        <x:v>1415</x:v>
      </x:c>
      <x:c r="Q3" s="4" t="s">
        <x:v>1416</x:v>
      </x:c>
      <x:c r="R3" s="4" t="s">
        <x:v>1417</x:v>
      </x:c>
      <x:c r="S3" s="4" t="s">
        <x:v>200</x:v>
      </x:c>
      <x:c r="T3" s="4" t="s">
        <x:v>169</x:v>
      </x:c>
      <x:c r="U3" s="4" t="s">
        <x:v>169</x:v>
      </x:c>
      <x:c r="V3" s="4" t="s">
        <x:v>169</x:v>
      </x:c>
      <x:c r="W3" s="4" t="s">
        <x:v>169</x:v>
      </x:c>
      <x:c r="X3" s="4" t="s">
        <x:v>238</x:v>
      </x:c>
      <x:c r="Y3" s="4" t="s">
        <x:v>1349</x:v>
      </x:c>
      <x:c r="Z3" s="4" t="s">
        <x:v>240</x:v>
      </x:c>
      <x:c r="AA3" s="4" t="s">
        <x:v>229</x:v>
      </x:c>
      <x:c r="AB3" s="4" t="s">
        <x:v>1418</x:v>
      </x:c>
      <x:c r="AC3" s="4" t="s">
        <x:v>1419</x:v>
      </x:c>
      <x:c r="AD3" s="4" t="s">
        <x:v>169</x:v>
      </x:c>
      <x:c r="AE3" s="4" t="s">
        <x:v>1420</x:v>
      </x:c>
      <x:c r="AF3" s="4" t="s">
        <x:v>1352</x:v>
      </x:c>
      <x:c r="AG3" s="4" t="s">
        <x:v>169</x:v>
      </x:c>
      <x:c r="AH3" s="4" t="s">
        <x:v>169</x:v>
      </x:c>
      <x:c r="AI3" s="4" t="s">
        <x:v>169</x:v>
      </x:c>
      <x:c r="AJ3" s="4" t="s">
        <x:v>169</x:v>
      </x:c>
      <x:c r="AK3" s="4" t="s">
        <x:v>169</x:v>
      </x:c>
      <x:c r="AL3" s="4" t="s">
        <x:v>169</x:v>
      </x:c>
      <x:c r="AM3" s="4" t="s">
        <x:v>200</x:v>
      </x:c>
      <x:c r="AN3" s="4" t="s">
        <x:v>200</x:v>
      </x:c>
      <x:c r="AO3" s="4" t="s">
        <x:v>229</x:v>
      </x:c>
      <x:c r="AP3" s="4" t="s">
        <x:v>1418</x:v>
      </x:c>
      <x:c r="AQ3" s="4" t="s">
        <x:v>1419</x:v>
      </x:c>
      <x:c r="AR3" s="4" t="s">
        <x:v>1421</x:v>
      </x:c>
      <x:c r="AS3" s="4" t="s">
        <x:v>1357</x:v>
      </x:c>
      <x:c r="AT3" s="4" t="s">
        <x:v>169</x:v>
      </x:c>
      <x:c r="AU3" s="4" t="s">
        <x:v>169</x:v>
      </x:c>
      <x:c r="AV3" s="4" t="s">
        <x:v>169</x:v>
      </x:c>
      <x:c r="AW3" s="4" t="s">
        <x:v>169</x:v>
      </x:c>
      <x:c r="AX3" s="4" t="s">
        <x:v>169</x:v>
      </x:c>
      <x:c r="AY3" s="4" t="s">
        <x:v>169</x:v>
      </x:c>
      <x:c r="AZ3" s="4" t="s">
        <x:v>169</x:v>
      </x:c>
      <x:c r="BA3" s="4" t="s">
        <x:v>169</x:v>
      </x:c>
      <x:c r="BB3" s="4" t="s">
        <x:v>169</x:v>
      </x:c>
      <x:c r="BC3" s="4" t="s">
        <x:v>169</x:v>
      </x:c>
      <x:c r="BD3" s="4" t="s">
        <x:v>169</x:v>
      </x:c>
      <x:c r="BE3" s="4" t="s">
        <x:v>169</x:v>
      </x:c>
      <x:c r="BF3" s="4" t="s">
        <x:v>169</x:v>
      </x:c>
      <x:c r="BG3" s="4" t="s">
        <x:v>169</x:v>
      </x:c>
      <x:c r="BH3" s="4" t="s">
        <x:v>169</x:v>
      </x:c>
      <x:c r="BI3" s="4" t="s">
        <x:v>1422</x:v>
      </x:c>
      <x:c r="BJ3" s="4" t="s">
        <x:v>1423</x:v>
      </x:c>
      <x:c r="BK3" s="4" t="s">
        <x:v>1360</x:v>
      </x:c>
      <x:c r="BL3" s="4" t="s">
        <x:v>1361</x:v>
      </x:c>
      <x:c r="BM3" s="4" t="s">
        <x:v>1362</x:v>
      </x:c>
      <x:c r="BN3" s="4" t="s">
        <x:v>1363</x:v>
      </x:c>
      <x:c r="BO3" s="4" t="s">
        <x:v>1424</x:v>
      </x:c>
      <x:c r="BP3" s="4" t="s">
        <x:v>1372</x:v>
      </x:c>
      <x:c r="BQ3" s="4" t="s">
        <x:v>1424</x:v>
      </x:c>
      <x:c r="BR3" s="4" t="s">
        <x:v>1425</x:v>
      </x:c>
      <x:c r="BS3" s="4" t="s">
        <x:v>1426</x:v>
      </x:c>
      <x:c r="BT3" s="4" t="s">
        <x:v>1427</x:v>
      </x:c>
      <x:c r="BU3" s="4" t="s">
        <x:v>1426</x:v>
      </x:c>
      <x:c r="BV3" s="4" t="s">
        <x:v>1427</x:v>
      </x:c>
      <x:c r="BW3" s="4" t="s">
        <x:v>1428</x:v>
      </x:c>
      <x:c r="BX3" s="4" t="s">
        <x:v>1429</x:v>
      </x:c>
      <x:c r="BY3" s="4" t="s">
        <x:v>1430</x:v>
      </x:c>
      <x:c r="BZ3" s="4" t="s">
        <x:v>1431</x:v>
      </x:c>
      <x:c r="CA3" s="4" t="s">
        <x:v>1374</x:v>
      </x:c>
      <x:c r="CB3" s="4" t="s">
        <x:v>1375</x:v>
      </x:c>
      <x:c r="CC3" s="4" t="s">
        <x:v>1376</x:v>
      </x:c>
      <x:c r="CD3" s="4" t="s">
        <x:v>1432</x:v>
      </x:c>
      <x:c r="CE3" s="4" t="s">
        <x:v>1433</x:v>
      </x:c>
      <x:c r="CF3" s="4" t="s">
        <x:v>1434</x:v>
      </x:c>
      <x:c r="CG3" s="4" t="s">
        <x:v>1435</x:v>
      </x:c>
      <x:c r="CH3" s="4" t="s">
        <x:v>1381</x:v>
      </x:c>
      <x:c r="CI3" s="4" t="s">
        <x:v>1382</x:v>
      </x:c>
      <x:c r="CJ3" s="4" t="s">
        <x:v>1436</x:v>
      </x:c>
      <x:c r="CK3" s="4" t="s">
        <x:v>1384</x:v>
      </x:c>
      <x:c r="CL3" s="4" t="s">
        <x:v>1437</x:v>
      </x:c>
      <x:c r="CM3" s="4" t="s">
        <x:v>1386</x:v>
      </x:c>
      <x:c r="CN3" s="4" t="s">
        <x:v>229</x:v>
      </x:c>
      <x:c r="CO3" s="4" t="s">
        <x:v>1418</x:v>
      </x:c>
      <x:c r="CP3" s="4" t="s">
        <x:v>1419</x:v>
      </x:c>
      <x:c r="CQ3" s="4" t="s">
        <x:v>1438</x:v>
      </x:c>
      <x:c r="CR3" s="4" t="s">
        <x:v>1439</x:v>
      </x:c>
      <x:c r="CS3" s="4" t="s">
        <x:v>1440</x:v>
      </x:c>
      <x:c r="CT3" s="4" t="s">
        <x:v>1441</x:v>
      </x:c>
      <x:c r="CU3" s="4" t="s">
        <x:v>229</x:v>
      </x:c>
      <x:c r="CV3" s="4" t="s">
        <x:v>1418</x:v>
      </x:c>
      <x:c r="CW3" s="4" t="s">
        <x:v>1419</x:v>
      </x:c>
      <x:c r="CX3" s="4" t="s">
        <x:v>1438</x:v>
      </x:c>
      <x:c r="CY3" s="4" t="s">
        <x:v>1439</x:v>
      </x:c>
      <x:c r="CZ3" s="4" t="s">
        <x:v>1440</x:v>
      </x:c>
      <x:c r="DA3" s="4" t="s">
        <x:v>1441</x:v>
      </x:c>
      <x:c r="DB3" s="4" t="s">
        <x:v>1442</x:v>
      </x:c>
      <x:c r="DC3" s="4" t="s">
        <x:v>1396</x:v>
      </x:c>
      <x:c r="DD3" s="4" t="s">
        <x:v>1397</x:v>
      </x:c>
      <x:c r="DE3" s="4" t="s">
        <x:v>172</x:v>
      </x:c>
      <x:c r="DF3" s="4" t="s">
        <x:v>1443</x:v>
      </x:c>
      <x:c r="DG3" s="4" t="s">
        <x:v>1397</x:v>
      </x:c>
      <x:c r="DH3" s="4" t="s">
        <x:v>1397</x:v>
      </x:c>
      <x:c r="DI3" s="4" t="s">
        <x:v>1397</x:v>
      </x:c>
      <x:c r="DJ3" s="4" t="s">
        <x:v>171</x:v>
      </x:c>
      <x:c r="DK3" s="4" t="s">
        <x:v>172</x:v>
      </x:c>
      <x:c r="DL3" s="4" t="s">
        <x:v>730</x:v>
      </x:c>
      <x:c r="DM3" s="4" t="s">
        <x:v>1444</x:v>
      </x:c>
      <x:c r="DN3" s="4" t="s">
        <x:v>1400</x:v>
      </x:c>
      <x:c r="DO3" s="4" t="s">
        <x:v>1401</x:v>
      </x:c>
      <x:c r="DP3" s="4" t="s">
        <x:v>1443</x:v>
      </x:c>
      <x:c r="DQ3" s="4" t="s">
        <x:v>176</x:v>
      </x:c>
      <x:c r="DR3" s="4" t="s">
        <x:v>176</x:v>
      </x:c>
      <x:c r="DS3" s="4" t="s">
        <x:v>176</x:v>
      </x:c>
      <x:c r="DT3" s="4" t="s">
        <x:v>176</x:v>
      </x:c>
      <x:c r="DU3" s="4" t="s">
        <x:v>176</x:v>
      </x:c>
      <x:c r="DV3" s="4" t="s">
        <x:v>176</x:v>
      </x:c>
      <x:c r="DW3" s="4" t="s">
        <x:v>176</x:v>
      </x:c>
      <x:c r="DX3" s="4" t="s">
        <x:v>176</x:v>
      </x:c>
      <x:c r="DY3" s="4" t="s">
        <x:v>176</x:v>
      </x:c>
      <x:c r="DZ3" s="4" t="s">
        <x:v>176</x:v>
      </x:c>
      <x:c r="EA3" s="4" t="s">
        <x:v>176</x:v>
      </x:c>
      <x:c r="EB3" s="4" t="s">
        <x:v>176</x:v>
      </x:c>
      <x:c r="EC3" s="4" t="s">
        <x:v>176</x:v>
      </x:c>
      <x:c r="ED3" s="4" t="s">
        <x:v>176</x:v>
      </x:c>
      <x:c r="EE3" s="4" t="s">
        <x:v>176</x:v>
      </x:c>
      <x:c r="EF3" s="4" t="s">
        <x:v>176</x:v>
      </x:c>
      <x:c r="EG3" s="4" t="s">
        <x:v>176</x:v>
      </x:c>
      <x:c r="EH3" s="4" t="s">
        <x:v>176</x:v>
      </x:c>
      <x:c r="EI3" s="4" t="s">
        <x:v>726</x:v>
      </x:c>
      <x:c r="EJ3" s="4" t="s">
        <x:v>726</x:v>
      </x:c>
      <x:c r="EK3" s="4" t="s">
        <x:v>726</x:v>
      </x:c>
      <x:c r="EL3" s="4" t="s">
        <x:v>1402</x:v>
      </x:c>
      <x:c r="EM3" s="4" t="s">
        <x:v>1445</x:v>
      </x:c>
      <x:c r="EN3" s="4" t="s">
        <x:v>169</x:v>
      </x:c>
      <x:c r="EO3" s="4" t="s">
        <x:v>1446</x:v>
      </x:c>
      <x:c r="EP3" s="4" t="s">
        <x:v>1447</x:v>
      </x:c>
      <x:c r="EQ3" s="4" t="s">
        <x:v>1406</x:v>
      </x:c>
      <x:c r="ER3" s="4" t="s">
        <x:v>1407</x:v>
      </x:c>
      <x:c r="ES3" s="4" t="s">
        <x:v>1408</x:v>
      </x:c>
    </x:row>
    <x:row r="4">
      <x:c r="A4" s="4" t="s">
        <x:v>71</x:v>
      </x:c>
      <x:c r="B4" s="4" t="s">
        <x:v>1335</x:v>
      </x:c>
      <x:c r="C4" s="4" t="s">
        <x:v>1336</x:v>
      </x:c>
      <x:c r="D4" s="4" t="s">
        <x:v>1409</x:v>
      </x:c>
      <x:c r="E4" s="4" t="s">
        <x:v>1338</x:v>
      </x:c>
      <x:c r="F4" s="4" t="s">
        <x:v>258</x:v>
      </x:c>
      <x:c r="G4" s="4" t="s">
        <x:v>397</x:v>
      </x:c>
      <x:c r="H4" s="4" t="s">
        <x:v>1448</x:v>
      </x:c>
      <x:c r="I4" s="4" t="s">
        <x:v>1449</x:v>
      </x:c>
      <x:c r="J4" s="4" t="s">
        <x:v>1450</x:v>
      </x:c>
      <x:c r="K4" s="4" t="s">
        <x:v>1451</x:v>
      </x:c>
      <x:c r="L4" s="4" t="s">
        <x:v>1343</x:v>
      </x:c>
      <x:c r="M4" s="4" t="s">
        <x:v>1452</x:v>
      </x:c>
      <x:c r="N4" s="4" t="s">
        <x:v>1453</x:v>
      </x:c>
      <x:c r="O4" s="4" t="s">
        <x:v>1454</x:v>
      </x:c>
      <x:c r="P4" s="4" t="s">
        <x:v>1455</x:v>
      </x:c>
      <x:c r="Q4" s="4" t="s">
        <x:v>1456</x:v>
      </x:c>
      <x:c r="R4" s="4" t="s">
        <x:v>1457</x:v>
      </x:c>
      <x:c r="S4" s="4" t="s">
        <x:v>314</x:v>
      </x:c>
      <x:c r="T4" s="4" t="s">
        <x:v>218</x:v>
      </x:c>
      <x:c r="U4" s="4" t="s">
        <x:v>169</x:v>
      </x:c>
      <x:c r="V4" s="4" t="s">
        <x:v>218</x:v>
      </x:c>
      <x:c r="W4" s="4" t="s">
        <x:v>169</x:v>
      </x:c>
      <x:c r="X4" s="4" t="s">
        <x:v>248</x:v>
      </x:c>
      <x:c r="Y4" s="4" t="s">
        <x:v>1458</x:v>
      </x:c>
      <x:c r="Z4" s="4" t="s">
        <x:v>199</x:v>
      </x:c>
      <x:c r="AA4" s="4" t="s">
        <x:v>218</x:v>
      </x:c>
      <x:c r="AB4" s="4" t="s">
        <x:v>260</x:v>
      </x:c>
      <x:c r="AC4" s="4" t="s">
        <x:v>1459</x:v>
      </x:c>
      <x:c r="AD4" s="4" t="s">
        <x:v>169</x:v>
      </x:c>
      <x:c r="AE4" s="4" t="s">
        <x:v>1460</x:v>
      </x:c>
      <x:c r="AF4" s="4" t="s">
        <x:v>1352</x:v>
      </x:c>
      <x:c r="AG4" s="4" t="s">
        <x:v>358</x:v>
      </x:c>
      <x:c r="AH4" s="4" t="s">
        <x:v>314</x:v>
      </x:c>
      <x:c r="AI4" s="4" t="s">
        <x:v>358</x:v>
      </x:c>
      <x:c r="AJ4" s="4" t="s">
        <x:v>169</x:v>
      </x:c>
      <x:c r="AK4" s="4" t="s">
        <x:v>314</x:v>
      </x:c>
      <x:c r="AL4" s="4" t="s">
        <x:v>200</x:v>
      </x:c>
      <x:c r="AM4" s="4" t="s">
        <x:v>373</x:v>
      </x:c>
      <x:c r="AN4" s="4" t="s">
        <x:v>200</x:v>
      </x:c>
      <x:c r="AO4" s="4" t="s">
        <x:v>383</x:v>
      </x:c>
      <x:c r="AP4" s="4" t="s">
        <x:v>1461</x:v>
      </x:c>
      <x:c r="AQ4" s="4" t="s">
        <x:v>1462</x:v>
      </x:c>
      <x:c r="AR4" s="4" t="s">
        <x:v>1463</x:v>
      </x:c>
      <x:c r="AS4" s="4" t="s">
        <x:v>1357</x:v>
      </x:c>
      <x:c r="AT4" s="4" t="s">
        <x:v>1464</x:v>
      </x:c>
      <x:c r="AU4" s="4" t="s">
        <x:v>1465</x:v>
      </x:c>
      <x:c r="AV4" s="4" t="s">
        <x:v>169</x:v>
      </x:c>
      <x:c r="AW4" s="4" t="s">
        <x:v>632</x:v>
      </x:c>
      <x:c r="AX4" s="4" t="s">
        <x:v>200</x:v>
      </x:c>
      <x:c r="AY4" s="4" t="s">
        <x:v>200</x:v>
      </x:c>
      <x:c r="AZ4" s="4" t="s">
        <x:v>200</x:v>
      </x:c>
      <x:c r="BA4" s="4" t="s">
        <x:v>229</x:v>
      </x:c>
      <x:c r="BB4" s="4" t="s">
        <x:v>229</x:v>
      </x:c>
      <x:c r="BC4" s="4" t="s">
        <x:v>169</x:v>
      </x:c>
      <x:c r="BD4" s="4" t="s">
        <x:v>330</x:v>
      </x:c>
      <x:c r="BE4" s="4" t="s">
        <x:v>169</x:v>
      </x:c>
      <x:c r="BF4" s="4" t="s">
        <x:v>169</x:v>
      </x:c>
      <x:c r="BG4" s="4" t="s">
        <x:v>169</x:v>
      </x:c>
      <x:c r="BH4" s="4" t="s">
        <x:v>1466</x:v>
      </x:c>
      <x:c r="BI4" s="4" t="s">
        <x:v>1467</x:v>
      </x:c>
      <x:c r="BJ4" s="4" t="s">
        <x:v>1468</x:v>
      </x:c>
      <x:c r="BK4" s="4" t="s">
        <x:v>1360</x:v>
      </x:c>
      <x:c r="BL4" s="4" t="s">
        <x:v>1374</x:v>
      </x:c>
      <x:c r="BM4" s="4" t="s">
        <x:v>1375</x:v>
      </x:c>
      <x:c r="BN4" s="4" t="s">
        <x:v>1376</x:v>
      </x:c>
      <x:c r="BO4" s="4" t="s">
        <x:v>1469</x:v>
      </x:c>
      <x:c r="BP4" s="4" t="s">
        <x:v>1469</x:v>
      </x:c>
      <x:c r="BQ4" s="4" t="s">
        <x:v>1469</x:v>
      </x:c>
      <x:c r="BR4" s="4" t="s">
        <x:v>1470</x:v>
      </x:c>
      <x:c r="BS4" s="4" t="s">
        <x:v>1471</x:v>
      </x:c>
      <x:c r="BT4" s="4" t="s">
        <x:v>1472</x:v>
      </x:c>
      <x:c r="BU4" s="4" t="s">
        <x:v>1473</x:v>
      </x:c>
      <x:c r="BV4" s="4" t="s">
        <x:v>1474</x:v>
      </x:c>
      <x:c r="BW4" s="4" t="s">
        <x:v>1475</x:v>
      </x:c>
      <x:c r="BX4" s="4" t="s">
        <x:v>1476</x:v>
      </x:c>
      <x:c r="BY4" s="4" t="s">
        <x:v>1477</x:v>
      </x:c>
      <x:c r="BZ4" s="4" t="s">
        <x:v>1478</x:v>
      </x:c>
      <x:c r="CA4" s="4" t="s">
        <x:v>1479</x:v>
      </x:c>
      <x:c r="CB4" s="4" t="s">
        <x:v>1480</x:v>
      </x:c>
      <x:c r="CC4" s="4" t="s">
        <x:v>1481</x:v>
      </x:c>
      <x:c r="CD4" s="4" t="s">
        <x:v>1482</x:v>
      </x:c>
      <x:c r="CE4" s="4" t="s">
        <x:v>1483</x:v>
      </x:c>
      <x:c r="CF4" s="4" t="s">
        <x:v>1484</x:v>
      </x:c>
      <x:c r="CG4" s="4" t="s">
        <x:v>1485</x:v>
      </x:c>
      <x:c r="CH4" s="4" t="s">
        <x:v>1381</x:v>
      </x:c>
      <x:c r="CI4" s="4" t="s">
        <x:v>1382</x:v>
      </x:c>
      <x:c r="CJ4" s="4" t="s">
        <x:v>1486</x:v>
      </x:c>
      <x:c r="CK4" s="4" t="s">
        <x:v>1487</x:v>
      </x:c>
      <x:c r="CL4" s="4" t="s">
        <x:v>1488</x:v>
      </x:c>
      <x:c r="CM4" s="4" t="s">
        <x:v>1386</x:v>
      </x:c>
      <x:c r="CN4" s="4" t="s">
        <x:v>218</x:v>
      </x:c>
      <x:c r="CO4" s="4" t="s">
        <x:v>260</x:v>
      </x:c>
      <x:c r="CP4" s="4" t="s">
        <x:v>1459</x:v>
      </x:c>
      <x:c r="CQ4" s="4" t="s">
        <x:v>1489</x:v>
      </x:c>
      <x:c r="CR4" s="4" t="s">
        <x:v>1490</x:v>
      </x:c>
      <x:c r="CS4" s="4" t="s">
        <x:v>1491</x:v>
      </x:c>
      <x:c r="CT4" s="4" t="s">
        <x:v>1492</x:v>
      </x:c>
      <x:c r="CU4" s="4" t="s">
        <x:v>383</x:v>
      </x:c>
      <x:c r="CV4" s="4" t="s">
        <x:v>1461</x:v>
      </x:c>
      <x:c r="CW4" s="4" t="s">
        <x:v>1462</x:v>
      </x:c>
      <x:c r="CX4" s="4" t="s">
        <x:v>1493</x:v>
      </x:c>
      <x:c r="CY4" s="4" t="s">
        <x:v>1494</x:v>
      </x:c>
      <x:c r="CZ4" s="4" t="s">
        <x:v>1495</x:v>
      </x:c>
      <x:c r="DA4" s="4" t="s">
        <x:v>1496</x:v>
      </x:c>
      <x:c r="DB4" s="4" t="s">
        <x:v>1497</x:v>
      </x:c>
      <x:c r="DC4" s="4" t="s">
        <x:v>1396</x:v>
      </x:c>
      <x:c r="DD4" s="4" t="s">
        <x:v>1397</x:v>
      </x:c>
      <x:c r="DE4" s="4" t="s">
        <x:v>172</x:v>
      </x:c>
      <x:c r="DF4" s="4" t="s">
        <x:v>1498</x:v>
      </x:c>
      <x:c r="DG4" s="4" t="s">
        <x:v>1397</x:v>
      </x:c>
      <x:c r="DH4" s="4" t="s">
        <x:v>1397</x:v>
      </x:c>
      <x:c r="DI4" s="4" t="s">
        <x:v>1397</x:v>
      </x:c>
      <x:c r="DJ4" s="4" t="s">
        <x:v>172</x:v>
      </x:c>
      <x:c r="DK4" s="4" t="s">
        <x:v>171</x:v>
      </x:c>
      <x:c r="DL4" s="4" t="s">
        <x:v>731</x:v>
      </x:c>
      <x:c r="DM4" s="4" t="s">
        <x:v>1499</x:v>
      </x:c>
      <x:c r="DN4" s="4" t="s">
        <x:v>1400</x:v>
      </x:c>
      <x:c r="DO4" s="4" t="s">
        <x:v>1401</x:v>
      </x:c>
      <x:c r="DP4" s="4" t="s">
        <x:v>1498</x:v>
      </x:c>
      <x:c r="DQ4" s="4" t="s">
        <x:v>176</x:v>
      </x:c>
      <x:c r="DR4" s="4" t="s">
        <x:v>176</x:v>
      </x:c>
      <x:c r="DS4" s="4" t="s">
        <x:v>176</x:v>
      </x:c>
      <x:c r="DT4" s="4" t="s">
        <x:v>176</x:v>
      </x:c>
      <x:c r="DU4" s="4" t="s">
        <x:v>176</x:v>
      </x:c>
      <x:c r="DV4" s="4" t="s">
        <x:v>176</x:v>
      </x:c>
      <x:c r="DW4" s="4" t="s">
        <x:v>176</x:v>
      </x:c>
      <x:c r="DX4" s="4" t="s">
        <x:v>176</x:v>
      </x:c>
      <x:c r="DY4" s="4" t="s">
        <x:v>176</x:v>
      </x:c>
      <x:c r="DZ4" s="4" t="s">
        <x:v>176</x:v>
      </x:c>
      <x:c r="EA4" s="4" t="s">
        <x:v>176</x:v>
      </x:c>
      <x:c r="EB4" s="4" t="s">
        <x:v>176</x:v>
      </x:c>
      <x:c r="EC4" s="4" t="s">
        <x:v>176</x:v>
      </x:c>
      <x:c r="ED4" s="4" t="s">
        <x:v>176</x:v>
      </x:c>
      <x:c r="EE4" s="4" t="s">
        <x:v>176</x:v>
      </x:c>
      <x:c r="EF4" s="4" t="s">
        <x:v>176</x:v>
      </x:c>
      <x:c r="EG4" s="4" t="s">
        <x:v>176</x:v>
      </x:c>
      <x:c r="EH4" s="4" t="s">
        <x:v>176</x:v>
      </x:c>
      <x:c r="EI4" s="4" t="s">
        <x:v>726</x:v>
      </x:c>
      <x:c r="EJ4" s="4" t="s">
        <x:v>726</x:v>
      </x:c>
      <x:c r="EK4" s="4" t="s">
        <x:v>726</x:v>
      </x:c>
      <x:c r="EL4" s="4" t="s">
        <x:v>1402</x:v>
      </x:c>
      <x:c r="EM4" s="4" t="s">
        <x:v>1500</x:v>
      </x:c>
      <x:c r="EN4" s="4" t="s">
        <x:v>1501</x:v>
      </x:c>
      <x:c r="EO4" s="4" t="s">
        <x:v>1502</x:v>
      </x:c>
      <x:c r="EP4" s="4" t="s">
        <x:v>1503</x:v>
      </x:c>
      <x:c r="EQ4" s="4" t="s">
        <x:v>1406</x:v>
      </x:c>
      <x:c r="ER4" s="4" t="s">
        <x:v>1407</x:v>
      </x:c>
      <x:c r="ES4" s="4" t="s">
        <x:v>1408</x:v>
      </x:c>
    </x:row>
    <x:row r="5">
      <x:c r="A5" s="4" t="s">
        <x:v>73</x:v>
      </x:c>
      <x:c r="B5" s="4" t="s">
        <x:v>1504</x:v>
      </x:c>
      <x:c r="C5" s="4" t="s">
        <x:v>1336</x:v>
      </x:c>
      <x:c r="D5" s="4" t="s">
        <x:v>1409</x:v>
      </x:c>
      <x:c r="E5" s="4" t="s">
        <x:v>1338</x:v>
      </x:c>
      <x:c r="F5" s="4" t="s">
        <x:v>457</x:v>
      </x:c>
      <x:c r="G5" s="4" t="s">
        <x:v>477</x:v>
      </x:c>
      <x:c r="H5" s="4" t="s">
        <x:v>1505</x:v>
      </x:c>
      <x:c r="I5" s="4" t="s">
        <x:v>1449</x:v>
      </x:c>
      <x:c r="J5" s="4" t="s">
        <x:v>1506</x:v>
      </x:c>
      <x:c r="K5" s="4" t="s">
        <x:v>1507</x:v>
      </x:c>
      <x:c r="L5" s="4" t="s">
        <x:v>1343</x:v>
      </x:c>
      <x:c r="M5" s="4" t="s">
        <x:v>1508</x:v>
      </x:c>
      <x:c r="N5" s="4" t="s">
        <x:v>1509</x:v>
      </x:c>
      <x:c r="O5" s="4" t="s">
        <x:v>169</x:v>
      </x:c>
      <x:c r="P5" s="4" t="s">
        <x:v>1510</x:v>
      </x:c>
      <x:c r="Q5" s="4" t="s">
        <x:v>1511</x:v>
      </x:c>
      <x:c r="R5" s="4" t="s">
        <x:v>1512</x:v>
      </x:c>
      <x:c r="S5" s="4" t="s">
        <x:v>218</x:v>
      </x:c>
      <x:c r="T5" s="4" t="s">
        <x:v>1466</x:v>
      </x:c>
      <x:c r="U5" s="4" t="s">
        <x:v>169</x:v>
      </x:c>
      <x:c r="V5" s="4" t="s">
        <x:v>200</x:v>
      </x:c>
      <x:c r="W5" s="4" t="s">
        <x:v>1353</x:v>
      </x:c>
      <x:c r="X5" s="4" t="s">
        <x:v>451</x:v>
      </x:c>
      <x:c r="Y5" s="4" t="s">
        <x:v>1513</x:v>
      </x:c>
      <x:c r="Z5" s="4" t="s">
        <x:v>199</x:v>
      </x:c>
      <x:c r="AA5" s="4" t="s">
        <x:v>459</x:v>
      </x:c>
      <x:c r="AB5" s="4" t="s">
        <x:v>458</x:v>
      </x:c>
      <x:c r="AC5" s="4" t="s">
        <x:v>1514</x:v>
      </x:c>
      <x:c r="AD5" s="4" t="s">
        <x:v>169</x:v>
      </x:c>
      <x:c r="AE5" s="4" t="s">
        <x:v>1515</x:v>
      </x:c>
      <x:c r="AF5" s="4" t="s">
        <x:v>1352</x:v>
      </x:c>
      <x:c r="AG5" s="4" t="s">
        <x:v>169</x:v>
      </x:c>
      <x:c r="AH5" s="4" t="s">
        <x:v>1466</x:v>
      </x:c>
      <x:c r="AI5" s="4" t="s">
        <x:v>169</x:v>
      </x:c>
      <x:c r="AJ5" s="4" t="s">
        <x:v>169</x:v>
      </x:c>
      <x:c r="AK5" s="4" t="s">
        <x:v>169</x:v>
      </x:c>
      <x:c r="AL5" s="4" t="s">
        <x:v>200</x:v>
      </x:c>
      <x:c r="AM5" s="4" t="s">
        <x:v>1353</x:v>
      </x:c>
      <x:c r="AN5" s="4" t="s">
        <x:v>200</x:v>
      </x:c>
      <x:c r="AO5" s="4" t="s">
        <x:v>463</x:v>
      </x:c>
      <x:c r="AP5" s="4" t="s">
        <x:v>1516</x:v>
      </x:c>
      <x:c r="AQ5" s="4" t="s">
        <x:v>1517</x:v>
      </x:c>
      <x:c r="AR5" s="4" t="s">
        <x:v>1518</x:v>
      </x:c>
      <x:c r="AS5" s="4" t="s">
        <x:v>1357</x:v>
      </x:c>
      <x:c r="AT5" s="4" t="s">
        <x:v>200</x:v>
      </x:c>
      <x:c r="AU5" s="4" t="s">
        <x:v>169</x:v>
      </x:c>
      <x:c r="AV5" s="4" t="s">
        <x:v>169</x:v>
      </x:c>
      <x:c r="AW5" s="4" t="s">
        <x:v>169</x:v>
      </x:c>
      <x:c r="AX5" s="4" t="s">
        <x:v>200</x:v>
      </x:c>
      <x:c r="AY5" s="4" t="s">
        <x:v>200</x:v>
      </x:c>
      <x:c r="AZ5" s="4" t="s">
        <x:v>200</x:v>
      </x:c>
      <x:c r="BA5" s="4" t="s">
        <x:v>169</x:v>
      </x:c>
      <x:c r="BB5" s="4" t="s">
        <x:v>169</x:v>
      </x:c>
      <x:c r="BC5" s="4" t="s">
        <x:v>169</x:v>
      </x:c>
      <x:c r="BD5" s="4" t="s">
        <x:v>169</x:v>
      </x:c>
      <x:c r="BE5" s="4" t="s">
        <x:v>169</x:v>
      </x:c>
      <x:c r="BF5" s="4" t="s">
        <x:v>169</x:v>
      </x:c>
      <x:c r="BG5" s="4" t="s">
        <x:v>169</x:v>
      </x:c>
      <x:c r="BH5" s="4" t="s">
        <x:v>169</x:v>
      </x:c>
      <x:c r="BI5" s="4" t="s">
        <x:v>1519</x:v>
      </x:c>
      <x:c r="BJ5" s="4" t="s">
        <x:v>1520</x:v>
      </x:c>
      <x:c r="BK5" s="4" t="s">
        <x:v>1360</x:v>
      </x:c>
      <x:c r="BL5" s="4" t="s">
        <x:v>1521</x:v>
      </x:c>
      <x:c r="BM5" s="4" t="s">
        <x:v>1522</x:v>
      </x:c>
      <x:c r="BN5" s="4" t="s">
        <x:v>1523</x:v>
      </x:c>
      <x:c r="BO5" s="4" t="s">
        <x:v>1524</x:v>
      </x:c>
      <x:c r="BP5" s="4" t="s">
        <x:v>1524</x:v>
      </x:c>
      <x:c r="BQ5" s="4" t="s">
        <x:v>1524</x:v>
      </x:c>
      <x:c r="BR5" s="4" t="s">
        <x:v>1525</x:v>
      </x:c>
      <x:c r="BS5" s="4" t="s">
        <x:v>1526</x:v>
      </x:c>
      <x:c r="BT5" s="4" t="s">
        <x:v>1527</x:v>
      </x:c>
      <x:c r="BU5" s="4" t="s">
        <x:v>1528</x:v>
      </x:c>
      <x:c r="BV5" s="4" t="s">
        <x:v>1529</x:v>
      </x:c>
      <x:c r="BW5" s="4" t="s">
        <x:v>1530</x:v>
      </x:c>
      <x:c r="BX5" s="4" t="s">
        <x:v>1531</x:v>
      </x:c>
      <x:c r="BY5" s="4" t="s">
        <x:v>1532</x:v>
      </x:c>
      <x:c r="BZ5" s="4" t="s">
        <x:v>1533</x:v>
      </x:c>
      <x:c r="CA5" s="4" t="s">
        <x:v>1534</x:v>
      </x:c>
      <x:c r="CB5" s="4" t="s">
        <x:v>1535</x:v>
      </x:c>
      <x:c r="CC5" s="4" t="s">
        <x:v>1536</x:v>
      </x:c>
      <x:c r="CD5" s="4" t="s">
        <x:v>1537</x:v>
      </x:c>
      <x:c r="CE5" s="4" t="s">
        <x:v>1538</x:v>
      </x:c>
      <x:c r="CF5" s="4" t="s">
        <x:v>1539</x:v>
      </x:c>
      <x:c r="CG5" s="4" t="s">
        <x:v>1540</x:v>
      </x:c>
      <x:c r="CH5" s="4" t="s">
        <x:v>1541</x:v>
      </x:c>
      <x:c r="CI5" s="4" t="s">
        <x:v>1542</x:v>
      </x:c>
      <x:c r="CJ5" s="4" t="s">
        <x:v>1543</x:v>
      </x:c>
      <x:c r="CK5" s="4" t="s">
        <x:v>1544</x:v>
      </x:c>
      <x:c r="CL5" s="4" t="s">
        <x:v>1545</x:v>
      </x:c>
      <x:c r="CM5" s="4" t="s">
        <x:v>1386</x:v>
      </x:c>
      <x:c r="CN5" s="4" t="s">
        <x:v>459</x:v>
      </x:c>
      <x:c r="CO5" s="4" t="s">
        <x:v>458</x:v>
      </x:c>
      <x:c r="CP5" s="4" t="s">
        <x:v>1514</x:v>
      </x:c>
      <x:c r="CQ5" s="4" t="s">
        <x:v>1546</x:v>
      </x:c>
      <x:c r="CR5" s="4" t="s">
        <x:v>1547</x:v>
      </x:c>
      <x:c r="CS5" s="4" t="s">
        <x:v>1548</x:v>
      </x:c>
      <x:c r="CT5" s="4" t="s">
        <x:v>1549</x:v>
      </x:c>
      <x:c r="CU5" s="4" t="s">
        <x:v>463</x:v>
      </x:c>
      <x:c r="CV5" s="4" t="s">
        <x:v>1516</x:v>
      </x:c>
      <x:c r="CW5" s="4" t="s">
        <x:v>1517</x:v>
      </x:c>
      <x:c r="CX5" s="4" t="s">
        <x:v>1550</x:v>
      </x:c>
      <x:c r="CY5" s="4" t="s">
        <x:v>1551</x:v>
      </x:c>
      <x:c r="CZ5" s="4" t="s">
        <x:v>1552</x:v>
      </x:c>
      <x:c r="DA5" s="4" t="s">
        <x:v>1553</x:v>
      </x:c>
      <x:c r="DB5" s="4" t="s">
        <x:v>1554</x:v>
      </x:c>
      <x:c r="DC5" s="4" t="s">
        <x:v>1396</x:v>
      </x:c>
      <x:c r="DD5" s="4" t="s">
        <x:v>1397</x:v>
      </x:c>
      <x:c r="DE5" s="4" t="s">
        <x:v>172</x:v>
      </x:c>
      <x:c r="DF5" s="4" t="s">
        <x:v>1555</x:v>
      </x:c>
      <x:c r="DG5" s="4" t="s">
        <x:v>1397</x:v>
      </x:c>
      <x:c r="DH5" s="4" t="s">
        <x:v>1397</x:v>
      </x:c>
      <x:c r="DI5" s="4" t="s">
        <x:v>1397</x:v>
      </x:c>
      <x:c r="DJ5" s="4" t="s">
        <x:v>172</x:v>
      </x:c>
      <x:c r="DK5" s="4" t="s">
        <x:v>172</x:v>
      </x:c>
      <x:c r="DL5" s="4" t="s">
        <x:v>733</x:v>
      </x:c>
      <x:c r="DM5" s="4" t="s">
        <x:v>1556</x:v>
      </x:c>
      <x:c r="DN5" s="4" t="s">
        <x:v>1400</x:v>
      </x:c>
      <x:c r="DO5" s="4" t="s">
        <x:v>1401</x:v>
      </x:c>
      <x:c r="DP5" s="4" t="s">
        <x:v>1555</x:v>
      </x:c>
      <x:c r="DQ5" s="4" t="s">
        <x:v>176</x:v>
      </x:c>
      <x:c r="DR5" s="4" t="s">
        <x:v>176</x:v>
      </x:c>
      <x:c r="DS5" s="4" t="s">
        <x:v>176</x:v>
      </x:c>
      <x:c r="DT5" s="4" t="s">
        <x:v>176</x:v>
      </x:c>
      <x:c r="DU5" s="4" t="s">
        <x:v>176</x:v>
      </x:c>
      <x:c r="DV5" s="4" t="s">
        <x:v>176</x:v>
      </x:c>
      <x:c r="DW5" s="4" t="s">
        <x:v>176</x:v>
      </x:c>
      <x:c r="DX5" s="4" t="s">
        <x:v>176</x:v>
      </x:c>
      <x:c r="DY5" s="4" t="s">
        <x:v>176</x:v>
      </x:c>
      <x:c r="DZ5" s="4" t="s">
        <x:v>176</x:v>
      </x:c>
      <x:c r="EA5" s="4" t="s">
        <x:v>176</x:v>
      </x:c>
      <x:c r="EB5" s="4" t="s">
        <x:v>176</x:v>
      </x:c>
      <x:c r="EC5" s="4" t="s">
        <x:v>176</x:v>
      </x:c>
      <x:c r="ED5" s="4" t="s">
        <x:v>176</x:v>
      </x:c>
      <x:c r="EE5" s="4" t="s">
        <x:v>176</x:v>
      </x:c>
      <x:c r="EF5" s="4" t="s">
        <x:v>176</x:v>
      </x:c>
      <x:c r="EG5" s="4" t="s">
        <x:v>176</x:v>
      </x:c>
      <x:c r="EH5" s="4" t="s">
        <x:v>176</x:v>
      </x:c>
      <x:c r="EI5" s="4" t="s">
        <x:v>726</x:v>
      </x:c>
      <x:c r="EJ5" s="4" t="s">
        <x:v>726</x:v>
      </x:c>
      <x:c r="EK5" s="4" t="s">
        <x:v>726</x:v>
      </x:c>
      <x:c r="EL5" s="4" t="s">
        <x:v>1402</x:v>
      </x:c>
      <x:c r="EM5" s="4" t="s">
        <x:v>1557</x:v>
      </x:c>
      <x:c r="EN5" s="4" t="s">
        <x:v>218</x:v>
      </x:c>
      <x:c r="EO5" s="4" t="s">
        <x:v>1558</x:v>
      </x:c>
      <x:c r="EP5" s="4" t="s">
        <x:v>1503</x:v>
      </x:c>
      <x:c r="EQ5" s="4" t="s">
        <x:v>1406</x:v>
      </x:c>
      <x:c r="ER5" s="4" t="s">
        <x:v>1559</x:v>
      </x:c>
      <x:c r="ES5" s="4" t="s">
        <x:v>1408</x:v>
      </x:c>
    </x:row>
    <x:row r="6">
      <x:c r="A6" s="4" t="s">
        <x:v>75</x:v>
      </x:c>
      <x:c r="B6" s="4" t="s">
        <x:v>1560</x:v>
      </x:c>
      <x:c r="C6" s="4" t="s">
        <x:v>1561</x:v>
      </x:c>
      <x:c r="D6" s="4" t="s">
        <x:v>1337</x:v>
      </x:c>
      <x:c r="E6" s="4" t="s">
        <x:v>1338</x:v>
      </x:c>
      <x:c r="F6" s="4" t="s">
        <x:v>561</x:v>
      </x:c>
      <x:c r="G6" s="4" t="s">
        <x:v>615</x:v>
      </x:c>
      <x:c r="H6" s="4" t="s">
        <x:v>1562</x:v>
      </x:c>
      <x:c r="I6" s="4" t="s">
        <x:v>1449</x:v>
      </x:c>
      <x:c r="J6" s="4" t="s">
        <x:v>1563</x:v>
      </x:c>
      <x:c r="K6" s="4" t="s">
        <x:v>1564</x:v>
      </x:c>
      <x:c r="L6" s="4" t="s">
        <x:v>1343</x:v>
      </x:c>
      <x:c r="M6" s="4" t="s">
        <x:v>1565</x:v>
      </x:c>
      <x:c r="N6" s="4" t="s">
        <x:v>1566</x:v>
      </x:c>
      <x:c r="O6" s="4" t="s">
        <x:v>169</x:v>
      </x:c>
      <x:c r="P6" s="4" t="s">
        <x:v>1567</x:v>
      </x:c>
      <x:c r="Q6" s="4" t="s">
        <x:v>1568</x:v>
      </x:c>
      <x:c r="R6" s="4" t="s">
        <x:v>1569</x:v>
      </x:c>
      <x:c r="S6" s="4" t="s">
        <x:v>218</x:v>
      </x:c>
      <x:c r="T6" s="4" t="s">
        <x:v>1466</x:v>
      </x:c>
      <x:c r="U6" s="4" t="s">
        <x:v>169</x:v>
      </x:c>
      <x:c r="V6" s="4" t="s">
        <x:v>169</x:v>
      </x:c>
      <x:c r="W6" s="4" t="s">
        <x:v>1466</x:v>
      </x:c>
      <x:c r="X6" s="4" t="s">
        <x:v>555</x:v>
      </x:c>
      <x:c r="Y6" s="4" t="s">
        <x:v>1570</x:v>
      </x:c>
      <x:c r="Z6" s="4" t="s">
        <x:v>199</x:v>
      </x:c>
      <x:c r="AA6" s="4" t="s">
        <x:v>563</x:v>
      </x:c>
      <x:c r="AB6" s="4" t="s">
        <x:v>562</x:v>
      </x:c>
      <x:c r="AC6" s="4" t="s">
        <x:v>1571</x:v>
      </x:c>
      <x:c r="AD6" s="4" t="s">
        <x:v>169</x:v>
      </x:c>
      <x:c r="AE6" s="4" t="s">
        <x:v>1572</x:v>
      </x:c>
      <x:c r="AF6" s="4" t="s">
        <x:v>1352</x:v>
      </x:c>
      <x:c r="AG6" s="4" t="s">
        <x:v>1573</x:v>
      </x:c>
      <x:c r="AH6" s="4" t="s">
        <x:v>200</x:v>
      </x:c>
      <x:c r="AI6" s="4" t="s">
        <x:v>1573</x:v>
      </x:c>
      <x:c r="AJ6" s="4" t="s">
        <x:v>169</x:v>
      </x:c>
      <x:c r="AK6" s="4" t="s">
        <x:v>1466</x:v>
      </x:c>
      <x:c r="AL6" s="4" t="s">
        <x:v>169</x:v>
      </x:c>
      <x:c r="AM6" s="4" t="s">
        <x:v>632</x:v>
      </x:c>
      <x:c r="AN6" s="4" t="s">
        <x:v>200</x:v>
      </x:c>
      <x:c r="AO6" s="4" t="s">
        <x:v>571</x:v>
      </x:c>
      <x:c r="AP6" s="4" t="s">
        <x:v>1574</x:v>
      </x:c>
      <x:c r="AQ6" s="4" t="s">
        <x:v>1575</x:v>
      </x:c>
      <x:c r="AR6" s="4" t="s">
        <x:v>1576</x:v>
      </x:c>
      <x:c r="AS6" s="4" t="s">
        <x:v>1357</x:v>
      </x:c>
      <x:c r="AT6" s="4" t="s">
        <x:v>1466</x:v>
      </x:c>
      <x:c r="AU6" s="4" t="s">
        <x:v>1353</x:v>
      </x:c>
      <x:c r="AV6" s="4" t="s">
        <x:v>169</x:v>
      </x:c>
      <x:c r="AW6" s="4" t="s">
        <x:v>200</x:v>
      </x:c>
      <x:c r="AX6" s="4" t="s">
        <x:v>200</x:v>
      </x:c>
      <x:c r="AY6" s="4" t="s">
        <x:v>200</x:v>
      </x:c>
      <x:c r="AZ6" s="4" t="s">
        <x:v>200</x:v>
      </x:c>
      <x:c r="BA6" s="4" t="s">
        <x:v>1466</x:v>
      </x:c>
      <x:c r="BB6" s="4" t="s">
        <x:v>1353</x:v>
      </x:c>
      <x:c r="BC6" s="4" t="s">
        <x:v>200</x:v>
      </x:c>
      <x:c r="BD6" s="4" t="s">
        <x:v>200</x:v>
      </x:c>
      <x:c r="BE6" s="4" t="s">
        <x:v>169</x:v>
      </x:c>
      <x:c r="BF6" s="4" t="s">
        <x:v>169</x:v>
      </x:c>
      <x:c r="BG6" s="4" t="s">
        <x:v>169</x:v>
      </x:c>
      <x:c r="BH6" s="4" t="s">
        <x:v>1466</x:v>
      </x:c>
      <x:c r="BI6" s="4" t="s">
        <x:v>1467</x:v>
      </x:c>
      <x:c r="BJ6" s="4" t="s">
        <x:v>1577</x:v>
      </x:c>
      <x:c r="BK6" s="4" t="s">
        <x:v>1360</x:v>
      </x:c>
      <x:c r="BL6" s="4" t="s">
        <x:v>1578</x:v>
      </x:c>
      <x:c r="BM6" s="4" t="s">
        <x:v>1579</x:v>
      </x:c>
      <x:c r="BN6" s="4" t="s">
        <x:v>1580</x:v>
      </x:c>
      <x:c r="BO6" s="4" t="s">
        <x:v>1581</x:v>
      </x:c>
      <x:c r="BP6" s="4" t="s">
        <x:v>1581</x:v>
      </x:c>
      <x:c r="BQ6" s="4" t="s">
        <x:v>1581</x:v>
      </x:c>
      <x:c r="BR6" s="4" t="s">
        <x:v>1582</x:v>
      </x:c>
      <x:c r="BS6" s="4" t="s">
        <x:v>1581</x:v>
      </x:c>
      <x:c r="BT6" s="4" t="s">
        <x:v>1582</x:v>
      </x:c>
      <x:c r="BU6" s="4" t="s">
        <x:v>1581</x:v>
      </x:c>
      <x:c r="BV6" s="4" t="s">
        <x:v>1582</x:v>
      </x:c>
      <x:c r="BW6" s="4" t="s">
        <x:v>1583</x:v>
      </x:c>
      <x:c r="BX6" s="4" t="s">
        <x:v>1584</x:v>
      </x:c>
      <x:c r="BY6" s="4" t="s">
        <x:v>1585</x:v>
      </x:c>
      <x:c r="BZ6" s="4" t="s">
        <x:v>1586</x:v>
      </x:c>
      <x:c r="CA6" s="4" t="s">
        <x:v>1587</x:v>
      </x:c>
      <x:c r="CB6" s="4" t="s">
        <x:v>1588</x:v>
      </x:c>
      <x:c r="CC6" s="4" t="s">
        <x:v>1589</x:v>
      </x:c>
      <x:c r="CD6" s="4" t="s">
        <x:v>1590</x:v>
      </x:c>
      <x:c r="CE6" s="4" t="s">
        <x:v>1591</x:v>
      </x:c>
      <x:c r="CF6" s="4" t="s">
        <x:v>1592</x:v>
      </x:c>
      <x:c r="CG6" s="4" t="s">
        <x:v>1593</x:v>
      </x:c>
      <x:c r="CH6" s="4" t="s">
        <x:v>1381</x:v>
      </x:c>
      <x:c r="CI6" s="4" t="s">
        <x:v>1382</x:v>
      </x:c>
      <x:c r="CJ6" s="4" t="s">
        <x:v>1383</x:v>
      </x:c>
      <x:c r="CK6" s="4" t="s">
        <x:v>1487</x:v>
      </x:c>
      <x:c r="CL6" s="4" t="s">
        <x:v>1594</x:v>
      </x:c>
      <x:c r="CM6" s="4" t="s">
        <x:v>1386</x:v>
      </x:c>
      <x:c r="CN6" s="4" t="s">
        <x:v>563</x:v>
      </x:c>
      <x:c r="CO6" s="4" t="s">
        <x:v>562</x:v>
      </x:c>
      <x:c r="CP6" s="4" t="s">
        <x:v>1571</x:v>
      </x:c>
      <x:c r="CQ6" s="4" t="s">
        <x:v>1595</x:v>
      </x:c>
      <x:c r="CR6" s="4" t="s">
        <x:v>1596</x:v>
      </x:c>
      <x:c r="CS6" s="4" t="s">
        <x:v>1597</x:v>
      </x:c>
      <x:c r="CT6" s="4" t="s">
        <x:v>1598</x:v>
      </x:c>
      <x:c r="CU6" s="4" t="s">
        <x:v>571</x:v>
      </x:c>
      <x:c r="CV6" s="4" t="s">
        <x:v>1574</x:v>
      </x:c>
      <x:c r="CW6" s="4" t="s">
        <x:v>1575</x:v>
      </x:c>
      <x:c r="CX6" s="4" t="s">
        <x:v>1599</x:v>
      </x:c>
      <x:c r="CY6" s="4" t="s">
        <x:v>1600</x:v>
      </x:c>
      <x:c r="CZ6" s="4" t="s">
        <x:v>1601</x:v>
      </x:c>
      <x:c r="DA6" s="4" t="s">
        <x:v>1602</x:v>
      </x:c>
      <x:c r="DB6" s="4" t="s">
        <x:v>1603</x:v>
      </x:c>
      <x:c r="DC6" s="4" t="s">
        <x:v>1396</x:v>
      </x:c>
      <x:c r="DD6" s="4" t="s">
        <x:v>1397</x:v>
      </x:c>
      <x:c r="DE6" s="4" t="s">
        <x:v>172</x:v>
      </x:c>
      <x:c r="DF6" s="4" t="s">
        <x:v>1604</x:v>
      </x:c>
      <x:c r="DG6" s="4" t="s">
        <x:v>1397</x:v>
      </x:c>
      <x:c r="DH6" s="4" t="s">
        <x:v>1397</x:v>
      </x:c>
      <x:c r="DI6" s="4" t="s">
        <x:v>1397</x:v>
      </x:c>
      <x:c r="DJ6" s="4" t="s">
        <x:v>171</x:v>
      </x:c>
      <x:c r="DK6" s="4" t="s">
        <x:v>172</x:v>
      </x:c>
      <x:c r="DL6" s="4" t="s">
        <x:v>735</x:v>
      </x:c>
      <x:c r="DM6" s="4" t="s">
        <x:v>1605</x:v>
      </x:c>
      <x:c r="DN6" s="4" t="s">
        <x:v>1400</x:v>
      </x:c>
      <x:c r="DO6" s="4" t="s">
        <x:v>1401</x:v>
      </x:c>
      <x:c r="DP6" s="4" t="s">
        <x:v>1604</x:v>
      </x:c>
      <x:c r="DQ6" s="4" t="s">
        <x:v>176</x:v>
      </x:c>
      <x:c r="DR6" s="4" t="s">
        <x:v>176</x:v>
      </x:c>
      <x:c r="DS6" s="4" t="s">
        <x:v>176</x:v>
      </x:c>
      <x:c r="DT6" s="4" t="s">
        <x:v>176</x:v>
      </x:c>
      <x:c r="DU6" s="4" t="s">
        <x:v>176</x:v>
      </x:c>
      <x:c r="DV6" s="4" t="s">
        <x:v>176</x:v>
      </x:c>
      <x:c r="DW6" s="4" t="s">
        <x:v>176</x:v>
      </x:c>
      <x:c r="DX6" s="4" t="s">
        <x:v>176</x:v>
      </x:c>
      <x:c r="DY6" s="4" t="s">
        <x:v>176</x:v>
      </x:c>
      <x:c r="DZ6" s="4" t="s">
        <x:v>176</x:v>
      </x:c>
      <x:c r="EA6" s="4" t="s">
        <x:v>176</x:v>
      </x:c>
      <x:c r="EB6" s="4" t="s">
        <x:v>176</x:v>
      </x:c>
      <x:c r="EC6" s="4" t="s">
        <x:v>176</x:v>
      </x:c>
      <x:c r="ED6" s="4" t="s">
        <x:v>176</x:v>
      </x:c>
      <x:c r="EE6" s="4" t="s">
        <x:v>176</x:v>
      </x:c>
      <x:c r="EF6" s="4" t="s">
        <x:v>176</x:v>
      </x:c>
      <x:c r="EG6" s="4" t="s">
        <x:v>176</x:v>
      </x:c>
      <x:c r="EH6" s="4" t="s">
        <x:v>176</x:v>
      </x:c>
      <x:c r="EI6" s="4" t="s">
        <x:v>726</x:v>
      </x:c>
      <x:c r="EJ6" s="4" t="s">
        <x:v>726</x:v>
      </x:c>
      <x:c r="EK6" s="4" t="s">
        <x:v>726</x:v>
      </x:c>
      <x:c r="EL6" s="4" t="s">
        <x:v>1402</x:v>
      </x:c>
      <x:c r="EM6" s="4" t="s">
        <x:v>1606</x:v>
      </x:c>
      <x:c r="EN6" s="4" t="s">
        <x:v>1607</x:v>
      </x:c>
      <x:c r="EO6" s="4" t="s">
        <x:v>1608</x:v>
      </x:c>
      <x:c r="EP6" s="4" t="s">
        <x:v>1609</x:v>
      </x:c>
      <x:c r="EQ6" s="4" t="s">
        <x:v>1406</x:v>
      </x:c>
      <x:c r="ER6" s="4" t="s">
        <x:v>1407</x:v>
      </x:c>
      <x:c r="ES6" s="4" t="s">
        <x:v>1408</x:v>
      </x:c>
    </x:row>
    <x:row r="7">
      <x:c r="A7" s="4" t="s">
        <x:v>76</x:v>
      </x:c>
      <x:c r="B7" s="4" t="s">
        <x:v>1610</x:v>
      </x:c>
      <x:c r="C7" s="4" t="s">
        <x:v>1336</x:v>
      </x:c>
      <x:c r="D7" s="4" t="s">
        <x:v>1337</x:v>
      </x:c>
      <x:c r="E7" s="4" t="s">
        <x:v>1338</x:v>
      </x:c>
      <x:c r="F7" s="4" t="s">
        <x:v>630</x:v>
      </x:c>
      <x:c r="G7" s="4" t="s">
        <x:v>695</x:v>
      </x:c>
      <x:c r="H7" s="4" t="s">
        <x:v>1611</x:v>
      </x:c>
      <x:c r="I7" s="4" t="s">
        <x:v>1612</x:v>
      </x:c>
      <x:c r="J7" s="4" t="s">
        <x:v>1613</x:v>
      </x:c>
      <x:c r="K7" s="4" t="s">
        <x:v>1614</x:v>
      </x:c>
      <x:c r="L7" s="4" t="s">
        <x:v>1343</x:v>
      </x:c>
      <x:c r="M7" s="4" t="s">
        <x:v>1615</x:v>
      </x:c>
      <x:c r="N7" s="4" t="s">
        <x:v>1616</x:v>
      </x:c>
      <x:c r="O7" s="4" t="s">
        <x:v>1617</x:v>
      </x:c>
      <x:c r="P7" s="4" t="s">
        <x:v>1618</x:v>
      </x:c>
      <x:c r="Q7" s="4" t="s">
        <x:v>1619</x:v>
      </x:c>
      <x:c r="R7" s="4" t="s">
        <x:v>1620</x:v>
      </x:c>
      <x:c r="S7" s="4" t="s">
        <x:v>229</x:v>
      </x:c>
      <x:c r="T7" s="4" t="s">
        <x:v>330</x:v>
      </x:c>
      <x:c r="U7" s="4" t="s">
        <x:v>169</x:v>
      </x:c>
      <x:c r="V7" s="4" t="s">
        <x:v>169</x:v>
      </x:c>
      <x:c r="W7" s="4" t="s">
        <x:v>314</x:v>
      </x:c>
      <x:c r="X7" s="4" t="s">
        <x:v>618</x:v>
      </x:c>
      <x:c r="Y7" s="4" t="s">
        <x:v>1621</x:v>
      </x:c>
      <x:c r="Z7" s="4" t="s">
        <x:v>199</x:v>
      </x:c>
      <x:c r="AA7" s="4" t="s">
        <x:v>632</x:v>
      </x:c>
      <x:c r="AB7" s="4" t="s">
        <x:v>631</x:v>
      </x:c>
      <x:c r="AC7" s="4" t="s">
        <x:v>1622</x:v>
      </x:c>
      <x:c r="AD7" s="4" t="s">
        <x:v>1353</x:v>
      </x:c>
      <x:c r="AE7" s="4" t="s">
        <x:v>1623</x:v>
      </x:c>
      <x:c r="AF7" s="4" t="s">
        <x:v>1352</x:v>
      </x:c>
      <x:c r="AG7" s="4" t="s">
        <x:v>200</x:v>
      </x:c>
      <x:c r="AH7" s="4" t="s">
        <x:v>200</x:v>
      </x:c>
      <x:c r="AI7" s="4" t="s">
        <x:v>200</x:v>
      </x:c>
      <x:c r="AJ7" s="4" t="s">
        <x:v>169</x:v>
      </x:c>
      <x:c r="AK7" s="4" t="s">
        <x:v>169</x:v>
      </x:c>
      <x:c r="AL7" s="4" t="s">
        <x:v>200</x:v>
      </x:c>
      <x:c r="AM7" s="4" t="s">
        <x:v>330</x:v>
      </x:c>
      <x:c r="AN7" s="4" t="s">
        <x:v>200</x:v>
      </x:c>
      <x:c r="AO7" s="4" t="s">
        <x:v>638</x:v>
      </x:c>
      <x:c r="AP7" s="4" t="s">
        <x:v>1624</x:v>
      </x:c>
      <x:c r="AQ7" s="4" t="s">
        <x:v>1625</x:v>
      </x:c>
      <x:c r="AR7" s="4" t="s">
        <x:v>1626</x:v>
      </x:c>
      <x:c r="AS7" s="4" t="s">
        <x:v>1357</x:v>
      </x:c>
      <x:c r="AT7" s="4" t="s">
        <x:v>298</x:v>
      </x:c>
      <x:c r="AU7" s="4" t="s">
        <x:v>229</x:v>
      </x:c>
      <x:c r="AV7" s="4" t="s">
        <x:v>200</x:v>
      </x:c>
      <x:c r="AW7" s="4" t="s">
        <x:v>1573</x:v>
      </x:c>
      <x:c r="AX7" s="4" t="s">
        <x:v>169</x:v>
      </x:c>
      <x:c r="AY7" s="4" t="s">
        <x:v>169</x:v>
      </x:c>
      <x:c r="AZ7" s="4" t="s">
        <x:v>169</x:v>
      </x:c>
      <x:c r="BA7" s="4" t="s">
        <x:v>1573</x:v>
      </x:c>
      <x:c r="BB7" s="4" t="s">
        <x:v>314</x:v>
      </x:c>
      <x:c r="BC7" s="4" t="s">
        <x:v>200</x:v>
      </x:c>
      <x:c r="BD7" s="4" t="s">
        <x:v>218</x:v>
      </x:c>
      <x:c r="BE7" s="4" t="s">
        <x:v>169</x:v>
      </x:c>
      <x:c r="BF7" s="4" t="s">
        <x:v>169</x:v>
      </x:c>
      <x:c r="BG7" s="4" t="s">
        <x:v>169</x:v>
      </x:c>
      <x:c r="BH7" s="4" t="s">
        <x:v>314</x:v>
      </x:c>
      <x:c r="BI7" s="4" t="s">
        <x:v>1467</x:v>
      </x:c>
      <x:c r="BJ7" s="4" t="s">
        <x:v>1627</x:v>
      </x:c>
      <x:c r="BK7" s="4" t="s">
        <x:v>1360</x:v>
      </x:c>
      <x:c r="BL7" s="4" t="s">
        <x:v>1587</x:v>
      </x:c>
      <x:c r="BM7" s="4" t="s">
        <x:v>1588</x:v>
      </x:c>
      <x:c r="BN7" s="4" t="s">
        <x:v>1589</x:v>
      </x:c>
      <x:c r="BO7" s="4" t="s">
        <x:v>1628</x:v>
      </x:c>
      <x:c r="BP7" s="4" t="s">
        <x:v>1628</x:v>
      </x:c>
      <x:c r="BQ7" s="4" t="s">
        <x:v>1628</x:v>
      </x:c>
      <x:c r="BR7" s="4" t="s">
        <x:v>1629</x:v>
      </x:c>
      <x:c r="BS7" s="4" t="s">
        <x:v>1630</x:v>
      </x:c>
      <x:c r="BT7" s="4" t="s">
        <x:v>1631</x:v>
      </x:c>
      <x:c r="BU7" s="4" t="s">
        <x:v>1632</x:v>
      </x:c>
      <x:c r="BV7" s="4" t="s">
        <x:v>1633</x:v>
      </x:c>
      <x:c r="BW7" s="4" t="s">
        <x:v>1634</x:v>
      </x:c>
      <x:c r="BX7" s="4" t="s">
        <x:v>1635</x:v>
      </x:c>
      <x:c r="BY7" s="4" t="s">
        <x:v>1636</x:v>
      </x:c>
      <x:c r="BZ7" s="4" t="s">
        <x:v>1637</x:v>
      </x:c>
      <x:c r="CA7" s="4" t="s">
        <x:v>1638</x:v>
      </x:c>
      <x:c r="CB7" s="4" t="s">
        <x:v>1639</x:v>
      </x:c>
      <x:c r="CC7" s="4" t="s">
        <x:v>1640</x:v>
      </x:c>
      <x:c r="CD7" s="4" t="s">
        <x:v>1641</x:v>
      </x:c>
      <x:c r="CE7" s="4" t="s">
        <x:v>1642</x:v>
      </x:c>
      <x:c r="CF7" s="4" t="s">
        <x:v>1643</x:v>
      </x:c>
      <x:c r="CG7" s="4" t="s">
        <x:v>1644</x:v>
      </x:c>
      <x:c r="CH7" s="4" t="s">
        <x:v>1381</x:v>
      </x:c>
      <x:c r="CI7" s="4" t="s">
        <x:v>1382</x:v>
      </x:c>
      <x:c r="CJ7" s="4" t="s">
        <x:v>1383</x:v>
      </x:c>
      <x:c r="CK7" s="4" t="s">
        <x:v>1487</x:v>
      </x:c>
      <x:c r="CL7" s="4" t="s">
        <x:v>1645</x:v>
      </x:c>
      <x:c r="CM7" s="4" t="s">
        <x:v>1386</x:v>
      </x:c>
      <x:c r="CN7" s="4" t="s">
        <x:v>632</x:v>
      </x:c>
      <x:c r="CO7" s="4" t="s">
        <x:v>631</x:v>
      </x:c>
      <x:c r="CP7" s="4" t="s">
        <x:v>1622</x:v>
      </x:c>
      <x:c r="CQ7" s="4" t="s">
        <x:v>1646</x:v>
      </x:c>
      <x:c r="CR7" s="4" t="s">
        <x:v>1647</x:v>
      </x:c>
      <x:c r="CS7" s="4" t="s">
        <x:v>1648</x:v>
      </x:c>
      <x:c r="CT7" s="4" t="s">
        <x:v>1649</x:v>
      </x:c>
      <x:c r="CU7" s="4" t="s">
        <x:v>638</x:v>
      </x:c>
      <x:c r="CV7" s="4" t="s">
        <x:v>1624</x:v>
      </x:c>
      <x:c r="CW7" s="4" t="s">
        <x:v>1625</x:v>
      </x:c>
      <x:c r="CX7" s="4" t="s">
        <x:v>1650</x:v>
      </x:c>
      <x:c r="CY7" s="4" t="s">
        <x:v>1651</x:v>
      </x:c>
      <x:c r="CZ7" s="4" t="s">
        <x:v>1652</x:v>
      </x:c>
      <x:c r="DA7" s="4" t="s">
        <x:v>1653</x:v>
      </x:c>
      <x:c r="DB7" s="4" t="s">
        <x:v>1654</x:v>
      </x:c>
      <x:c r="DC7" s="4" t="s">
        <x:v>1396</x:v>
      </x:c>
      <x:c r="DD7" s="4" t="s">
        <x:v>1397</x:v>
      </x:c>
      <x:c r="DE7" s="4" t="s">
        <x:v>172</x:v>
      </x:c>
      <x:c r="DF7" s="4" t="s">
        <x:v>1655</x:v>
      </x:c>
      <x:c r="DG7" s="4" t="s">
        <x:v>1397</x:v>
      </x:c>
      <x:c r="DH7" s="4" t="s">
        <x:v>1397</x:v>
      </x:c>
      <x:c r="DI7" s="4" t="s">
        <x:v>1397</x:v>
      </x:c>
      <x:c r="DJ7" s="4" t="s">
        <x:v>171</x:v>
      </x:c>
      <x:c r="DK7" s="4" t="s">
        <x:v>171</x:v>
      </x:c>
      <x:c r="DL7" s="4" t="s">
        <x:v>1656</x:v>
      </x:c>
      <x:c r="DM7" s="4" t="s">
        <x:v>1499</x:v>
      </x:c>
      <x:c r="DN7" s="4" t="s">
        <x:v>1400</x:v>
      </x:c>
      <x:c r="DO7" s="4" t="s">
        <x:v>1401</x:v>
      </x:c>
      <x:c r="DP7" s="4" t="s">
        <x:v>1655</x:v>
      </x:c>
      <x:c r="DQ7" s="4" t="s">
        <x:v>176</x:v>
      </x:c>
      <x:c r="DR7" s="4" t="s">
        <x:v>176</x:v>
      </x:c>
      <x:c r="DS7" s="4" t="s">
        <x:v>176</x:v>
      </x:c>
      <x:c r="DT7" s="4" t="s">
        <x:v>176</x:v>
      </x:c>
      <x:c r="DU7" s="4" t="s">
        <x:v>176</x:v>
      </x:c>
      <x:c r="DV7" s="4" t="s">
        <x:v>176</x:v>
      </x:c>
      <x:c r="DW7" s="4" t="s">
        <x:v>176</x:v>
      </x:c>
      <x:c r="DX7" s="4" t="s">
        <x:v>176</x:v>
      </x:c>
      <x:c r="DY7" s="4" t="s">
        <x:v>176</x:v>
      </x:c>
      <x:c r="DZ7" s="4" t="s">
        <x:v>176</x:v>
      </x:c>
      <x:c r="EA7" s="4" t="s">
        <x:v>176</x:v>
      </x:c>
      <x:c r="EB7" s="4" t="s">
        <x:v>176</x:v>
      </x:c>
      <x:c r="EC7" s="4" t="s">
        <x:v>176</x:v>
      </x:c>
      <x:c r="ED7" s="4" t="s">
        <x:v>176</x:v>
      </x:c>
      <x:c r="EE7" s="4" t="s">
        <x:v>176</x:v>
      </x:c>
      <x:c r="EF7" s="4" t="s">
        <x:v>176</x:v>
      </x:c>
      <x:c r="EG7" s="4" t="s">
        <x:v>176</x:v>
      </x:c>
      <x:c r="EH7" s="4" t="s">
        <x:v>176</x:v>
      </x:c>
      <x:c r="EI7" s="4" t="s">
        <x:v>726</x:v>
      </x:c>
      <x:c r="EJ7" s="4" t="s">
        <x:v>726</x:v>
      </x:c>
      <x:c r="EK7" s="4" t="s">
        <x:v>726</x:v>
      </x:c>
      <x:c r="EL7" s="4" t="s">
        <x:v>1402</x:v>
      </x:c>
      <x:c r="EM7" s="4" t="s">
        <x:v>1657</x:v>
      </x:c>
      <x:c r="EN7" s="4" t="s">
        <x:v>1465</x:v>
      </x:c>
      <x:c r="EO7" s="4" t="s">
        <x:v>1658</x:v>
      </x:c>
      <x:c r="EP7" s="4" t="s">
        <x:v>1609</x:v>
      </x:c>
      <x:c r="EQ7" s="4" t="s">
        <x:v>1406</x:v>
      </x:c>
      <x:c r="ER7" s="4" t="s">
        <x:v>1407</x:v>
      </x:c>
      <x:c r="ES7" s="4" t="s">
        <x:v>1408</x:v>
      </x:c>
    </x:row>
    <x:row r="8">
      <x:c r="A8" s="4" t="s">
        <x:v>107</x:v>
      </x:c>
      <x:c r="B8" s="4" t="s">
        <x:v>107</x:v>
      </x:c>
      <x:c r="C8" s="4" t="s">
        <x:v>107</x:v>
      </x:c>
      <x:c r="D8" s="4" t="s">
        <x:v>107</x:v>
      </x:c>
      <x:c r="E8" s="4" t="s">
        <x:v>107</x:v>
      </x:c>
      <x:c r="F8" s="4" t="s">
        <x:v>107</x:v>
      </x:c>
      <x:c r="G8" s="4" t="s">
        <x:v>107</x:v>
      </x:c>
      <x:c r="H8" s="4" t="s">
        <x:v>107</x:v>
      </x:c>
      <x:c r="I8" s="4" t="s">
        <x:v>107</x:v>
      </x:c>
      <x:c r="J8" s="4" t="s">
        <x:v>107</x:v>
      </x:c>
      <x:c r="K8" s="4" t="s">
        <x:v>107</x:v>
      </x:c>
      <x:c r="L8" s="4" t="s">
        <x:v>107</x:v>
      </x:c>
      <x:c r="M8" s="4" t="s">
        <x:v>107</x:v>
      </x:c>
      <x:c r="N8" s="4" t="s">
        <x:v>107</x:v>
      </x:c>
      <x:c r="O8" s="4" t="s">
        <x:v>107</x:v>
      </x:c>
      <x:c r="P8" s="4" t="s">
        <x:v>107</x:v>
      </x:c>
      <x:c r="Q8" s="4" t="s">
        <x:v>107</x:v>
      </x:c>
      <x:c r="R8" s="4" t="s">
        <x:v>107</x:v>
      </x:c>
      <x:c r="S8" s="4" t="s">
        <x:v>107</x:v>
      </x:c>
      <x:c r="T8" s="4" t="s">
        <x:v>107</x:v>
      </x:c>
      <x:c r="U8" s="4" t="s">
        <x:v>107</x:v>
      </x:c>
      <x:c r="V8" s="4" t="s">
        <x:v>107</x:v>
      </x:c>
      <x:c r="W8" s="4" t="s">
        <x:v>107</x:v>
      </x:c>
      <x:c r="X8" s="4" t="s">
        <x:v>107</x:v>
      </x:c>
      <x:c r="Y8" s="4" t="s">
        <x:v>107</x:v>
      </x:c>
      <x:c r="Z8" s="4" t="s">
        <x:v>107</x:v>
      </x:c>
      <x:c r="AA8" s="4" t="s">
        <x:v>107</x:v>
      </x:c>
      <x:c r="AB8" s="4" t="s">
        <x:v>107</x:v>
      </x:c>
      <x:c r="AC8" s="4" t="s">
        <x:v>107</x:v>
      </x:c>
      <x:c r="AD8" s="4" t="s">
        <x:v>107</x:v>
      </x:c>
      <x:c r="AE8" s="4" t="s">
        <x:v>107</x:v>
      </x:c>
      <x:c r="AF8" s="4" t="s">
        <x:v>107</x:v>
      </x:c>
      <x:c r="AG8" s="4" t="s">
        <x:v>107</x:v>
      </x:c>
      <x:c r="AH8" s="4" t="s">
        <x:v>107</x:v>
      </x:c>
      <x:c r="AI8" s="4" t="s">
        <x:v>107</x:v>
      </x:c>
      <x:c r="AJ8" s="4" t="s">
        <x:v>107</x:v>
      </x:c>
      <x:c r="AK8" s="4" t="s">
        <x:v>107</x:v>
      </x:c>
      <x:c r="AL8" s="4" t="s">
        <x:v>107</x:v>
      </x:c>
      <x:c r="AM8" s="4" t="s">
        <x:v>107</x:v>
      </x:c>
      <x:c r="AN8" s="4" t="s">
        <x:v>107</x:v>
      </x:c>
      <x:c r="AO8" s="4" t="s">
        <x:v>107</x:v>
      </x:c>
      <x:c r="AP8" s="4" t="s">
        <x:v>107</x:v>
      </x:c>
      <x:c r="AQ8" s="4" t="s">
        <x:v>107</x:v>
      </x:c>
      <x:c r="AR8" s="4" t="s">
        <x:v>107</x:v>
      </x:c>
      <x:c r="AS8" s="4" t="s">
        <x:v>107</x:v>
      </x:c>
      <x:c r="AT8" s="4" t="s">
        <x:v>107</x:v>
      </x:c>
      <x:c r="AU8" s="4" t="s">
        <x:v>107</x:v>
      </x:c>
      <x:c r="AV8" s="4" t="s">
        <x:v>107</x:v>
      </x:c>
      <x:c r="AW8" s="4" t="s">
        <x:v>107</x:v>
      </x:c>
      <x:c r="AX8" s="4" t="s">
        <x:v>107</x:v>
      </x:c>
      <x:c r="AY8" s="4" t="s">
        <x:v>107</x:v>
      </x:c>
      <x:c r="AZ8" s="4" t="s">
        <x:v>107</x:v>
      </x:c>
      <x:c r="BA8" s="4" t="s">
        <x:v>107</x:v>
      </x:c>
      <x:c r="BB8" s="4" t="s">
        <x:v>107</x:v>
      </x:c>
      <x:c r="BC8" s="4" t="s">
        <x:v>107</x:v>
      </x:c>
      <x:c r="BD8" s="4" t="s">
        <x:v>107</x:v>
      </x:c>
      <x:c r="BE8" s="4" t="s">
        <x:v>107</x:v>
      </x:c>
      <x:c r="BF8" s="4" t="s">
        <x:v>107</x:v>
      </x:c>
      <x:c r="BG8" s="4" t="s">
        <x:v>107</x:v>
      </x:c>
      <x:c r="BH8" s="4" t="s">
        <x:v>107</x:v>
      </x:c>
      <x:c r="BI8" s="4" t="s">
        <x:v>107</x:v>
      </x:c>
      <x:c r="BJ8" s="4" t="s">
        <x:v>107</x:v>
      </x:c>
      <x:c r="BK8" s="4" t="s">
        <x:v>107</x:v>
      </x:c>
      <x:c r="BL8" s="4" t="s">
        <x:v>107</x:v>
      </x:c>
      <x:c r="BM8" s="4" t="s">
        <x:v>107</x:v>
      </x:c>
      <x:c r="BN8" s="4" t="s">
        <x:v>107</x:v>
      </x:c>
      <x:c r="BO8" s="4" t="s">
        <x:v>107</x:v>
      </x:c>
      <x:c r="BP8" s="4" t="s">
        <x:v>107</x:v>
      </x:c>
      <x:c r="BQ8" s="4" t="s">
        <x:v>107</x:v>
      </x:c>
      <x:c r="BR8" s="4" t="s">
        <x:v>107</x:v>
      </x:c>
      <x:c r="BS8" s="4" t="s">
        <x:v>107</x:v>
      </x:c>
      <x:c r="BT8" s="4" t="s">
        <x:v>107</x:v>
      </x:c>
      <x:c r="BU8" s="4" t="s">
        <x:v>107</x:v>
      </x:c>
      <x:c r="BV8" s="4" t="s">
        <x:v>107</x:v>
      </x:c>
      <x:c r="BW8" s="4" t="s">
        <x:v>107</x:v>
      </x:c>
      <x:c r="BX8" s="4" t="s">
        <x:v>107</x:v>
      </x:c>
      <x:c r="BY8" s="4" t="s">
        <x:v>107</x:v>
      </x:c>
      <x:c r="BZ8" s="4" t="s">
        <x:v>107</x:v>
      </x:c>
      <x:c r="CA8" s="4" t="s">
        <x:v>107</x:v>
      </x:c>
      <x:c r="CB8" s="4" t="s">
        <x:v>107</x:v>
      </x:c>
      <x:c r="CC8" s="4" t="s">
        <x:v>107</x:v>
      </x:c>
      <x:c r="CD8" s="4" t="s">
        <x:v>107</x:v>
      </x:c>
      <x:c r="CE8" s="4" t="s">
        <x:v>107</x:v>
      </x:c>
      <x:c r="CF8" s="4" t="s">
        <x:v>107</x:v>
      </x:c>
      <x:c r="CG8" s="4" t="s">
        <x:v>107</x:v>
      </x:c>
      <x:c r="CH8" s="4" t="s">
        <x:v>107</x:v>
      </x:c>
      <x:c r="CI8" s="4" t="s">
        <x:v>107</x:v>
      </x:c>
      <x:c r="CJ8" s="4" t="s">
        <x:v>107</x:v>
      </x:c>
      <x:c r="CK8" s="4" t="s">
        <x:v>107</x:v>
      </x:c>
      <x:c r="CL8" s="4" t="s">
        <x:v>107</x:v>
      </x:c>
      <x:c r="CM8" s="4" t="s">
        <x:v>107</x:v>
      </x:c>
      <x:c r="CN8" s="4" t="s">
        <x:v>107</x:v>
      </x:c>
      <x:c r="CO8" s="4" t="s">
        <x:v>107</x:v>
      </x:c>
      <x:c r="CP8" s="4" t="s">
        <x:v>107</x:v>
      </x:c>
      <x:c r="CQ8" s="4" t="s">
        <x:v>107</x:v>
      </x:c>
      <x:c r="CR8" s="4" t="s">
        <x:v>107</x:v>
      </x:c>
      <x:c r="CS8" s="4" t="s">
        <x:v>107</x:v>
      </x:c>
      <x:c r="CT8" s="4" t="s">
        <x:v>107</x:v>
      </x:c>
      <x:c r="CU8" s="4" t="s">
        <x:v>107</x:v>
      </x:c>
      <x:c r="CV8" s="4" t="s">
        <x:v>107</x:v>
      </x:c>
      <x:c r="CW8" s="4" t="s">
        <x:v>107</x:v>
      </x:c>
      <x:c r="CX8" s="4" t="s">
        <x:v>107</x:v>
      </x:c>
      <x:c r="CY8" s="4" t="s">
        <x:v>107</x:v>
      </x:c>
      <x:c r="CZ8" s="4" t="s">
        <x:v>107</x:v>
      </x:c>
      <x:c r="DA8" s="4" t="s">
        <x:v>107</x:v>
      </x:c>
      <x:c r="DB8" s="4" t="s">
        <x:v>107</x:v>
      </x:c>
      <x:c r="DC8" s="4" t="s">
        <x:v>107</x:v>
      </x:c>
      <x:c r="DD8" s="4" t="s">
        <x:v>107</x:v>
      </x:c>
      <x:c r="DE8" s="4" t="s">
        <x:v>107</x:v>
      </x:c>
      <x:c r="DF8" s="4" t="s">
        <x:v>107</x:v>
      </x:c>
      <x:c r="DG8" s="4" t="s">
        <x:v>107</x:v>
      </x:c>
      <x:c r="DH8" s="4" t="s">
        <x:v>107</x:v>
      </x:c>
      <x:c r="DI8" s="4" t="s">
        <x:v>107</x:v>
      </x:c>
      <x:c r="DJ8" s="4" t="s">
        <x:v>107</x:v>
      </x:c>
      <x:c r="DK8" s="4" t="s">
        <x:v>107</x:v>
      </x:c>
      <x:c r="DL8" s="4" t="s">
        <x:v>107</x:v>
      </x:c>
      <x:c r="DM8" s="4" t="s">
        <x:v>107</x:v>
      </x:c>
      <x:c r="DN8" s="4" t="s">
        <x:v>107</x:v>
      </x:c>
      <x:c r="DO8" s="4" t="s">
        <x:v>107</x:v>
      </x:c>
      <x:c r="DP8" s="4" t="s">
        <x:v>107</x:v>
      </x:c>
      <x:c r="DQ8" s="4" t="s">
        <x:v>107</x:v>
      </x:c>
      <x:c r="DR8" s="4" t="s">
        <x:v>107</x:v>
      </x:c>
      <x:c r="DS8" s="4" t="s">
        <x:v>107</x:v>
      </x:c>
      <x:c r="DT8" s="4" t="s">
        <x:v>107</x:v>
      </x:c>
      <x:c r="DU8" s="4" t="s">
        <x:v>107</x:v>
      </x:c>
      <x:c r="DV8" s="4" t="s">
        <x:v>107</x:v>
      </x:c>
      <x:c r="DW8" s="4" t="s">
        <x:v>107</x:v>
      </x:c>
      <x:c r="DX8" s="4" t="s">
        <x:v>107</x:v>
      </x:c>
      <x:c r="DY8" s="4" t="s">
        <x:v>107</x:v>
      </x:c>
      <x:c r="DZ8" s="4" t="s">
        <x:v>107</x:v>
      </x:c>
      <x:c r="EA8" s="4" t="s">
        <x:v>107</x:v>
      </x:c>
      <x:c r="EB8" s="4" t="s">
        <x:v>107</x:v>
      </x:c>
      <x:c r="EC8" s="4" t="s">
        <x:v>107</x:v>
      </x:c>
      <x:c r="ED8" s="4" t="s">
        <x:v>107</x:v>
      </x:c>
      <x:c r="EE8" s="4" t="s">
        <x:v>107</x:v>
      </x:c>
      <x:c r="EF8" s="4" t="s">
        <x:v>107</x:v>
      </x:c>
      <x:c r="EG8" s="4" t="s">
        <x:v>107</x:v>
      </x:c>
      <x:c r="EH8" s="4" t="s">
        <x:v>107</x:v>
      </x:c>
      <x:c r="EI8" s="4" t="s">
        <x:v>107</x:v>
      </x:c>
      <x:c r="EJ8" s="4" t="s">
        <x:v>107</x:v>
      </x:c>
      <x:c r="EK8" s="4" t="s">
        <x:v>107</x:v>
      </x:c>
      <x:c r="EL8" s="4" t="s">
        <x:v>107</x:v>
      </x:c>
      <x:c r="EM8" s="4" t="s">
        <x:v>107</x:v>
      </x:c>
      <x:c r="EN8" s="4" t="s">
        <x:v>107</x:v>
      </x:c>
      <x:c r="EO8" s="4" t="s">
        <x:v>107</x:v>
      </x:c>
      <x:c r="EP8" s="4" t="s">
        <x:v>107</x:v>
      </x:c>
      <x:c r="EQ8" s="4" t="s">
        <x:v>107</x:v>
      </x:c>
      <x:c r="ER8" s="4" t="s">
        <x:v>107</x:v>
      </x:c>
      <x:c r="ES8" s="4" t="s">
        <x:v>107</x:v>
      </x:c>
    </x:row>
    <x:row r="9">
      <x:c r="A9" s="4" t="s">
        <x:v>74</x:v>
      </x:c>
      <x:c r="B9" s="4" t="s">
        <x:v>1659</x:v>
      </x:c>
      <x:c r="C9" s="4" t="s">
        <x:v>1336</x:v>
      </x:c>
      <x:c r="D9" s="4" t="s">
        <x:v>1337</x:v>
      </x:c>
      <x:c r="E9" s="4" t="s">
        <x:v>1338</x:v>
      </x:c>
      <x:c r="F9" s="4" t="s">
        <x:v>501</x:v>
      </x:c>
      <x:c r="G9" s="4" t="s">
        <x:v>551</x:v>
      </x:c>
      <x:c r="H9" s="4" t="s">
        <x:v>1660</x:v>
      </x:c>
      <x:c r="I9" s="4" t="s">
        <x:v>1612</x:v>
      </x:c>
      <x:c r="J9" s="4" t="s">
        <x:v>1661</x:v>
      </x:c>
      <x:c r="K9" s="4" t="s">
        <x:v>1662</x:v>
      </x:c>
      <x:c r="L9" s="4" t="s">
        <x:v>1343</x:v>
      </x:c>
      <x:c r="M9" s="4" t="s">
        <x:v>1663</x:v>
      </x:c>
      <x:c r="N9" s="4" t="s">
        <x:v>1664</x:v>
      </x:c>
      <x:c r="O9" s="4" t="s">
        <x:v>1665</x:v>
      </x:c>
      <x:c r="P9" s="4" t="s">
        <x:v>1666</x:v>
      </x:c>
      <x:c r="Q9" s="4" t="s">
        <x:v>1667</x:v>
      </x:c>
      <x:c r="R9" s="4" t="s">
        <x:v>1668</x:v>
      </x:c>
      <x:c r="S9" s="4" t="s">
        <x:v>358</x:v>
      </x:c>
      <x:c r="T9" s="4" t="s">
        <x:v>1607</x:v>
      </x:c>
      <x:c r="U9" s="4" t="s">
        <x:v>169</x:v>
      </x:c>
      <x:c r="V9" s="4" t="s">
        <x:v>169</x:v>
      </x:c>
      <x:c r="W9" s="4" t="s">
        <x:v>1607</x:v>
      </x:c>
      <x:c r="X9" s="4" t="s">
        <x:v>480</x:v>
      </x:c>
      <x:c r="Y9" s="4" t="s">
        <x:v>1669</x:v>
      </x:c>
      <x:c r="Z9" s="4" t="s">
        <x:v>199</x:v>
      </x:c>
      <x:c r="AA9" s="4" t="s">
        <x:v>314</x:v>
      </x:c>
      <x:c r="AB9" s="4" t="s">
        <x:v>502</x:v>
      </x:c>
      <x:c r="AC9" s="4" t="s">
        <x:v>1670</x:v>
      </x:c>
      <x:c r="AD9" s="4" t="s">
        <x:v>169</x:v>
      </x:c>
      <x:c r="AE9" s="4" t="s">
        <x:v>1671</x:v>
      </x:c>
      <x:c r="AF9" s="4" t="s">
        <x:v>1352</x:v>
      </x:c>
      <x:c r="AG9" s="4" t="s">
        <x:v>298</x:v>
      </x:c>
      <x:c r="AH9" s="4" t="s">
        <x:v>1353</x:v>
      </x:c>
      <x:c r="AI9" s="4" t="s">
        <x:v>298</x:v>
      </x:c>
      <x:c r="AJ9" s="4" t="s">
        <x:v>200</x:v>
      </x:c>
      <x:c r="AK9" s="4" t="s">
        <x:v>314</x:v>
      </x:c>
      <x:c r="AL9" s="4" t="s">
        <x:v>169</x:v>
      </x:c>
      <x:c r="AM9" s="4" t="s">
        <x:v>218</x:v>
      </x:c>
      <x:c r="AN9" s="4" t="s">
        <x:v>200</x:v>
      </x:c>
      <x:c r="AO9" s="4" t="s">
        <x:v>530</x:v>
      </x:c>
      <x:c r="AP9" s="4" t="s">
        <x:v>1672</x:v>
      </x:c>
      <x:c r="AQ9" s="4" t="s">
        <x:v>1673</x:v>
      </x:c>
      <x:c r="AR9" s="4" t="s">
        <x:v>1674</x:v>
      </x:c>
      <x:c r="AS9" s="4" t="s">
        <x:v>1357</x:v>
      </x:c>
      <x:c r="AT9" s="4" t="s">
        <x:v>330</x:v>
      </x:c>
      <x:c r="AU9" s="4" t="s">
        <x:v>1573</x:v>
      </x:c>
      <x:c r="AV9" s="4" t="s">
        <x:v>200</x:v>
      </x:c>
      <x:c r="AW9" s="4" t="s">
        <x:v>1573</x:v>
      </x:c>
      <x:c r="AX9" s="4" t="s">
        <x:v>169</x:v>
      </x:c>
      <x:c r="AY9" s="4" t="s">
        <x:v>169</x:v>
      </x:c>
      <x:c r="AZ9" s="4" t="s">
        <x:v>169</x:v>
      </x:c>
      <x:c r="BA9" s="4" t="s">
        <x:v>1466</x:v>
      </x:c>
      <x:c r="BB9" s="4" t="s">
        <x:v>1466</x:v>
      </x:c>
      <x:c r="BC9" s="4" t="s">
        <x:v>169</x:v>
      </x:c>
      <x:c r="BD9" s="4" t="s">
        <x:v>1353</x:v>
      </x:c>
      <x:c r="BE9" s="4" t="s">
        <x:v>169</x:v>
      </x:c>
      <x:c r="BF9" s="4" t="s">
        <x:v>169</x:v>
      </x:c>
      <x:c r="BG9" s="4" t="s">
        <x:v>169</x:v>
      </x:c>
      <x:c r="BH9" s="4" t="s">
        <x:v>169</x:v>
      </x:c>
      <x:c r="BI9" s="4" t="s">
        <x:v>1358</x:v>
      </x:c>
      <x:c r="BJ9" s="4" t="s">
        <x:v>1675</x:v>
      </x:c>
      <x:c r="BK9" s="4" t="s">
        <x:v>1360</x:v>
      </x:c>
      <x:c r="BL9" s="4" t="s">
        <x:v>1676</x:v>
      </x:c>
      <x:c r="BM9" s="4" t="s">
        <x:v>1677</x:v>
      </x:c>
      <x:c r="BN9" s="4" t="s">
        <x:v>1678</x:v>
      </x:c>
      <x:c r="BO9" s="4" t="s">
        <x:v>1677</x:v>
      </x:c>
      <x:c r="BP9" s="4" t="s">
        <x:v>1677</x:v>
      </x:c>
      <x:c r="BQ9" s="4" t="s">
        <x:v>1677</x:v>
      </x:c>
      <x:c r="BR9" s="4" t="s">
        <x:v>1678</x:v>
      </x:c>
      <x:c r="BS9" s="4" t="s">
        <x:v>1679</x:v>
      </x:c>
      <x:c r="BT9" s="4" t="s">
        <x:v>1680</x:v>
      </x:c>
      <x:c r="BU9" s="4" t="s">
        <x:v>1681</x:v>
      </x:c>
      <x:c r="BV9" s="4" t="s">
        <x:v>1682</x:v>
      </x:c>
      <x:c r="BW9" s="4" t="s">
        <x:v>1683</x:v>
      </x:c>
      <x:c r="BX9" s="4" t="s">
        <x:v>1684</x:v>
      </x:c>
      <x:c r="BY9" s="4" t="s">
        <x:v>1685</x:v>
      </x:c>
      <x:c r="BZ9" s="4" t="s">
        <x:v>1686</x:v>
      </x:c>
      <x:c r="CA9" s="4" t="s">
        <x:v>1578</x:v>
      </x:c>
      <x:c r="CB9" s="4" t="s">
        <x:v>1579</x:v>
      </x:c>
      <x:c r="CC9" s="4" t="s">
        <x:v>1580</x:v>
      </x:c>
      <x:c r="CD9" s="4" t="s">
        <x:v>1687</x:v>
      </x:c>
      <x:c r="CE9" s="4" t="s">
        <x:v>1688</x:v>
      </x:c>
      <x:c r="CF9" s="4" t="s">
        <x:v>1689</x:v>
      </x:c>
      <x:c r="CG9" s="4" t="s">
        <x:v>1690</x:v>
      </x:c>
      <x:c r="CH9" s="4" t="s">
        <x:v>1381</x:v>
      </x:c>
      <x:c r="CI9" s="4" t="s">
        <x:v>1382</x:v>
      </x:c>
      <x:c r="CJ9" s="4" t="s">
        <x:v>1691</x:v>
      </x:c>
      <x:c r="CK9" s="4" t="s">
        <x:v>1487</x:v>
      </x:c>
      <x:c r="CL9" s="4" t="s">
        <x:v>1692</x:v>
      </x:c>
      <x:c r="CM9" s="4" t="s">
        <x:v>1386</x:v>
      </x:c>
      <x:c r="CN9" s="4" t="s">
        <x:v>314</x:v>
      </x:c>
      <x:c r="CO9" s="4" t="s">
        <x:v>502</x:v>
      </x:c>
      <x:c r="CP9" s="4" t="s">
        <x:v>1670</x:v>
      </x:c>
      <x:c r="CQ9" s="4" t="s">
        <x:v>1693</x:v>
      </x:c>
      <x:c r="CR9" s="4" t="s">
        <x:v>1694</x:v>
      </x:c>
      <x:c r="CS9" s="4" t="s">
        <x:v>1695</x:v>
      </x:c>
      <x:c r="CT9" s="4" t="s">
        <x:v>1696</x:v>
      </x:c>
      <x:c r="CU9" s="4" t="s">
        <x:v>530</x:v>
      </x:c>
      <x:c r="CV9" s="4" t="s">
        <x:v>1672</x:v>
      </x:c>
      <x:c r="CW9" s="4" t="s">
        <x:v>1673</x:v>
      </x:c>
      <x:c r="CX9" s="4" t="s">
        <x:v>1697</x:v>
      </x:c>
      <x:c r="CY9" s="4" t="s">
        <x:v>1698</x:v>
      </x:c>
      <x:c r="CZ9" s="4" t="s">
        <x:v>1699</x:v>
      </x:c>
      <x:c r="DA9" s="4" t="s">
        <x:v>1700</x:v>
      </x:c>
      <x:c r="DB9" s="4" t="s">
        <x:v>1701</x:v>
      </x:c>
      <x:c r="DC9" s="4" t="s">
        <x:v>1396</x:v>
      </x:c>
      <x:c r="DD9" s="4" t="s">
        <x:v>1397</x:v>
      </x:c>
      <x:c r="DE9" s="4" t="s">
        <x:v>172</x:v>
      </x:c>
      <x:c r="DF9" s="4" t="s">
        <x:v>1702</x:v>
      </x:c>
      <x:c r="DG9" s="4" t="s">
        <x:v>1397</x:v>
      </x:c>
      <x:c r="DH9" s="4" t="s">
        <x:v>1397</x:v>
      </x:c>
      <x:c r="DI9" s="4" t="s">
        <x:v>1397</x:v>
      </x:c>
      <x:c r="DJ9" s="4" t="s">
        <x:v>172</x:v>
      </x:c>
      <x:c r="DK9" s="4" t="s">
        <x:v>172</x:v>
      </x:c>
      <x:c r="DL9" s="4" t="s">
        <x:v>734</x:v>
      </x:c>
      <x:c r="DM9" s="4" t="s">
        <x:v>1399</x:v>
      </x:c>
      <x:c r="DN9" s="4" t="s">
        <x:v>1400</x:v>
      </x:c>
      <x:c r="DO9" s="4" t="s">
        <x:v>1401</x:v>
      </x:c>
      <x:c r="DP9" s="4" t="s">
        <x:v>1702</x:v>
      </x:c>
      <x:c r="DQ9" s="4" t="s">
        <x:v>176</x:v>
      </x:c>
      <x:c r="DR9" s="4" t="s">
        <x:v>176</x:v>
      </x:c>
      <x:c r="DS9" s="4" t="s">
        <x:v>176</x:v>
      </x:c>
      <x:c r="DT9" s="4" t="s">
        <x:v>176</x:v>
      </x:c>
      <x:c r="DU9" s="4" t="s">
        <x:v>176</x:v>
      </x:c>
      <x:c r="DV9" s="4" t="s">
        <x:v>176</x:v>
      </x:c>
      <x:c r="DW9" s="4" t="s">
        <x:v>176</x:v>
      </x:c>
      <x:c r="DX9" s="4" t="s">
        <x:v>176</x:v>
      </x:c>
      <x:c r="DY9" s="4" t="s">
        <x:v>176</x:v>
      </x:c>
      <x:c r="DZ9" s="4" t="s">
        <x:v>176</x:v>
      </x:c>
      <x:c r="EA9" s="4" t="s">
        <x:v>176</x:v>
      </x:c>
      <x:c r="EB9" s="4" t="s">
        <x:v>176</x:v>
      </x:c>
      <x:c r="EC9" s="4" t="s">
        <x:v>176</x:v>
      </x:c>
      <x:c r="ED9" s="4" t="s">
        <x:v>176</x:v>
      </x:c>
      <x:c r="EE9" s="4" t="s">
        <x:v>176</x:v>
      </x:c>
      <x:c r="EF9" s="4" t="s">
        <x:v>176</x:v>
      </x:c>
      <x:c r="EG9" s="4" t="s">
        <x:v>176</x:v>
      </x:c>
      <x:c r="EH9" s="4" t="s">
        <x:v>176</x:v>
      </x:c>
      <x:c r="EI9" s="4" t="s">
        <x:v>726</x:v>
      </x:c>
      <x:c r="EJ9" s="4" t="s">
        <x:v>726</x:v>
      </x:c>
      <x:c r="EK9" s="4" t="s">
        <x:v>726</x:v>
      </x:c>
      <x:c r="EL9" s="4" t="s">
        <x:v>1402</x:v>
      </x:c>
      <x:c r="EM9" s="4" t="s">
        <x:v>1703</x:v>
      </x:c>
      <x:c r="EN9" s="4" t="s">
        <x:v>1573</x:v>
      </x:c>
      <x:c r="EO9" s="4" t="s">
        <x:v>1704</x:v>
      </x:c>
      <x:c r="EP9" s="4" t="s">
        <x:v>1609</x:v>
      </x:c>
      <x:c r="EQ9" s="4" t="s">
        <x:v>1406</x:v>
      </x:c>
      <x:c r="ER9" s="4" t="s">
        <x:v>1407</x:v>
      </x:c>
      <x:c r="ES9" s="4" t="s">
        <x:v>1408</x:v>
      </x:c>
    </x:row>
    <x:row r="10">
      <x:c r="A10" s="4" t="s">
        <x:v>72</x:v>
      </x:c>
      <x:c r="B10" s="4" t="s">
        <x:v>1705</x:v>
      </x:c>
      <x:c r="C10" s="4" t="s">
        <x:v>1336</x:v>
      </x:c>
      <x:c r="D10" s="4" t="s">
        <x:v>1337</x:v>
      </x:c>
      <x:c r="E10" s="4" t="s">
        <x:v>1338</x:v>
      </x:c>
      <x:c r="F10" s="4" t="s">
        <x:v>404</x:v>
      </x:c>
      <x:c r="G10" s="4" t="s">
        <x:v>449</x:v>
      </x:c>
      <x:c r="H10" s="4" t="s">
        <x:v>1706</x:v>
      </x:c>
      <x:c r="I10" s="4" t="s">
        <x:v>1612</x:v>
      </x:c>
      <x:c r="J10" s="4" t="s">
        <x:v>1707</x:v>
      </x:c>
      <x:c r="K10" s="4" t="s">
        <x:v>1708</x:v>
      </x:c>
      <x:c r="L10" s="4" t="s">
        <x:v>1343</x:v>
      </x:c>
      <x:c r="M10" s="4" t="s">
        <x:v>1709</x:v>
      </x:c>
      <x:c r="N10" s="4" t="s">
        <x:v>1710</x:v>
      </x:c>
      <x:c r="O10" s="4" t="s">
        <x:v>169</x:v>
      </x:c>
      <x:c r="P10" s="4" t="s">
        <x:v>1711</x:v>
      </x:c>
      <x:c r="Q10" s="4" t="s">
        <x:v>1712</x:v>
      </x:c>
      <x:c r="R10" s="4" t="s">
        <x:v>1713</x:v>
      </x:c>
      <x:c r="S10" s="4" t="s">
        <x:v>1466</x:v>
      </x:c>
      <x:c r="T10" s="4" t="s">
        <x:v>1353</x:v>
      </x:c>
      <x:c r="U10" s="4" t="s">
        <x:v>169</x:v>
      </x:c>
      <x:c r="V10" s="4" t="s">
        <x:v>169</x:v>
      </x:c>
      <x:c r="W10" s="4" t="s">
        <x:v>1353</x:v>
      </x:c>
      <x:c r="X10" s="4" t="s">
        <x:v>400</x:v>
      </x:c>
      <x:c r="Y10" s="4" t="s">
        <x:v>1714</x:v>
      </x:c>
      <x:c r="Z10" s="4" t="s">
        <x:v>199</x:v>
      </x:c>
      <x:c r="AA10" s="4" t="s">
        <x:v>314</x:v>
      </x:c>
      <x:c r="AB10" s="4" t="s">
        <x:v>405</x:v>
      </x:c>
      <x:c r="AC10" s="4" t="s">
        <x:v>1715</x:v>
      </x:c>
      <x:c r="AD10" s="4" t="s">
        <x:v>169</x:v>
      </x:c>
      <x:c r="AE10" s="4" t="s">
        <x:v>1716</x:v>
      </x:c>
      <x:c r="AF10" s="4" t="s">
        <x:v>1352</x:v>
      </x:c>
      <x:c r="AG10" s="4" t="s">
        <x:v>169</x:v>
      </x:c>
      <x:c r="AH10" s="4" t="s">
        <x:v>200</x:v>
      </x:c>
      <x:c r="AI10" s="4" t="s">
        <x:v>169</x:v>
      </x:c>
      <x:c r="AJ10" s="4" t="s">
        <x:v>169</x:v>
      </x:c>
      <x:c r="AK10" s="4" t="s">
        <x:v>169</x:v>
      </x:c>
      <x:c r="AL10" s="4" t="s">
        <x:v>169</x:v>
      </x:c>
      <x:c r="AM10" s="4" t="s">
        <x:v>200</x:v>
      </x:c>
      <x:c r="AN10" s="4" t="s">
        <x:v>200</x:v>
      </x:c>
      <x:c r="AO10" s="4" t="s">
        <x:v>229</x:v>
      </x:c>
      <x:c r="AP10" s="4" t="s">
        <x:v>1717</x:v>
      </x:c>
      <x:c r="AQ10" s="4" t="s">
        <x:v>1718</x:v>
      </x:c>
      <x:c r="AR10" s="4" t="s">
        <x:v>1719</x:v>
      </x:c>
      <x:c r="AS10" s="4" t="s">
        <x:v>1357</x:v>
      </x:c>
      <x:c r="AT10" s="4" t="s">
        <x:v>1720</x:v>
      </x:c>
      <x:c r="AU10" s="4" t="s">
        <x:v>1720</x:v>
      </x:c>
      <x:c r="AV10" s="4" t="s">
        <x:v>169</x:v>
      </x:c>
      <x:c r="AW10" s="4" t="s">
        <x:v>1721</x:v>
      </x:c>
      <x:c r="AX10" s="4" t="s">
        <x:v>169</x:v>
      </x:c>
      <x:c r="AY10" s="4" t="s">
        <x:v>169</x:v>
      </x:c>
      <x:c r="AZ10" s="4" t="s">
        <x:v>169</x:v>
      </x:c>
      <x:c r="BA10" s="4" t="s">
        <x:v>1353</x:v>
      </x:c>
      <x:c r="BB10" s="4" t="s">
        <x:v>200</x:v>
      </x:c>
      <x:c r="BC10" s="4" t="s">
        <x:v>200</x:v>
      </x:c>
      <x:c r="BD10" s="4" t="s">
        <x:v>200</x:v>
      </x:c>
      <x:c r="BE10" s="4" t="s">
        <x:v>169</x:v>
      </x:c>
      <x:c r="BF10" s="4" t="s">
        <x:v>169</x:v>
      </x:c>
      <x:c r="BG10" s="4" t="s">
        <x:v>169</x:v>
      </x:c>
      <x:c r="BH10" s="4" t="s">
        <x:v>169</x:v>
      </x:c>
      <x:c r="BI10" s="4" t="s">
        <x:v>1358</x:v>
      </x:c>
      <x:c r="BJ10" s="4" t="s">
        <x:v>1722</x:v>
      </x:c>
      <x:c r="BK10" s="4" t="s">
        <x:v>1360</x:v>
      </x:c>
      <x:c r="BL10" s="4" t="s">
        <x:v>1479</x:v>
      </x:c>
      <x:c r="BM10" s="4" t="s">
        <x:v>1480</x:v>
      </x:c>
      <x:c r="BN10" s="4" t="s">
        <x:v>1481</x:v>
      </x:c>
      <x:c r="BO10" s="4" t="s">
        <x:v>1723</x:v>
      </x:c>
      <x:c r="BP10" s="4" t="s">
        <x:v>1723</x:v>
      </x:c>
      <x:c r="BQ10" s="4" t="s">
        <x:v>1723</x:v>
      </x:c>
      <x:c r="BR10" s="4" t="s">
        <x:v>1724</x:v>
      </x:c>
      <x:c r="BS10" s="4" t="s">
        <x:v>1725</x:v>
      </x:c>
      <x:c r="BT10" s="4" t="s">
        <x:v>1726</x:v>
      </x:c>
      <x:c r="BU10" s="4" t="s">
        <x:v>1727</x:v>
      </x:c>
      <x:c r="BV10" s="4" t="s">
        <x:v>1728</x:v>
      </x:c>
      <x:c r="BW10" s="4" t="s">
        <x:v>1729</x:v>
      </x:c>
      <x:c r="BX10" s="4" t="s">
        <x:v>1730</x:v>
      </x:c>
      <x:c r="BY10" s="4" t="s">
        <x:v>1731</x:v>
      </x:c>
      <x:c r="BZ10" s="4" t="s">
        <x:v>1732</x:v>
      </x:c>
      <x:c r="CA10" s="4" t="s">
        <x:v>1733</x:v>
      </x:c>
      <x:c r="CB10" s="4" t="s">
        <x:v>1734</x:v>
      </x:c>
      <x:c r="CC10" s="4" t="s">
        <x:v>1735</x:v>
      </x:c>
      <x:c r="CD10" s="4" t="s">
        <x:v>1736</x:v>
      </x:c>
      <x:c r="CE10" s="4" t="s">
        <x:v>1737</x:v>
      </x:c>
      <x:c r="CF10" s="4" t="s">
        <x:v>1738</x:v>
      </x:c>
      <x:c r="CG10" s="4" t="s">
        <x:v>1739</x:v>
      </x:c>
      <x:c r="CH10" s="4" t="s">
        <x:v>1381</x:v>
      </x:c>
      <x:c r="CI10" s="4" t="s">
        <x:v>1382</x:v>
      </x:c>
      <x:c r="CJ10" s="4" t="s">
        <x:v>1383</x:v>
      </x:c>
      <x:c r="CK10" s="4" t="s">
        <x:v>1487</x:v>
      </x:c>
      <x:c r="CL10" s="4" t="s">
        <x:v>1740</x:v>
      </x:c>
      <x:c r="CM10" s="4" t="s">
        <x:v>1386</x:v>
      </x:c>
      <x:c r="CN10" s="4" t="s">
        <x:v>314</x:v>
      </x:c>
      <x:c r="CO10" s="4" t="s">
        <x:v>405</x:v>
      </x:c>
      <x:c r="CP10" s="4" t="s">
        <x:v>1715</x:v>
      </x:c>
      <x:c r="CQ10" s="4" t="s">
        <x:v>1741</x:v>
      </x:c>
      <x:c r="CR10" s="4" t="s">
        <x:v>1742</x:v>
      </x:c>
      <x:c r="CS10" s="4" t="s">
        <x:v>1743</x:v>
      </x:c>
      <x:c r="CT10" s="4" t="s">
        <x:v>1744</x:v>
      </x:c>
      <x:c r="CU10" s="4" t="s">
        <x:v>229</x:v>
      </x:c>
      <x:c r="CV10" s="4" t="s">
        <x:v>1717</x:v>
      </x:c>
      <x:c r="CW10" s="4" t="s">
        <x:v>1718</x:v>
      </x:c>
      <x:c r="CX10" s="4" t="s">
        <x:v>1745</x:v>
      </x:c>
      <x:c r="CY10" s="4" t="s">
        <x:v>1746</x:v>
      </x:c>
      <x:c r="CZ10" s="4" t="s">
        <x:v>1747</x:v>
      </x:c>
      <x:c r="DA10" s="4" t="s">
        <x:v>1748</x:v>
      </x:c>
      <x:c r="DB10" s="4" t="s">
        <x:v>1749</x:v>
      </x:c>
      <x:c r="DC10" s="4" t="s">
        <x:v>1396</x:v>
      </x:c>
      <x:c r="DD10" s="4" t="s">
        <x:v>1397</x:v>
      </x:c>
      <x:c r="DE10" s="4" t="s">
        <x:v>172</x:v>
      </x:c>
      <x:c r="DF10" s="4" t="s">
        <x:v>1750</x:v>
      </x:c>
      <x:c r="DG10" s="4" t="s">
        <x:v>1397</x:v>
      </x:c>
      <x:c r="DH10" s="4" t="s">
        <x:v>1397</x:v>
      </x:c>
      <x:c r="DI10" s="4" t="s">
        <x:v>1397</x:v>
      </x:c>
      <x:c r="DJ10" s="4" t="s">
        <x:v>172</x:v>
      </x:c>
      <x:c r="DK10" s="4" t="s">
        <x:v>172</x:v>
      </x:c>
      <x:c r="DL10" s="4" t="s">
        <x:v>732</x:v>
      </x:c>
      <x:c r="DM10" s="4" t="s">
        <x:v>1556</x:v>
      </x:c>
      <x:c r="DN10" s="4" t="s">
        <x:v>1400</x:v>
      </x:c>
      <x:c r="DO10" s="4" t="s">
        <x:v>1401</x:v>
      </x:c>
      <x:c r="DP10" s="4" t="s">
        <x:v>1750</x:v>
      </x:c>
      <x:c r="DQ10" s="4" t="s">
        <x:v>176</x:v>
      </x:c>
      <x:c r="DR10" s="4" t="s">
        <x:v>176</x:v>
      </x:c>
      <x:c r="DS10" s="4" t="s">
        <x:v>176</x:v>
      </x:c>
      <x:c r="DT10" s="4" t="s">
        <x:v>176</x:v>
      </x:c>
      <x:c r="DU10" s="4" t="s">
        <x:v>176</x:v>
      </x:c>
      <x:c r="DV10" s="4" t="s">
        <x:v>176</x:v>
      </x:c>
      <x:c r="DW10" s="4" t="s">
        <x:v>176</x:v>
      </x:c>
      <x:c r="DX10" s="4" t="s">
        <x:v>176</x:v>
      </x:c>
      <x:c r="DY10" s="4" t="s">
        <x:v>176</x:v>
      </x:c>
      <x:c r="DZ10" s="4" t="s">
        <x:v>176</x:v>
      </x:c>
      <x:c r="EA10" s="4" t="s">
        <x:v>176</x:v>
      </x:c>
      <x:c r="EB10" s="4" t="s">
        <x:v>176</x:v>
      </x:c>
      <x:c r="EC10" s="4" t="s">
        <x:v>176</x:v>
      </x:c>
      <x:c r="ED10" s="4" t="s">
        <x:v>176</x:v>
      </x:c>
      <x:c r="EE10" s="4" t="s">
        <x:v>176</x:v>
      </x:c>
      <x:c r="EF10" s="4" t="s">
        <x:v>176</x:v>
      </x:c>
      <x:c r="EG10" s="4" t="s">
        <x:v>176</x:v>
      </x:c>
      <x:c r="EH10" s="4" t="s">
        <x:v>176</x:v>
      </x:c>
      <x:c r="EI10" s="4" t="s">
        <x:v>726</x:v>
      </x:c>
      <x:c r="EJ10" s="4" t="s">
        <x:v>726</x:v>
      </x:c>
      <x:c r="EK10" s="4" t="s">
        <x:v>726</x:v>
      </x:c>
      <x:c r="EL10" s="4" t="s">
        <x:v>1402</x:v>
      </x:c>
      <x:c r="EM10" s="4" t="s">
        <x:v>1751</x:v>
      </x:c>
      <x:c r="EN10" s="4" t="s">
        <x:v>200</x:v>
      </x:c>
      <x:c r="EO10" s="4" t="s">
        <x:v>1752</x:v>
      </x:c>
      <x:c r="EP10" s="4" t="s">
        <x:v>1609</x:v>
      </x:c>
      <x:c r="EQ10" s="4" t="s">
        <x:v>1406</x:v>
      </x:c>
      <x:c r="ER10" s="4" t="s">
        <x:v>1407</x:v>
      </x:c>
      <x:c r="ES10" s="4" t="s">
        <x:v>1408</x:v>
      </x:c>
    </x:row>
    <x:row r="11">
      <x:c r="A11" s="4" t="s">
        <x:v>68</x:v>
      </x:c>
      <x:c r="B11" s="4" t="s">
        <x:v>1753</x:v>
      </x:c>
      <x:c r="C11" s="4" t="s">
        <x:v>1336</x:v>
      </x:c>
      <x:c r="D11" s="4" t="s">
        <x:v>1337</x:v>
      </x:c>
      <x:c r="E11" s="4" t="s">
        <x:v>1338</x:v>
      </x:c>
      <x:c r="F11" s="4" t="s">
        <x:v>197</x:v>
      </x:c>
      <x:c r="G11" s="4" t="s">
        <x:v>207</x:v>
      </x:c>
      <x:c r="H11" s="4" t="s">
        <x:v>1754</x:v>
      </x:c>
      <x:c r="I11" s="4" t="s">
        <x:v>1612</x:v>
      </x:c>
      <x:c r="J11" s="4" t="s">
        <x:v>1755</x:v>
      </x:c>
      <x:c r="K11" s="4" t="s">
        <x:v>1756</x:v>
      </x:c>
      <x:c r="L11" s="4" t="s">
        <x:v>1343</x:v>
      </x:c>
      <x:c r="M11" s="4" t="s">
        <x:v>1757</x:v>
      </x:c>
      <x:c r="N11" s="4" t="s">
        <x:v>1758</x:v>
      </x:c>
      <x:c r="O11" s="4" t="s">
        <x:v>1759</x:v>
      </x:c>
      <x:c r="P11" s="4" t="s">
        <x:v>1760</x:v>
      </x:c>
      <x:c r="Q11" s="4" t="s">
        <x:v>1761</x:v>
      </x:c>
      <x:c r="R11" s="4" t="s">
        <x:v>1762</x:v>
      </x:c>
      <x:c r="S11" s="4" t="s">
        <x:v>218</x:v>
      </x:c>
      <x:c r="T11" s="4" t="s">
        <x:v>1466</x:v>
      </x:c>
      <x:c r="U11" s="4" t="s">
        <x:v>169</x:v>
      </x:c>
      <x:c r="V11" s="4" t="s">
        <x:v>169</x:v>
      </x:c>
      <x:c r="W11" s="4" t="s">
        <x:v>1353</x:v>
      </x:c>
      <x:c r="X11" s="4" t="s">
        <x:v>183</x:v>
      </x:c>
      <x:c r="Y11" s="4" t="s">
        <x:v>1763</x:v>
      </x:c>
      <x:c r="Z11" s="4" t="s">
        <x:v>199</x:v>
      </x:c>
      <x:c r="AA11" s="4" t="s">
        <x:v>200</x:v>
      </x:c>
      <x:c r="AB11" s="4" t="s">
        <x:v>192</x:v>
      </x:c>
      <x:c r="AC11" s="4" t="s">
        <x:v>1764</x:v>
      </x:c>
      <x:c r="AD11" s="4" t="s">
        <x:v>200</x:v>
      </x:c>
      <x:c r="AE11" s="4" t="s">
        <x:v>1765</x:v>
      </x:c>
      <x:c r="AF11" s="4" t="s">
        <x:v>1352</x:v>
      </x:c>
      <x:c r="AG11" s="4" t="s">
        <x:v>169</x:v>
      </x:c>
      <x:c r="AH11" s="4" t="s">
        <x:v>169</x:v>
      </x:c>
      <x:c r="AI11" s="4" t="s">
        <x:v>169</x:v>
      </x:c>
      <x:c r="AJ11" s="4" t="s">
        <x:v>169</x:v>
      </x:c>
      <x:c r="AK11" s="4" t="s">
        <x:v>169</x:v>
      </x:c>
      <x:c r="AL11" s="4" t="s">
        <x:v>169</x:v>
      </x:c>
      <x:c r="AM11" s="4" t="s">
        <x:v>200</x:v>
      </x:c>
      <x:c r="AN11" s="4" t="s">
        <x:v>200</x:v>
      </x:c>
      <x:c r="AO11" s="4" t="s">
        <x:v>200</x:v>
      </x:c>
      <x:c r="AP11" s="4" t="s">
        <x:v>192</x:v>
      </x:c>
      <x:c r="AQ11" s="4" t="s">
        <x:v>1764</x:v>
      </x:c>
      <x:c r="AR11" s="4" t="s">
        <x:v>1766</x:v>
      </x:c>
      <x:c r="AS11" s="4" t="s">
        <x:v>1357</x:v>
      </x:c>
      <x:c r="AT11" s="4" t="s">
        <x:v>200</x:v>
      </x:c>
      <x:c r="AU11" s="4" t="s">
        <x:v>169</x:v>
      </x:c>
      <x:c r="AV11" s="4" t="s">
        <x:v>200</x:v>
      </x:c>
      <x:c r="AW11" s="4" t="s">
        <x:v>169</x:v>
      </x:c>
      <x:c r="AX11" s="4" t="s">
        <x:v>169</x:v>
      </x:c>
      <x:c r="AY11" s="4" t="s">
        <x:v>169</x:v>
      </x:c>
      <x:c r="AZ11" s="4" t="s">
        <x:v>169</x:v>
      </x:c>
      <x:c r="BA11" s="4" t="s">
        <x:v>200</x:v>
      </x:c>
      <x:c r="BB11" s="4" t="s">
        <x:v>169</x:v>
      </x:c>
      <x:c r="BC11" s="4" t="s">
        <x:v>200</x:v>
      </x:c>
      <x:c r="BD11" s="4" t="s">
        <x:v>169</x:v>
      </x:c>
      <x:c r="BE11" s="4" t="s">
        <x:v>169</x:v>
      </x:c>
      <x:c r="BF11" s="4" t="s">
        <x:v>169</x:v>
      </x:c>
      <x:c r="BG11" s="4" t="s">
        <x:v>169</x:v>
      </x:c>
      <x:c r="BH11" s="4" t="s">
        <x:v>1353</x:v>
      </x:c>
      <x:c r="BI11" s="4" t="s">
        <x:v>1467</x:v>
      </x:c>
      <x:c r="BJ11" s="4" t="s">
        <x:v>1767</x:v>
      </x:c>
      <x:c r="BK11" s="4" t="s">
        <x:v>1360</x:v>
      </x:c>
      <x:c r="BL11" s="4" t="s">
        <x:v>1768</x:v>
      </x:c>
      <x:c r="BM11" s="4" t="s">
        <x:v>1769</x:v>
      </x:c>
      <x:c r="BN11" s="4" t="s">
        <x:v>1770</x:v>
      </x:c>
      <x:c r="BO11" s="4" t="s">
        <x:v>1771</x:v>
      </x:c>
      <x:c r="BP11" s="4" t="s">
        <x:v>1771</x:v>
      </x:c>
      <x:c r="BQ11" s="4" t="s">
        <x:v>1771</x:v>
      </x:c>
      <x:c r="BR11" s="4" t="s">
        <x:v>1772</x:v>
      </x:c>
      <x:c r="BS11" s="4" t="s">
        <x:v>1773</x:v>
      </x:c>
      <x:c r="BT11" s="4" t="s">
        <x:v>1774</x:v>
      </x:c>
      <x:c r="BU11" s="4" t="s">
        <x:v>1773</x:v>
      </x:c>
      <x:c r="BV11" s="4" t="s">
        <x:v>1774</x:v>
      </x:c>
      <x:c r="BW11" s="4" t="s">
        <x:v>1775</x:v>
      </x:c>
      <x:c r="BX11" s="4" t="s">
        <x:v>1776</x:v>
      </x:c>
      <x:c r="BY11" s="4" t="s">
        <x:v>1777</x:v>
      </x:c>
      <x:c r="BZ11" s="4" t="s">
        <x:v>1778</x:v>
      </x:c>
      <x:c r="CA11" s="4" t="s">
        <x:v>1374</x:v>
      </x:c>
      <x:c r="CB11" s="4" t="s">
        <x:v>1375</x:v>
      </x:c>
      <x:c r="CC11" s="4" t="s">
        <x:v>1376</x:v>
      </x:c>
      <x:c r="CD11" s="4" t="s">
        <x:v>1779</x:v>
      </x:c>
      <x:c r="CE11" s="4" t="s">
        <x:v>1780</x:v>
      </x:c>
      <x:c r="CF11" s="4" t="s">
        <x:v>1781</x:v>
      </x:c>
      <x:c r="CG11" s="4" t="s">
        <x:v>1782</x:v>
      </x:c>
      <x:c r="CH11" s="4" t="s">
        <x:v>1381</x:v>
      </x:c>
      <x:c r="CI11" s="4" t="s">
        <x:v>1382</x:v>
      </x:c>
      <x:c r="CJ11" s="4" t="s">
        <x:v>1383</x:v>
      </x:c>
      <x:c r="CK11" s="4" t="s">
        <x:v>1384</x:v>
      </x:c>
      <x:c r="CL11" s="4" t="s">
        <x:v>1783</x:v>
      </x:c>
      <x:c r="CM11" s="4" t="s">
        <x:v>1386</x:v>
      </x:c>
      <x:c r="CN11" s="4" t="s">
        <x:v>200</x:v>
      </x:c>
      <x:c r="CO11" s="4" t="s">
        <x:v>192</x:v>
      </x:c>
      <x:c r="CP11" s="4" t="s">
        <x:v>1764</x:v>
      </x:c>
      <x:c r="CQ11" s="4" t="s">
        <x:v>192</x:v>
      </x:c>
      <x:c r="CR11" s="4" t="s">
        <x:v>1764</x:v>
      </x:c>
      <x:c r="CS11" s="4" t="s">
        <x:v>1784</x:v>
      </x:c>
      <x:c r="CT11" s="4" t="s">
        <x:v>1785</x:v>
      </x:c>
      <x:c r="CU11" s="4" t="s">
        <x:v>200</x:v>
      </x:c>
      <x:c r="CV11" s="4" t="s">
        <x:v>192</x:v>
      </x:c>
      <x:c r="CW11" s="4" t="s">
        <x:v>1764</x:v>
      </x:c>
      <x:c r="CX11" s="4" t="s">
        <x:v>192</x:v>
      </x:c>
      <x:c r="CY11" s="4" t="s">
        <x:v>1764</x:v>
      </x:c>
      <x:c r="CZ11" s="4" t="s">
        <x:v>1784</x:v>
      </x:c>
      <x:c r="DA11" s="4" t="s">
        <x:v>1785</x:v>
      </x:c>
      <x:c r="DB11" s="4" t="s">
        <x:v>1786</x:v>
      </x:c>
      <x:c r="DC11" s="4" t="s">
        <x:v>1396</x:v>
      </x:c>
      <x:c r="DD11" s="4" t="s">
        <x:v>1397</x:v>
      </x:c>
      <x:c r="DE11" s="4" t="s">
        <x:v>171</x:v>
      </x:c>
      <x:c r="DF11" s="4" t="s">
        <x:v>1787</x:v>
      </x:c>
      <x:c r="DG11" s="4" t="s">
        <x:v>1397</x:v>
      </x:c>
      <x:c r="DH11" s="4" t="s">
        <x:v>1397</x:v>
      </x:c>
      <x:c r="DI11" s="4" t="s">
        <x:v>1397</x:v>
      </x:c>
      <x:c r="DJ11" s="4" t="s">
        <x:v>172</x:v>
      </x:c>
      <x:c r="DK11" s="4" t="s">
        <x:v>172</x:v>
      </x:c>
      <x:c r="DL11" s="4" t="s">
        <x:v>728</x:v>
      </x:c>
      <x:c r="DM11" s="4" t="s">
        <x:v>1556</x:v>
      </x:c>
      <x:c r="DN11" s="4" t="s">
        <x:v>1400</x:v>
      </x:c>
      <x:c r="DO11" s="4" t="s">
        <x:v>1401</x:v>
      </x:c>
      <x:c r="DP11" s="4" t="s">
        <x:v>1787</x:v>
      </x:c>
      <x:c r="DQ11" s="4" t="s">
        <x:v>176</x:v>
      </x:c>
      <x:c r="DR11" s="4" t="s">
        <x:v>176</x:v>
      </x:c>
      <x:c r="DS11" s="4" t="s">
        <x:v>176</x:v>
      </x:c>
      <x:c r="DT11" s="4" t="s">
        <x:v>176</x:v>
      </x:c>
      <x:c r="DU11" s="4" t="s">
        <x:v>176</x:v>
      </x:c>
      <x:c r="DV11" s="4" t="s">
        <x:v>176</x:v>
      </x:c>
      <x:c r="DW11" s="4" t="s">
        <x:v>176</x:v>
      </x:c>
      <x:c r="DX11" s="4" t="s">
        <x:v>176</x:v>
      </x:c>
      <x:c r="DY11" s="4" t="s">
        <x:v>176</x:v>
      </x:c>
      <x:c r="DZ11" s="4" t="s">
        <x:v>176</x:v>
      </x:c>
      <x:c r="EA11" s="4" t="s">
        <x:v>176</x:v>
      </x:c>
      <x:c r="EB11" s="4" t="s">
        <x:v>176</x:v>
      </x:c>
      <x:c r="EC11" s="4" t="s">
        <x:v>176</x:v>
      </x:c>
      <x:c r="ED11" s="4" t="s">
        <x:v>176</x:v>
      </x:c>
      <x:c r="EE11" s="4" t="s">
        <x:v>176</x:v>
      </x:c>
      <x:c r="EF11" s="4" t="s">
        <x:v>176</x:v>
      </x:c>
      <x:c r="EG11" s="4" t="s">
        <x:v>176</x:v>
      </x:c>
      <x:c r="EH11" s="4" t="s">
        <x:v>176</x:v>
      </x:c>
      <x:c r="EI11" s="4" t="s">
        <x:v>726</x:v>
      </x:c>
      <x:c r="EJ11" s="4" t="s">
        <x:v>726</x:v>
      </x:c>
      <x:c r="EK11" s="4" t="s">
        <x:v>726</x:v>
      </x:c>
      <x:c r="EL11" s="4" t="s">
        <x:v>1402</x:v>
      </x:c>
      <x:c r="EM11" s="4" t="s">
        <x:v>1788</x:v>
      </x:c>
      <x:c r="EN11" s="4" t="s">
        <x:v>1466</x:v>
      </x:c>
      <x:c r="EO11" s="4" t="s">
        <x:v>1789</x:v>
      </x:c>
      <x:c r="EP11" s="4" t="s">
        <x:v>1790</x:v>
      </x:c>
      <x:c r="EQ11" s="4" t="s">
        <x:v>1406</x:v>
      </x:c>
      <x:c r="ER11" s="4" t="s">
        <x:v>1407</x:v>
      </x:c>
      <x:c r="ES11" s="4" t="s">
        <x:v>1408</x:v>
      </x:c>
    </x:row>
  </x:sheetData>
  <x:pageMargins left="0.7" right="0.7" top="0.75" bottom="0.75" header="0.3" footer="0.3"/>
</x:worksheet>
</file>

<file path=xl/worksheets/sheet9.xml><?xml version="1.0" encoding="utf-8"?>
<x:worksheet xmlns:x="http://schemas.openxmlformats.org/spreadsheetml/2006/main">
  <x:sheetFormatPr defaultColWidth="9" defaultRowHeight="16.799999237060547"/>
  <x:sheetData>
    <x:row r="1">
      <x:c r="A1" s="3" t="s">
        <x:v>23</x:v>
      </x:c>
      <x:c r="B1" s="3" t="s">
        <x:v>1791</x:v>
      </x:c>
      <x:c r="C1" s="3" t="s">
        <x:v>1792</x:v>
      </x:c>
      <x:c r="D1" s="3" t="s">
        <x:v>144</x:v>
      </x:c>
      <x:c r="E1" s="3" t="s">
        <x:v>1793</x:v>
      </x:c>
      <x:c r="F1" s="3" t="s">
        <x:v>1794</x:v>
      </x:c>
      <x:c r="G1" s="3" t="s">
        <x:v>25</x:v>
      </x:c>
      <x:c r="H1" s="3" t="s">
        <x:v>1795</x:v>
      </x:c>
      <x:c r="I1" s="3" t="s">
        <x:v>1796</x:v>
      </x:c>
      <x:c r="J1" s="3" t="s">
        <x:v>148</x:v>
      </x:c>
      <x:c r="K1" s="3" t="s">
        <x:v>115</x:v>
      </x:c>
      <x:c r="L1" s="3" t="s">
        <x:v>1797</x:v>
      </x:c>
      <x:c r="M1" s="3" t="s">
        <x:v>116</x:v>
      </x:c>
      <x:c r="N1" s="3" t="s">
        <x:v>117</x:v>
      </x:c>
      <x:c r="O1" s="3" t="s">
        <x:v>1798</x:v>
      </x:c>
      <x:c r="P1" s="3" t="s">
        <x:v>1799</x:v>
      </x:c>
      <x:c r="Q1" s="3" t="s">
        <x:v>1800</x:v>
      </x:c>
      <x:c r="R1" s="3" t="s">
        <x:v>1801</x:v>
      </x:c>
      <x:c r="S1" s="3" t="s">
        <x:v>1802</x:v>
      </x:c>
      <x:c r="T1" s="3" t="s">
        <x:v>1803</x:v>
      </x:c>
      <x:c r="U1" s="3" t="s">
        <x:v>150</x:v>
      </x:c>
      <x:c r="V1" s="3" t="s">
        <x:v>151</x:v>
      </x:c>
      <x:c r="W1" s="3" t="s">
        <x:v>152</x:v>
      </x:c>
      <x:c r="X1" s="3" t="s">
        <x:v>1804</x:v>
      </x:c>
      <x:c r="Y1" s="3" t="s">
        <x:v>153</x:v>
      </x:c>
      <x:c r="Z1" s="3" t="s">
        <x:v>154</x:v>
      </x:c>
      <x:c r="AA1" s="3" t="s">
        <x:v>155</x:v>
      </x:c>
      <x:c r="AB1" s="3" t="s">
        <x:v>156</x:v>
      </x:c>
      <x:c r="AC1" s="3" t="s">
        <x:v>1805</x:v>
      </x:c>
      <x:c r="AD1" s="3" t="s">
        <x:v>1806</x:v>
      </x:c>
      <x:c r="AE1" s="3" t="s">
        <x:v>1807</x:v>
      </x:c>
      <x:c r="AF1" s="3" t="s">
        <x:v>1808</x:v>
      </x:c>
      <x:c r="AG1" s="3" t="s">
        <x:v>159</x:v>
      </x:c>
      <x:c r="AH1" s="3" t="s">
        <x:v>1809</x:v>
      </x:c>
      <x:c r="AI1" s="3" t="s">
        <x:v>1810</x:v>
      </x:c>
      <x:c r="AJ1" s="3" t="s">
        <x:v>1811</x:v>
      </x:c>
      <x:c r="AK1" s="3" t="s">
        <x:v>1812</x:v>
      </x:c>
      <x:c r="AL1" s="3" t="s">
        <x:v>1813</x:v>
      </x:c>
      <x:c r="AM1" t="str">
        <x:v>algorithm_id_M4</x:v>
      </x:c>
      <x:c r="AN1" t="str">
        <x:v>终态类型_M4</x:v>
      </x:c>
      <x:c r="AO1" t="str">
        <x:v>是否触发_M4</x:v>
      </x:c>
      <x:c r="AP1" t="str">
        <x:v>终态时间_M4</x:v>
      </x:c>
      <x:c r="AQ1" t="str">
        <x:v>周期关联等级_M4</x:v>
      </x:c>
      <x:c r="AR1" t="str">
        <x:v>生命周期证据路径_M4</x:v>
      </x:c>
    </x:row>
    <x:row r="2">
      <x:c r="A2" s="4" t="s">
        <x:v>69</x:v>
      </x:c>
      <x:c r="B2" s="4" t="s">
        <x:v>200</x:v>
      </x:c>
      <x:c r="C2" s="4" t="s">
        <x:v>1814</x:v>
      </x:c>
      <x:c r="D2" s="4" t="s">
        <x:v>216</x:v>
      </x:c>
      <x:c r="E2" s="4" t="s">
        <x:v>1815</x:v>
      </x:c>
      <x:c r="F2" s="65" t="s">
        <x:v>216</x:v>
      </x:c>
      <x:c r="G2" s="4" t="s">
        <x:v>1336</x:v>
      </x:c>
      <x:c r="H2" s="4" t="s">
        <x:v>1337</x:v>
      </x:c>
      <x:c r="I2" s="4" t="s">
        <x:v>1816</x:v>
      </x:c>
      <x:c r="J2" s="4" t="s">
        <x:v>199</x:v>
      </x:c>
      <x:c r="K2" s="4" t="s">
        <x:v>217</x:v>
      </x:c>
      <x:c r="L2" s="4" t="s">
        <x:v>107</x:v>
      </x:c>
      <x:c r="M2" s="4" t="s">
        <x:v>218</x:v>
      </x:c>
      <x:c r="N2" s="4" t="s">
        <x:v>218</x:v>
      </x:c>
      <x:c r="O2" s="4" t="s">
        <x:v>168</x:v>
      </x:c>
      <x:c r="P2" s="4" t="s">
        <x:v>1817</x:v>
      </x:c>
      <x:c r="Q2" s="4" t="s">
        <x:v>1817</x:v>
      </x:c>
      <x:c r="R2" s="4" t="s">
        <x:v>1818</x:v>
      </x:c>
      <x:c r="S2" s="4" t="s">
        <x:v>198</x:v>
      </x:c>
      <x:c r="T2" s="4" t="s">
        <x:v>1819</x:v>
      </x:c>
      <x:c r="U2" s="4" t="s">
        <x:v>169</x:v>
      </x:c>
      <x:c r="V2" s="4" t="s">
        <x:v>218</x:v>
      </x:c>
      <x:c r="W2" s="4" t="s">
        <x:v>171</x:v>
      </x:c>
      <x:c r="X2" s="4" t="s">
        <x:v>171</x:v>
      </x:c>
      <x:c r="Y2" s="4" t="s">
        <x:v>171</x:v>
      </x:c>
      <x:c r="Z2" s="4" t="s">
        <x:v>172</x:v>
      </x:c>
      <x:c r="AA2" s="4" t="s">
        <x:v>172</x:v>
      </x:c>
      <x:c r="AB2" s="4" t="s">
        <x:v>172</x:v>
      </x:c>
      <x:c r="AC2" s="4" t="s">
        <x:v>172</x:v>
      </x:c>
      <x:c r="AD2" s="4" t="s">
        <x:v>188</x:v>
      </x:c>
      <x:c r="AE2" s="4" t="s">
        <x:v>1820</x:v>
      </x:c>
      <x:c r="AF2" s="4" t="s">
        <x:v>1820</x:v>
      </x:c>
      <x:c r="AG2" s="4" t="s">
        <x:v>1821</x:v>
      </x:c>
      <x:c r="AH2" s="4" t="s">
        <x:v>172</x:v>
      </x:c>
      <x:c r="AI2" s="4" t="s">
        <x:v>1822</x:v>
      </x:c>
      <x:c r="AJ2" s="4" t="s">
        <x:v>1341</x:v>
      </x:c>
      <x:c r="AK2" s="4" t="s">
        <x:v>200</x:v>
      </x:c>
      <x:c r="AL2" s="4" t="s">
        <x:v>1823</x:v>
      </x:c>
      <x:c r="AM2" s="66"/>
      <x:c r="AP2" s="67"/>
    </x:row>
    <x:row r="3">
      <x:c r="A3" s="4" t="s">
        <x:v>69</x:v>
      </x:c>
      <x:c r="B3" s="4" t="s">
        <x:v>1353</x:v>
      </x:c>
      <x:c r="C3" s="4" t="s">
        <x:v>1824</x:v>
      </x:c>
      <x:c r="D3" s="4" t="s">
        <x:v>220</x:v>
      </x:c>
      <x:c r="E3" s="4" t="s">
        <x:v>220</x:v>
      </x:c>
      <x:c r="F3" s="65" t="n">
        <x:v>46174.70600694444</x:v>
      </x:c>
      <x:c r="G3" s="4" t="s">
        <x:v>1336</x:v>
      </x:c>
      <x:c r="H3" s="4" t="s">
        <x:v>1337</x:v>
      </x:c>
      <x:c r="I3" s="4" t="s">
        <x:v>1825</x:v>
      </x:c>
      <x:c r="J3" s="4" t="s">
        <x:v>1826</x:v>
      </x:c>
      <x:c r="K3" s="4" t="s">
        <x:v>107</x:v>
      </x:c>
      <x:c r="L3" s="4" t="s">
        <x:v>221</x:v>
      </x:c>
      <x:c r="M3" s="4" t="s">
        <x:v>169</x:v>
      </x:c>
      <x:c r="N3" s="4" t="s">
        <x:v>169</x:v>
      </x:c>
      <x:c r="O3" s="4" t="str">
        <x:v>已取消</x:v>
      </x:c>
      <x:c r="P3" s="4" t="s">
        <x:v>171</x:v>
      </x:c>
      <x:c r="Q3" s="4" t="s">
        <x:v>1817</x:v>
      </x:c>
      <x:c r="R3" s="4" t="s">
        <x:v>1827</x:v>
      </x:c>
      <x:c r="S3" s="4" t="s">
        <x:v>1828</x:v>
      </x:c>
      <x:c r="T3" s="4" t="s">
        <x:v>1829</x:v>
      </x:c>
      <x:c r="U3" s="4" t="s">
        <x:v>218</x:v>
      </x:c>
      <x:c r="V3" s="4" t="s">
        <x:v>218</x:v>
      </x:c>
      <x:c r="W3" s="4" t="s">
        <x:v>172</x:v>
      </x:c>
      <x:c r="X3" s="4" t="s">
        <x:v>171</x:v>
      </x:c>
      <x:c r="Y3" s="4" t="s">
        <x:v>172</x:v>
      </x:c>
      <x:c r="Z3" s="4" t="s">
        <x:v>172</x:v>
      </x:c>
      <x:c r="AA3" s="4" t="s">
        <x:v>172</x:v>
      </x:c>
      <x:c r="AB3" s="4" t="s">
        <x:v>172</x:v>
      </x:c>
      <x:c r="AC3" s="4" t="s">
        <x:v>172</x:v>
      </x:c>
      <x:c r="AD3" s="4" t="str">
        <x:v>疑似连续调整</x:v>
      </x:c>
      <x:c r="AE3" s="4" t="s">
        <x:v>1830</x:v>
      </x:c>
      <x:c r="AF3" s="4" t="s">
        <x:v>1830</x:v>
      </x:c>
      <x:c r="AG3" s="4" t="str">
        <x:v>条件委托已取消；算法编号1000001820819619；创建时间2026-06-02 00:27:00；撤销时间2026-06-02 00:56:39；是否触发否；周期关联等级STRONG_CONTEXT；取消/过期原因无法确认（已完成为不适用）。</x:v>
      </x:c>
      <x:c r="AH3" s="4" t="s">
        <x:v>172</x:v>
      </x:c>
      <x:c r="AI3" s="4" t="str">
        <x:v>/Users/luodaluo/Desktop/30天复盘原始数据/补充证据_历史委托条件委托截图/05_安卓端取消与过期完整生命周期/01_已取消/Screenshot_20260722_212807.jpg</x:v>
      </x:c>
      <x:c r="AJ3" s="4" t="s">
        <x:v>1831</x:v>
      </x:c>
      <x:c r="AK3" s="4" t="s">
        <x:v>169</x:v>
      </x:c>
      <x:c r="AL3" s="4" t="s">
        <x:v>1832</x:v>
      </x:c>
      <x:c r="AM3" s="66" t="str">
        <x:v>1000001820819619</x:v>
      </x:c>
      <x:c r="AN3" t="str">
        <x:v>撤销</x:v>
      </x:c>
      <x:c r="AO3" t="str">
        <x:v>否</x:v>
      </x:c>
      <x:c r="AP3" s="67" t="n">
        <x:v>46174.70600694444</x:v>
      </x:c>
      <x:c r="AQ3" t="str">
        <x:v>STRONG_CONTEXT</x:v>
      </x:c>
      <x:c r="AR3" t="str">
        <x:v>/Users/luodaluo/Desktop/30天复盘原始数据/补充证据_历史委托条件委托截图/05_安卓端取消与过期完整生命周期/01_已取消/Screenshot_20260722_212807.jpg</x:v>
      </x:c>
    </x:row>
    <x:row r="4">
      <x:c r="A4" s="4" t="s">
        <x:v>69</x:v>
      </x:c>
      <x:c r="B4" s="4" t="s">
        <x:v>1466</x:v>
      </x:c>
      <x:c r="C4" s="4" t="s">
        <x:v>1824</x:v>
      </x:c>
      <x:c r="D4" s="4" t="s">
        <x:v>222</x:v>
      </x:c>
      <x:c r="E4" s="4" t="s">
        <x:v>222</x:v>
      </x:c>
      <x:c r="F4" s="65" t="s">
        <x:v>1833</x:v>
      </x:c>
      <x:c r="G4" s="4" t="s">
        <x:v>1336</x:v>
      </x:c>
      <x:c r="H4" s="4" t="s">
        <x:v>1337</x:v>
      </x:c>
      <x:c r="I4" s="4" t="s">
        <x:v>1834</x:v>
      </x:c>
      <x:c r="J4" s="4" t="s">
        <x:v>1835</x:v>
      </x:c>
      <x:c r="K4" s="4" t="s">
        <x:v>224</x:v>
      </x:c>
      <x:c r="L4" s="4" t="s">
        <x:v>169</x:v>
      </x:c>
      <x:c r="M4" s="4" t="s">
        <x:v>218</x:v>
      </x:c>
      <x:c r="N4" s="4" t="s">
        <x:v>169</x:v>
      </x:c>
      <x:c r="O4" s="4" t="s">
        <x:v>187</x:v>
      </x:c>
      <x:c r="P4" s="4" t="s">
        <x:v>1817</x:v>
      </x:c>
      <x:c r="Q4" s="4" t="s">
        <x:v>1817</x:v>
      </x:c>
      <x:c r="R4" s="4" t="s">
        <x:v>1836</x:v>
      </x:c>
      <x:c r="S4" s="4" t="s">
        <x:v>223</x:v>
      </x:c>
      <x:c r="T4" s="4" t="s">
        <x:v>1837</x:v>
      </x:c>
      <x:c r="U4" s="4" t="s">
        <x:v>218</x:v>
      </x:c>
      <x:c r="V4" s="4" t="s">
        <x:v>218</x:v>
      </x:c>
      <x:c r="W4" s="4" t="s">
        <x:v>172</x:v>
      </x:c>
      <x:c r="X4" s="4" t="s">
        <x:v>171</x:v>
      </x:c>
      <x:c r="Y4" s="4" t="s">
        <x:v>172</x:v>
      </x:c>
      <x:c r="Z4" s="4" t="s">
        <x:v>172</x:v>
      </x:c>
      <x:c r="AA4" s="4" t="s">
        <x:v>172</x:v>
      </x:c>
      <x:c r="AB4" s="4" t="s">
        <x:v>172</x:v>
      </x:c>
      <x:c r="AC4" s="4" t="s">
        <x:v>172</x:v>
      </x:c>
      <x:c r="AD4" s="4" t="s">
        <x:v>188</x:v>
      </x:c>
      <x:c r="AE4" s="4" t="s">
        <x:v>1820</x:v>
      </x:c>
      <x:c r="AF4" s="4" t="s">
        <x:v>1830</x:v>
      </x:c>
      <x:c r="AG4" s="4" t="s">
        <x:v>1838</x:v>
      </x:c>
      <x:c r="AH4" s="4" t="s">
        <x:v>172</x:v>
      </x:c>
      <x:c r="AI4" s="4" t="s">
        <x:v>1839</x:v>
      </x:c>
      <x:c r="AJ4" s="4" t="s">
        <x:v>1840</x:v>
      </x:c>
      <x:c r="AK4" s="4" t="s">
        <x:v>169</x:v>
      </x:c>
      <x:c r="AL4" s="4" t="s">
        <x:v>1841</x:v>
      </x:c>
      <x:c r="AM4" s="66"/>
      <x:c r="AP4" s="67"/>
    </x:row>
    <x:row r="5">
      <x:c r="A5" s="4" t="s">
        <x:v>69</x:v>
      </x:c>
      <x:c r="B5" s="4" t="s">
        <x:v>218</x:v>
      </x:c>
      <x:c r="C5" s="4" t="s">
        <x:v>1824</x:v>
      </x:c>
      <x:c r="D5" s="4" t="s">
        <x:v>226</x:v>
      </x:c>
      <x:c r="E5" s="4" t="s">
        <x:v>1842</x:v>
      </x:c>
      <x:c r="F5" s="65" t="s">
        <x:v>226</x:v>
      </x:c>
      <x:c r="G5" s="4" t="s">
        <x:v>1336</x:v>
      </x:c>
      <x:c r="H5" s="4" t="s">
        <x:v>1337</x:v>
      </x:c>
      <x:c r="I5" s="4" t="s">
        <x:v>1816</x:v>
      </x:c>
      <x:c r="J5" s="4" t="s">
        <x:v>199</x:v>
      </x:c>
      <x:c r="K5" s="4" t="s">
        <x:v>228</x:v>
      </x:c>
      <x:c r="L5" s="4" t="s">
        <x:v>107</x:v>
      </x:c>
      <x:c r="M5" s="4" t="s">
        <x:v>218</x:v>
      </x:c>
      <x:c r="N5" s="4" t="s">
        <x:v>218</x:v>
      </x:c>
      <x:c r="O5" s="4" t="s">
        <x:v>168</x:v>
      </x:c>
      <x:c r="P5" s="4" t="s">
        <x:v>1817</x:v>
      </x:c>
      <x:c r="Q5" s="4" t="s">
        <x:v>1817</x:v>
      </x:c>
      <x:c r="R5" s="4" t="s">
        <x:v>1818</x:v>
      </x:c>
      <x:c r="S5" s="4" t="s">
        <x:v>227</x:v>
      </x:c>
      <x:c r="T5" s="4" t="s">
        <x:v>1843</x:v>
      </x:c>
      <x:c r="U5" s="4" t="s">
        <x:v>218</x:v>
      </x:c>
      <x:c r="V5" s="4" t="s">
        <x:v>229</x:v>
      </x:c>
      <x:c r="W5" s="4" t="s">
        <x:v>171</x:v>
      </x:c>
      <x:c r="X5" s="4" t="s">
        <x:v>171</x:v>
      </x:c>
      <x:c r="Y5" s="4" t="s">
        <x:v>172</x:v>
      </x:c>
      <x:c r="Z5" s="4" t="s">
        <x:v>171</x:v>
      </x:c>
      <x:c r="AA5" s="4" t="s">
        <x:v>172</x:v>
      </x:c>
      <x:c r="AB5" s="4" t="s">
        <x:v>172</x:v>
      </x:c>
      <x:c r="AC5" s="4" t="s">
        <x:v>172</x:v>
      </x:c>
      <x:c r="AD5" s="4" t="s">
        <x:v>193</x:v>
      </x:c>
      <x:c r="AE5" s="4" t="s">
        <x:v>1830</x:v>
      </x:c>
      <x:c r="AF5" s="4" t="s">
        <x:v>1820</x:v>
      </x:c>
      <x:c r="AG5" s="4" t="s">
        <x:v>1844</x:v>
      </x:c>
      <x:c r="AH5" s="4" t="s">
        <x:v>172</x:v>
      </x:c>
      <x:c r="AI5" s="4" t="s">
        <x:v>1822</x:v>
      </x:c>
      <x:c r="AJ5" s="4" t="s">
        <x:v>1845</x:v>
      </x:c>
      <x:c r="AK5" s="4" t="s">
        <x:v>200</x:v>
      </x:c>
      <x:c r="AL5" s="4" t="s">
        <x:v>1823</x:v>
      </x:c>
      <x:c r="AM5" s="66"/>
      <x:c r="AP5" s="67"/>
    </x:row>
    <x:row r="6">
      <x:c r="A6" s="4" t="s">
        <x:v>69</x:v>
      </x:c>
      <x:c r="B6" s="4" t="s">
        <x:v>314</x:v>
      </x:c>
      <x:c r="C6" s="4" t="s">
        <x:v>1824</x:v>
      </x:c>
      <x:c r="D6" s="4" t="s">
        <x:v>231</x:v>
      </x:c>
      <x:c r="E6" s="4" t="s">
        <x:v>231</x:v>
      </x:c>
      <x:c r="F6" s="65" t="n">
        <x:v>46174.768159722225</x:v>
      </x:c>
      <x:c r="G6" s="4" t="s">
        <x:v>1336</x:v>
      </x:c>
      <x:c r="H6" s="4" t="s">
        <x:v>1337</x:v>
      </x:c>
      <x:c r="I6" s="4" t="s">
        <x:v>1825</x:v>
      </x:c>
      <x:c r="J6" s="4" t="s">
        <x:v>1826</x:v>
      </x:c>
      <x:c r="K6" s="4" t="s">
        <x:v>107</x:v>
      </x:c>
      <x:c r="L6" s="4" t="s">
        <x:v>232</x:v>
      </x:c>
      <x:c r="M6" s="4" t="s">
        <x:v>169</x:v>
      </x:c>
      <x:c r="N6" s="4" t="s">
        <x:v>169</x:v>
      </x:c>
      <x:c r="O6" s="4" t="str">
        <x:v>已过期</x:v>
      </x:c>
      <x:c r="P6" s="4" t="s">
        <x:v>171</x:v>
      </x:c>
      <x:c r="Q6" s="4" t="s">
        <x:v>1817</x:v>
      </x:c>
      <x:c r="R6" s="4" t="s">
        <x:v>1827</x:v>
      </x:c>
      <x:c r="S6" s="4" t="s">
        <x:v>1828</x:v>
      </x:c>
      <x:c r="T6" s="4" t="s">
        <x:v>1829</x:v>
      </x:c>
      <x:c r="U6" s="4" t="s">
        <x:v>218</x:v>
      </x:c>
      <x:c r="V6" s="4" t="s">
        <x:v>218</x:v>
      </x:c>
      <x:c r="W6" s="4" t="s">
        <x:v>172</x:v>
      </x:c>
      <x:c r="X6" s="4" t="s">
        <x:v>171</x:v>
      </x:c>
      <x:c r="Y6" s="4" t="s">
        <x:v>172</x:v>
      </x:c>
      <x:c r="Z6" s="4" t="s">
        <x:v>172</x:v>
      </x:c>
      <x:c r="AA6" s="4" t="s">
        <x:v>172</x:v>
      </x:c>
      <x:c r="AB6" s="4" t="s">
        <x:v>172</x:v>
      </x:c>
      <x:c r="AC6" s="4" t="s">
        <x:v>172</x:v>
      </x:c>
      <x:c r="AD6" s="4" t="str">
        <x:v>疑似连续调整</x:v>
      </x:c>
      <x:c r="AE6" s="4" t="s">
        <x:v>1830</x:v>
      </x:c>
      <x:c r="AF6" s="4" t="s">
        <x:v>1830</x:v>
      </x:c>
      <x:c r="AG6" s="4" t="str">
        <x:v>条件委托已过期；算法编号1000001821052253；创建时间2026-06-02 00:56:40；过期时间2026-06-02 02:26:09；是否触发否；周期关联等级STRONG_CONTEXT；取消/过期原因无法确认（已完成为不适用）。</x:v>
      </x:c>
      <x:c r="AH6" s="4" t="s">
        <x:v>172</x:v>
      </x:c>
      <x:c r="AI6" s="4" t="str">
        <x:v>/Users/luodaluo/Desktop/30天复盘原始数据/补充证据_历史委托条件委托截图/05_安卓端取消与过期完整生命周期/02_已过期/Screenshot_20260722_201054.jpg</x:v>
      </x:c>
      <x:c r="AJ6" s="4" t="s">
        <x:v>1846</x:v>
      </x:c>
      <x:c r="AK6" s="4" t="s">
        <x:v>169</x:v>
      </x:c>
      <x:c r="AL6" s="4" t="s">
        <x:v>1832</x:v>
      </x:c>
      <x:c r="AM6" s="66" t="str">
        <x:v>1000001821052253</x:v>
      </x:c>
      <x:c r="AN6" t="str">
        <x:v>过期</x:v>
      </x:c>
      <x:c r="AO6" t="str">
        <x:v>否</x:v>
      </x:c>
      <x:c r="AP6" s="67" t="n">
        <x:v>46174.768159722225</x:v>
      </x:c>
      <x:c r="AQ6" t="str">
        <x:v>STRONG_CONTEXT</x:v>
      </x:c>
      <x:c r="AR6" t="str">
        <x:v>/Users/luodaluo/Desktop/30天复盘原始数据/补充证据_历史委托条件委托截图/05_安卓端取消与过期完整生命周期/02_已过期/Screenshot_20260722_201054.jpg</x:v>
      </x:c>
    </x:row>
    <x:row r="7">
      <x:c r="A7" s="4" t="s">
        <x:v>69</x:v>
      </x:c>
      <x:c r="B7" s="4" t="s">
        <x:v>1573</x:v>
      </x:c>
      <x:c r="C7" s="4" t="s">
        <x:v>1824</x:v>
      </x:c>
      <x:c r="D7" s="4" t="s">
        <x:v>233</x:v>
      </x:c>
      <x:c r="E7" s="4" t="s">
        <x:v>233</x:v>
      </x:c>
      <x:c r="F7" s="65" t="s">
        <x:v>238</x:v>
      </x:c>
      <x:c r="G7" s="4" t="s">
        <x:v>1336</x:v>
      </x:c>
      <x:c r="H7" s="4" t="s">
        <x:v>1337</x:v>
      </x:c>
      <x:c r="I7" s="4" t="s">
        <x:v>1847</x:v>
      </x:c>
      <x:c r="J7" s="4" t="s">
        <x:v>1835</x:v>
      </x:c>
      <x:c r="K7" s="4" t="s">
        <x:v>235</x:v>
      </x:c>
      <x:c r="L7" s="4" t="s">
        <x:v>169</x:v>
      </x:c>
      <x:c r="M7" s="4" t="s">
        <x:v>229</x:v>
      </x:c>
      <x:c r="N7" s="4" t="s">
        <x:v>169</x:v>
      </x:c>
      <x:c r="O7" s="4" t="s">
        <x:v>236</x:v>
      </x:c>
      <x:c r="P7" s="4" t="s">
        <x:v>1817</x:v>
      </x:c>
      <x:c r="Q7" s="4" t="s">
        <x:v>1817</x:v>
      </x:c>
      <x:c r="R7" s="4" t="s">
        <x:v>1836</x:v>
      </x:c>
      <x:c r="S7" s="4" t="s">
        <x:v>234</x:v>
      </x:c>
      <x:c r="T7" s="4" t="s">
        <x:v>1837</x:v>
      </x:c>
      <x:c r="U7" s="4" t="s">
        <x:v>229</x:v>
      </x:c>
      <x:c r="V7" s="4" t="s">
        <x:v>229</x:v>
      </x:c>
      <x:c r="W7" s="4" t="s">
        <x:v>172</x:v>
      </x:c>
      <x:c r="X7" s="4" t="s">
        <x:v>171</x:v>
      </x:c>
      <x:c r="Y7" s="4" t="s">
        <x:v>172</x:v>
      </x:c>
      <x:c r="Z7" s="4" t="s">
        <x:v>172</x:v>
      </x:c>
      <x:c r="AA7" s="4" t="s">
        <x:v>172</x:v>
      </x:c>
      <x:c r="AB7" s="4" t="s">
        <x:v>172</x:v>
      </x:c>
      <x:c r="AC7" s="4" t="s">
        <x:v>172</x:v>
      </x:c>
      <x:c r="AD7" s="4" t="s">
        <x:v>195</x:v>
      </x:c>
      <x:c r="AE7" s="4" t="s">
        <x:v>1848</x:v>
      </x:c>
      <x:c r="AF7" s="4" t="s">
        <x:v>1830</x:v>
      </x:c>
      <x:c r="AG7" s="4" t="s">
        <x:v>1849</x:v>
      </x:c>
      <x:c r="AH7" s="4" t="s">
        <x:v>171</x:v>
      </x:c>
      <x:c r="AI7" s="4" t="s">
        <x:v>1850</x:v>
      </x:c>
      <x:c r="AJ7" s="4" t="s">
        <x:v>1851</x:v>
      </x:c>
      <x:c r="AK7" s="4" t="s">
        <x:v>169</x:v>
      </x:c>
      <x:c r="AL7" s="4" t="s">
        <x:v>1841</x:v>
      </x:c>
      <x:c r="AM7" s="66"/>
      <x:c r="AP7" s="67"/>
    </x:row>
    <x:row r="8">
      <x:c r="A8" s="4" t="s">
        <x:v>69</x:v>
      </x:c>
      <x:c r="B8" s="4" t="s">
        <x:v>330</x:v>
      </x:c>
      <x:c r="C8" s="4" t="s">
        <x:v>1824</x:v>
      </x:c>
      <x:c r="D8" s="4" t="s">
        <x:v>238</x:v>
      </x:c>
      <x:c r="E8" s="4" t="s">
        <x:v>238</x:v>
      </x:c>
      <x:c r="F8" s="65" t="s">
        <x:v>238</x:v>
      </x:c>
      <x:c r="G8" s="4" t="s">
        <x:v>1336</x:v>
      </x:c>
      <x:c r="H8" s="4" t="s">
        <x:v>1337</x:v>
      </x:c>
      <x:c r="I8" s="4" t="s">
        <x:v>1852</x:v>
      </x:c>
      <x:c r="J8" s="4" t="s">
        <x:v>240</x:v>
      </x:c>
      <x:c r="K8" s="4" t="s">
        <x:v>107</x:v>
      </x:c>
      <x:c r="L8" s="4" t="s">
        <x:v>107</x:v>
      </x:c>
      <x:c r="M8" s="4" t="s">
        <x:v>229</x:v>
      </x:c>
      <x:c r="N8" s="4" t="s">
        <x:v>229</x:v>
      </x:c>
      <x:c r="O8" s="4" t="s">
        <x:v>168</x:v>
      </x:c>
      <x:c r="P8" s="4" t="s">
        <x:v>1817</x:v>
      </x:c>
      <x:c r="Q8" s="4" t="s">
        <x:v>1817</x:v>
      </x:c>
      <x:c r="R8" s="4" t="s">
        <x:v>1818</x:v>
      </x:c>
      <x:c r="S8" s="4" t="s">
        <x:v>239</x:v>
      </x:c>
      <x:c r="T8" s="4" t="s">
        <x:v>1853</x:v>
      </x:c>
      <x:c r="U8" s="4" t="s">
        <x:v>229</x:v>
      </x:c>
      <x:c r="V8" s="4" t="s">
        <x:v>169</x:v>
      </x:c>
      <x:c r="W8" s="4" t="s">
        <x:v>171</x:v>
      </x:c>
      <x:c r="X8" s="4" t="s">
        <x:v>171</x:v>
      </x:c>
      <x:c r="Y8" s="4" t="s">
        <x:v>172</x:v>
      </x:c>
      <x:c r="Z8" s="4" t="s">
        <x:v>172</x:v>
      </x:c>
      <x:c r="AA8" s="4" t="s">
        <x:v>172</x:v>
      </x:c>
      <x:c r="AB8" s="4" t="s">
        <x:v>171</x:v>
      </x:c>
      <x:c r="AC8" s="4" t="s">
        <x:v>172</x:v>
      </x:c>
      <x:c r="AD8" s="4" t="s">
        <x:v>193</x:v>
      </x:c>
      <x:c r="AE8" s="4" t="s">
        <x:v>1830</x:v>
      </x:c>
      <x:c r="AF8" s="4" t="s">
        <x:v>1820</x:v>
      </x:c>
      <x:c r="AG8" s="4" t="s">
        <x:v>1854</x:v>
      </x:c>
      <x:c r="AH8" s="4" t="s">
        <x:v>172</x:v>
      </x:c>
      <x:c r="AI8" s="4" t="s">
        <x:v>1822</x:v>
      </x:c>
      <x:c r="AJ8" s="4" t="s">
        <x:v>1342</x:v>
      </x:c>
      <x:c r="AK8" s="4" t="s">
        <x:v>1855</x:v>
      </x:c>
      <x:c r="AL8" s="4" t="s">
        <x:v>1823</x:v>
      </x:c>
      <x:c r="AM8" s="66"/>
      <x:c r="AP8" s="67"/>
    </x:row>
    <x:row r="9">
      <x:c r="A9" s="4" t="s">
        <x:v>69</x:v>
      </x:c>
      <x:c r="B9" s="4" t="s">
        <x:v>229</x:v>
      </x:c>
      <x:c r="C9" s="4" t="s">
        <x:v>1856</x:v>
      </x:c>
      <x:c r="D9" s="4" t="s">
        <x:v>238</x:v>
      </x:c>
      <x:c r="E9" s="4" t="s">
        <x:v>107</x:v>
      </x:c>
      <x:c r="F9" s="65" t="s">
        <x:v>107</x:v>
      </x:c>
      <x:c r="G9" s="4" t="s">
        <x:v>1336</x:v>
      </x:c>
      <x:c r="H9" s="4" t="s">
        <x:v>1337</x:v>
      </x:c>
      <x:c r="I9" s="4" t="s">
        <x:v>107</x:v>
      </x:c>
      <x:c r="J9" s="4" t="s">
        <x:v>107</x:v>
      </x:c>
      <x:c r="K9" s="4" t="s">
        <x:v>107</x:v>
      </x:c>
      <x:c r="L9" s="4" t="s">
        <x:v>107</x:v>
      </x:c>
      <x:c r="M9" s="4" t="s">
        <x:v>107</x:v>
      </x:c>
      <x:c r="N9" s="4" t="s">
        <x:v>107</x:v>
      </x:c>
      <x:c r="O9" s="4" t="s">
        <x:v>107</x:v>
      </x:c>
      <x:c r="P9" s="4" t="s">
        <x:v>107</x:v>
      </x:c>
      <x:c r="Q9" s="4" t="s">
        <x:v>107</x:v>
      </x:c>
      <x:c r="R9" s="4" t="s">
        <x:v>1857</x:v>
      </x:c>
      <x:c r="S9" s="4" t="s">
        <x:v>213</x:v>
      </x:c>
      <x:c r="T9" s="4" t="s">
        <x:v>1858</x:v>
      </x:c>
      <x:c r="U9" s="4" t="s">
        <x:v>107</x:v>
      </x:c>
      <x:c r="V9" s="4" t="s">
        <x:v>107</x:v>
      </x:c>
      <x:c r="W9" s="4" t="s">
        <x:v>172</x:v>
      </x:c>
      <x:c r="X9" s="4" t="s">
        <x:v>172</x:v>
      </x:c>
      <x:c r="Y9" s="4" t="s">
        <x:v>172</x:v>
      </x:c>
      <x:c r="Z9" s="4" t="s">
        <x:v>172</x:v>
      </x:c>
      <x:c r="AA9" s="4" t="s">
        <x:v>172</x:v>
      </x:c>
      <x:c r="AB9" s="4" t="s">
        <x:v>172</x:v>
      </x:c>
      <x:c r="AC9" s="4" t="s">
        <x:v>172</x:v>
      </x:c>
      <x:c r="AD9" s="4" t="s">
        <x:v>107</x:v>
      </x:c>
      <x:c r="AE9" s="4" t="s">
        <x:v>107</x:v>
      </x:c>
      <x:c r="AF9" s="4" t="s">
        <x:v>107</x:v>
      </x:c>
      <x:c r="AG9" s="4" t="s">
        <x:v>242</x:v>
      </x:c>
      <x:c r="AH9" s="4" t="s">
        <x:v>172</x:v>
      </x:c>
      <x:c r="AI9" s="4" t="s">
        <x:v>1859</x:v>
      </x:c>
      <x:c r="AJ9" s="4" t="s">
        <x:v>1860</x:v>
      </x:c>
      <x:c r="AK9" s="4" t="s">
        <x:v>169</x:v>
      </x:c>
      <x:c r="AL9" s="4" t="s">
        <x:v>1861</x:v>
      </x:c>
      <x:c r="AM9" s="66"/>
      <x:c r="AP9" s="67"/>
    </x:row>
    <x:row r="10">
      <x:c r="A10" s="4" t="s">
        <x:v>70</x:v>
      </x:c>
      <x:c r="B10" s="4" t="s">
        <x:v>200</x:v>
      </x:c>
      <x:c r="C10" s="4" t="s">
        <x:v>1814</x:v>
      </x:c>
      <x:c r="D10" s="4" t="s">
        <x:v>238</x:v>
      </x:c>
      <x:c r="E10" s="4" t="s">
        <x:v>238</x:v>
      </x:c>
      <x:c r="F10" s="65" t="s">
        <x:v>238</x:v>
      </x:c>
      <x:c r="G10" s="4" t="s">
        <x:v>1336</x:v>
      </x:c>
      <x:c r="H10" s="4" t="s">
        <x:v>1409</x:v>
      </x:c>
      <x:c r="I10" s="4" t="s">
        <x:v>1852</x:v>
      </x:c>
      <x:c r="J10" s="4" t="s">
        <x:v>240</x:v>
      </x:c>
      <x:c r="K10" s="4" t="s">
        <x:v>107</x:v>
      </x:c>
      <x:c r="L10" s="4" t="s">
        <x:v>107</x:v>
      </x:c>
      <x:c r="M10" s="4" t="s">
        <x:v>229</x:v>
      </x:c>
      <x:c r="N10" s="4" t="s">
        <x:v>229</x:v>
      </x:c>
      <x:c r="O10" s="4" t="s">
        <x:v>168</x:v>
      </x:c>
      <x:c r="P10" s="4" t="s">
        <x:v>1817</x:v>
      </x:c>
      <x:c r="Q10" s="4" t="s">
        <x:v>1817</x:v>
      </x:c>
      <x:c r="R10" s="4" t="s">
        <x:v>1818</x:v>
      </x:c>
      <x:c r="S10" s="4" t="s">
        <x:v>243</x:v>
      </x:c>
      <x:c r="T10" s="4" t="s">
        <x:v>1819</x:v>
      </x:c>
      <x:c r="U10" s="4" t="s">
        <x:v>169</x:v>
      </x:c>
      <x:c r="V10" s="4" t="s">
        <x:v>229</x:v>
      </x:c>
      <x:c r="W10" s="4" t="s">
        <x:v>171</x:v>
      </x:c>
      <x:c r="X10" s="4" t="s">
        <x:v>171</x:v>
      </x:c>
      <x:c r="Y10" s="4" t="s">
        <x:v>171</x:v>
      </x:c>
      <x:c r="Z10" s="4" t="s">
        <x:v>172</x:v>
      </x:c>
      <x:c r="AA10" s="4" t="s">
        <x:v>172</x:v>
      </x:c>
      <x:c r="AB10" s="4" t="s">
        <x:v>172</x:v>
      </x:c>
      <x:c r="AC10" s="4" t="s">
        <x:v>172</x:v>
      </x:c>
      <x:c r="AD10" s="4" t="s">
        <x:v>188</x:v>
      </x:c>
      <x:c r="AE10" s="4" t="s">
        <x:v>1820</x:v>
      </x:c>
      <x:c r="AF10" s="4" t="s">
        <x:v>1820</x:v>
      </x:c>
      <x:c r="AG10" s="4" t="s">
        <x:v>1862</x:v>
      </x:c>
      <x:c r="AH10" s="4" t="s">
        <x:v>172</x:v>
      </x:c>
      <x:c r="AI10" s="4" t="s">
        <x:v>1822</x:v>
      </x:c>
      <x:c r="AJ10" s="4" t="s">
        <x:v>1411</x:v>
      </x:c>
      <x:c r="AK10" s="4" t="s">
        <x:v>1863</x:v>
      </x:c>
      <x:c r="AL10" s="4" t="s">
        <x:v>1823</x:v>
      </x:c>
      <x:c r="AM10" s="66"/>
      <x:c r="AP10" s="67"/>
    </x:row>
    <x:row r="11">
      <x:c r="A11" s="4" t="s">
        <x:v>70</x:v>
      </x:c>
      <x:c r="B11" s="4" t="s">
        <x:v>1353</x:v>
      </x:c>
      <x:c r="C11" s="4" t="s">
        <x:v>1824</x:v>
      </x:c>
      <x:c r="D11" s="4" t="s">
        <x:v>245</x:v>
      </x:c>
      <x:c r="E11" s="4" t="s">
        <x:v>245</x:v>
      </x:c>
      <x:c r="F11" s="65" t="s">
        <x:v>245</x:v>
      </x:c>
      <x:c r="G11" s="4" t="s">
        <x:v>1336</x:v>
      </x:c>
      <x:c r="H11" s="4" t="s">
        <x:v>1409</x:v>
      </x:c>
      <x:c r="I11" s="4" t="s">
        <x:v>1816</x:v>
      </x:c>
      <x:c r="J11" s="4" t="s">
        <x:v>240</x:v>
      </x:c>
      <x:c r="K11" s="4" t="s">
        <x:v>107</x:v>
      </x:c>
      <x:c r="L11" s="4" t="s">
        <x:v>107</x:v>
      </x:c>
      <x:c r="M11" s="4" t="s">
        <x:v>229</x:v>
      </x:c>
      <x:c r="N11" s="4" t="s">
        <x:v>229</x:v>
      </x:c>
      <x:c r="O11" s="4" t="s">
        <x:v>168</x:v>
      </x:c>
      <x:c r="P11" s="4" t="s">
        <x:v>1817</x:v>
      </x:c>
      <x:c r="Q11" s="4" t="s">
        <x:v>1817</x:v>
      </x:c>
      <x:c r="R11" s="4" t="s">
        <x:v>1818</x:v>
      </x:c>
      <x:c r="S11" s="4" t="s">
        <x:v>246</x:v>
      </x:c>
      <x:c r="T11" s="4" t="s">
        <x:v>1853</x:v>
      </x:c>
      <x:c r="U11" s="4" t="s">
        <x:v>229</x:v>
      </x:c>
      <x:c r="V11" s="4" t="s">
        <x:v>169</x:v>
      </x:c>
      <x:c r="W11" s="4" t="s">
        <x:v>171</x:v>
      </x:c>
      <x:c r="X11" s="4" t="s">
        <x:v>171</x:v>
      </x:c>
      <x:c r="Y11" s="4" t="s">
        <x:v>172</x:v>
      </x:c>
      <x:c r="Z11" s="4" t="s">
        <x:v>172</x:v>
      </x:c>
      <x:c r="AA11" s="4" t="s">
        <x:v>172</x:v>
      </x:c>
      <x:c r="AB11" s="4" t="s">
        <x:v>171</x:v>
      </x:c>
      <x:c r="AC11" s="4" t="s">
        <x:v>172</x:v>
      </x:c>
      <x:c r="AD11" s="4" t="s">
        <x:v>188</x:v>
      </x:c>
      <x:c r="AE11" s="4" t="s">
        <x:v>1820</x:v>
      </x:c>
      <x:c r="AF11" s="4" t="s">
        <x:v>1820</x:v>
      </x:c>
      <x:c r="AG11" s="4" t="s">
        <x:v>1864</x:v>
      </x:c>
      <x:c r="AH11" s="4" t="s">
        <x:v>172</x:v>
      </x:c>
      <x:c r="AI11" s="4" t="s">
        <x:v>1822</x:v>
      </x:c>
      <x:c r="AJ11" s="4" t="s">
        <x:v>1412</x:v>
      </x:c>
      <x:c r="AK11" s="4" t="s">
        <x:v>1865</x:v>
      </x:c>
      <x:c r="AL11" s="4" t="s">
        <x:v>1823</x:v>
      </x:c>
      <x:c r="AM11" s="66"/>
      <x:c r="AP11" s="67"/>
    </x:row>
    <x:row r="12">
      <x:c r="A12" s="4" t="s">
        <x:v>70</x:v>
      </x:c>
      <x:c r="B12" s="4" t="s">
        <x:v>1466</x:v>
      </x:c>
      <x:c r="C12" s="4" t="s">
        <x:v>1856</x:v>
      </x:c>
      <x:c r="D12" s="4" t="s">
        <x:v>245</x:v>
      </x:c>
      <x:c r="E12" s="4" t="s">
        <x:v>107</x:v>
      </x:c>
      <x:c r="F12" s="65" t="s">
        <x:v>107</x:v>
      </x:c>
      <x:c r="G12" s="4" t="s">
        <x:v>1336</x:v>
      </x:c>
      <x:c r="H12" s="4" t="s">
        <x:v>1409</x:v>
      </x:c>
      <x:c r="I12" s="4" t="s">
        <x:v>107</x:v>
      </x:c>
      <x:c r="J12" s="4" t="s">
        <x:v>107</x:v>
      </x:c>
      <x:c r="K12" s="4" t="s">
        <x:v>107</x:v>
      </x:c>
      <x:c r="L12" s="4" t="s">
        <x:v>107</x:v>
      </x:c>
      <x:c r="M12" s="4" t="s">
        <x:v>107</x:v>
      </x:c>
      <x:c r="N12" s="4" t="s">
        <x:v>107</x:v>
      </x:c>
      <x:c r="O12" s="4" t="s">
        <x:v>107</x:v>
      </x:c>
      <x:c r="P12" s="4" t="s">
        <x:v>107</x:v>
      </x:c>
      <x:c r="Q12" s="4" t="s">
        <x:v>107</x:v>
      </x:c>
      <x:c r="R12" s="4" t="s">
        <x:v>1857</x:v>
      </x:c>
      <x:c r="S12" s="4" t="s">
        <x:v>213</x:v>
      </x:c>
      <x:c r="T12" s="4" t="s">
        <x:v>1858</x:v>
      </x:c>
      <x:c r="U12" s="4" t="s">
        <x:v>107</x:v>
      </x:c>
      <x:c r="V12" s="4" t="s">
        <x:v>107</x:v>
      </x:c>
      <x:c r="W12" s="4" t="s">
        <x:v>172</x:v>
      </x:c>
      <x:c r="X12" s="4" t="s">
        <x:v>172</x:v>
      </x:c>
      <x:c r="Y12" s="4" t="s">
        <x:v>172</x:v>
      </x:c>
      <x:c r="Z12" s="4" t="s">
        <x:v>172</x:v>
      </x:c>
      <x:c r="AA12" s="4" t="s">
        <x:v>172</x:v>
      </x:c>
      <x:c r="AB12" s="4" t="s">
        <x:v>172</x:v>
      </x:c>
      <x:c r="AC12" s="4" t="s">
        <x:v>172</x:v>
      </x:c>
      <x:c r="AD12" s="4" t="s">
        <x:v>107</x:v>
      </x:c>
      <x:c r="AE12" s="4" t="s">
        <x:v>107</x:v>
      </x:c>
      <x:c r="AF12" s="4" t="s">
        <x:v>107</x:v>
      </x:c>
      <x:c r="AG12" s="4" t="s">
        <x:v>242</x:v>
      </x:c>
      <x:c r="AH12" s="4" t="s">
        <x:v>172</x:v>
      </x:c>
      <x:c r="AI12" s="4" t="s">
        <x:v>1859</x:v>
      </x:c>
      <x:c r="AJ12" s="4" t="s">
        <x:v>1866</x:v>
      </x:c>
      <x:c r="AK12" s="4" t="s">
        <x:v>169</x:v>
      </x:c>
      <x:c r="AL12" s="4" t="s">
        <x:v>1861</x:v>
      </x:c>
      <x:c r="AM12" s="66"/>
      <x:c r="AP12" s="67"/>
    </x:row>
    <x:row r="13">
      <x:c r="A13" s="4" t="s">
        <x:v>71</x:v>
      </x:c>
      <x:c r="B13" s="4" t="s">
        <x:v>200</x:v>
      </x:c>
      <x:c r="C13" s="4" t="s">
        <x:v>1814</x:v>
      </x:c>
      <x:c r="D13" s="4" t="s">
        <x:v>248</x:v>
      </x:c>
      <x:c r="E13" s="4" t="s">
        <x:v>248</x:v>
      </x:c>
      <x:c r="F13" s="65" t="s">
        <x:v>1867</x:v>
      </x:c>
      <x:c r="G13" s="4" t="s">
        <x:v>1336</x:v>
      </x:c>
      <x:c r="H13" s="4" t="s">
        <x:v>1409</x:v>
      </x:c>
      <x:c r="I13" s="4" t="s">
        <x:v>1847</x:v>
      </x:c>
      <x:c r="J13" s="4" t="s">
        <x:v>1835</x:v>
      </x:c>
      <x:c r="K13" s="4" t="s">
        <x:v>249</x:v>
      </x:c>
      <x:c r="L13" s="4" t="s">
        <x:v>169</x:v>
      </x:c>
      <x:c r="M13" s="4" t="s">
        <x:v>1868</x:v>
      </x:c>
      <x:c r="N13" s="4" t="s">
        <x:v>169</x:v>
      </x:c>
      <x:c r="O13" s="4" t="s">
        <x:v>187</x:v>
      </x:c>
      <x:c r="P13" s="4" t="s">
        <x:v>1817</x:v>
      </x:c>
      <x:c r="Q13" s="4" t="s">
        <x:v>1817</x:v>
      </x:c>
      <x:c r="R13" s="4" t="s">
        <x:v>1836</x:v>
      </x:c>
      <x:c r="S13" s="4" t="s">
        <x:v>14</x:v>
      </x:c>
      <x:c r="T13" s="4" t="s">
        <x:v>1837</x:v>
      </x:c>
      <x:c r="U13" s="4" t="s">
        <x:v>169</x:v>
      </x:c>
      <x:c r="V13" s="4" t="s">
        <x:v>169</x:v>
      </x:c>
      <x:c r="W13" s="4" t="s">
        <x:v>172</x:v>
      </x:c>
      <x:c r="X13" s="4" t="s">
        <x:v>171</x:v>
      </x:c>
      <x:c r="Y13" s="4" t="s">
        <x:v>172</x:v>
      </x:c>
      <x:c r="Z13" s="4" t="s">
        <x:v>172</x:v>
      </x:c>
      <x:c r="AA13" s="4" t="s">
        <x:v>172</x:v>
      </x:c>
      <x:c r="AB13" s="4" t="s">
        <x:v>172</x:v>
      </x:c>
      <x:c r="AC13" s="4" t="s">
        <x:v>172</x:v>
      </x:c>
      <x:c r="AD13" s="4" t="s">
        <x:v>188</x:v>
      </x:c>
      <x:c r="AE13" s="4" t="s">
        <x:v>1820</x:v>
      </x:c>
      <x:c r="AF13" s="4" t="s">
        <x:v>1830</x:v>
      </x:c>
      <x:c r="AG13" s="4" t="s">
        <x:v>1869</x:v>
      </x:c>
      <x:c r="AH13" s="4" t="s">
        <x:v>172</x:v>
      </x:c>
      <x:c r="AI13" s="4" t="s">
        <x:v>1870</x:v>
      </x:c>
      <x:c r="AJ13" s="4" t="s">
        <x:v>1871</x:v>
      </x:c>
      <x:c r="AK13" s="4" t="s">
        <x:v>169</x:v>
      </x:c>
      <x:c r="AL13" s="4" t="s">
        <x:v>1841</x:v>
      </x:c>
      <x:c r="AM13" s="66"/>
      <x:c r="AP13" s="67"/>
    </x:row>
    <x:row r="14">
      <x:c r="A14" s="4" t="s">
        <x:v>71</x:v>
      </x:c>
      <x:c r="B14" s="4" t="s">
        <x:v>1353</x:v>
      </x:c>
      <x:c r="C14" s="4" t="s">
        <x:v>1814</x:v>
      </x:c>
      <x:c r="D14" s="4" t="s">
        <x:v>250</x:v>
      </x:c>
      <x:c r="E14" s="4" t="s">
        <x:v>250</x:v>
      </x:c>
      <x:c r="F14" s="65" t="s">
        <x:v>1872</x:v>
      </x:c>
      <x:c r="G14" s="4" t="s">
        <x:v>1336</x:v>
      </x:c>
      <x:c r="H14" s="4" t="s">
        <x:v>1409</x:v>
      </x:c>
      <x:c r="I14" s="4" t="s">
        <x:v>1834</x:v>
      </x:c>
      <x:c r="J14" s="4" t="s">
        <x:v>1835</x:v>
      </x:c>
      <x:c r="K14" s="4" t="s">
        <x:v>252</x:v>
      </x:c>
      <x:c r="L14" s="4" t="s">
        <x:v>169</x:v>
      </x:c>
      <x:c r="M14" s="4" t="s">
        <x:v>1873</x:v>
      </x:c>
      <x:c r="N14" s="4" t="s">
        <x:v>169</x:v>
      </x:c>
      <x:c r="O14" s="4" t="s">
        <x:v>187</x:v>
      </x:c>
      <x:c r="P14" s="4" t="s">
        <x:v>1817</x:v>
      </x:c>
      <x:c r="Q14" s="4" t="s">
        <x:v>1817</x:v>
      </x:c>
      <x:c r="R14" s="4" t="s">
        <x:v>1836</x:v>
      </x:c>
      <x:c r="S14" s="4" t="s">
        <x:v>251</x:v>
      </x:c>
      <x:c r="T14" s="4" t="s">
        <x:v>1837</x:v>
      </x:c>
      <x:c r="U14" s="4" t="s">
        <x:v>169</x:v>
      </x:c>
      <x:c r="V14" s="4" t="s">
        <x:v>169</x:v>
      </x:c>
      <x:c r="W14" s="4" t="s">
        <x:v>172</x:v>
      </x:c>
      <x:c r="X14" s="4" t="s">
        <x:v>171</x:v>
      </x:c>
      <x:c r="Y14" s="4" t="s">
        <x:v>172</x:v>
      </x:c>
      <x:c r="Z14" s="4" t="s">
        <x:v>172</x:v>
      </x:c>
      <x:c r="AA14" s="4" t="s">
        <x:v>172</x:v>
      </x:c>
      <x:c r="AB14" s="4" t="s">
        <x:v>172</x:v>
      </x:c>
      <x:c r="AC14" s="4" t="s">
        <x:v>172</x:v>
      </x:c>
      <x:c r="AD14" s="4" t="s">
        <x:v>16</x:v>
      </x:c>
      <x:c r="AE14" s="4" t="s">
        <x:v>1830</x:v>
      </x:c>
      <x:c r="AF14" s="4" t="s">
        <x:v>1830</x:v>
      </x:c>
      <x:c r="AG14" s="4" t="s">
        <x:v>1874</x:v>
      </x:c>
      <x:c r="AH14" s="4" t="s">
        <x:v>172</x:v>
      </x:c>
      <x:c r="AI14" s="4" t="s">
        <x:v>1875</x:v>
      </x:c>
      <x:c r="AJ14" s="4" t="s">
        <x:v>1876</x:v>
      </x:c>
      <x:c r="AK14" s="4" t="s">
        <x:v>169</x:v>
      </x:c>
      <x:c r="AL14" s="4" t="s">
        <x:v>1841</x:v>
      </x:c>
      <x:c r="AM14" s="66"/>
      <x:c r="AP14" s="67"/>
    </x:row>
    <x:row r="15">
      <x:c r="A15" s="4" t="s">
        <x:v>71</x:v>
      </x:c>
      <x:c r="B15" s="4" t="s">
        <x:v>1466</x:v>
      </x:c>
      <x:c r="C15" s="4" t="s">
        <x:v>1814</x:v>
      </x:c>
      <x:c r="D15" s="4" t="s">
        <x:v>254</x:v>
      </x:c>
      <x:c r="E15" s="4" t="s">
        <x:v>254</x:v>
      </x:c>
      <x:c r="F15" s="65" t="s">
        <x:v>1877</x:v>
      </x:c>
      <x:c r="G15" s="4" t="s">
        <x:v>1336</x:v>
      </x:c>
      <x:c r="H15" s="4" t="s">
        <x:v>1409</x:v>
      </x:c>
      <x:c r="I15" s="4" t="s">
        <x:v>1847</x:v>
      </x:c>
      <x:c r="J15" s="4" t="s">
        <x:v>1835</x:v>
      </x:c>
      <x:c r="K15" s="4" t="s">
        <x:v>255</x:v>
      </x:c>
      <x:c r="L15" s="4" t="s">
        <x:v>169</x:v>
      </x:c>
      <x:c r="M15" s="4" t="s">
        <x:v>1878</x:v>
      </x:c>
      <x:c r="N15" s="4" t="s">
        <x:v>169</x:v>
      </x:c>
      <x:c r="O15" s="4" t="s">
        <x:v>187</x:v>
      </x:c>
      <x:c r="P15" s="4" t="s">
        <x:v>1817</x:v>
      </x:c>
      <x:c r="Q15" s="4" t="s">
        <x:v>1817</x:v>
      </x:c>
      <x:c r="R15" s="4" t="s">
        <x:v>1836</x:v>
      </x:c>
      <x:c r="S15" s="4" t="s">
        <x:v>14</x:v>
      </x:c>
      <x:c r="T15" s="4" t="s">
        <x:v>1837</x:v>
      </x:c>
      <x:c r="U15" s="4" t="s">
        <x:v>169</x:v>
      </x:c>
      <x:c r="V15" s="4" t="s">
        <x:v>169</x:v>
      </x:c>
      <x:c r="W15" s="4" t="s">
        <x:v>172</x:v>
      </x:c>
      <x:c r="X15" s="4" t="s">
        <x:v>171</x:v>
      </x:c>
      <x:c r="Y15" s="4" t="s">
        <x:v>172</x:v>
      </x:c>
      <x:c r="Z15" s="4" t="s">
        <x:v>172</x:v>
      </x:c>
      <x:c r="AA15" s="4" t="s">
        <x:v>172</x:v>
      </x:c>
      <x:c r="AB15" s="4" t="s">
        <x:v>172</x:v>
      </x:c>
      <x:c r="AC15" s="4" t="s">
        <x:v>172</x:v>
      </x:c>
      <x:c r="AD15" s="4" t="s">
        <x:v>16</x:v>
      </x:c>
      <x:c r="AE15" s="4" t="s">
        <x:v>1830</x:v>
      </x:c>
      <x:c r="AF15" s="4" t="s">
        <x:v>1830</x:v>
      </x:c>
      <x:c r="AG15" s="4" t="s">
        <x:v>1869</x:v>
      </x:c>
      <x:c r="AH15" s="4" t="s">
        <x:v>172</x:v>
      </x:c>
      <x:c r="AI15" s="4" t="s">
        <x:v>1879</x:v>
      </x:c>
      <x:c r="AJ15" s="4" t="s">
        <x:v>1880</x:v>
      </x:c>
      <x:c r="AK15" s="4" t="s">
        <x:v>169</x:v>
      </x:c>
      <x:c r="AL15" s="4" t="s">
        <x:v>1841</x:v>
      </x:c>
      <x:c r="AM15" s="66"/>
      <x:c r="AP15" s="67"/>
    </x:row>
    <x:row r="16">
      <x:c r="A16" s="4" t="s">
        <x:v>71</x:v>
      </x:c>
      <x:c r="B16" s="4" t="s">
        <x:v>218</x:v>
      </x:c>
      <x:c r="C16" s="4" t="s">
        <x:v>1814</x:v>
      </x:c>
      <x:c r="D16" s="4" t="s">
        <x:v>256</x:v>
      </x:c>
      <x:c r="E16" s="4" t="s">
        <x:v>256</x:v>
      </x:c>
      <x:c r="F16" s="65" t="s">
        <x:v>1881</x:v>
      </x:c>
      <x:c r="G16" s="4" t="s">
        <x:v>1336</x:v>
      </x:c>
      <x:c r="H16" s="4" t="s">
        <x:v>1409</x:v>
      </x:c>
      <x:c r="I16" s="4" t="s">
        <x:v>1834</x:v>
      </x:c>
      <x:c r="J16" s="4" t="s">
        <x:v>1835</x:v>
      </x:c>
      <x:c r="K16" s="4" t="s">
        <x:v>257</x:v>
      </x:c>
      <x:c r="L16" s="4" t="s">
        <x:v>169</x:v>
      </x:c>
      <x:c r="M16" s="4" t="s">
        <x:v>1882</x:v>
      </x:c>
      <x:c r="N16" s="4" t="s">
        <x:v>169</x:v>
      </x:c>
      <x:c r="O16" s="4" t="s">
        <x:v>187</x:v>
      </x:c>
      <x:c r="P16" s="4" t="s">
        <x:v>1817</x:v>
      </x:c>
      <x:c r="Q16" s="4" t="s">
        <x:v>1817</x:v>
      </x:c>
      <x:c r="R16" s="4" t="s">
        <x:v>1836</x:v>
      </x:c>
      <x:c r="S16" s="4" t="s">
        <x:v>251</x:v>
      </x:c>
      <x:c r="T16" s="4" t="s">
        <x:v>1837</x:v>
      </x:c>
      <x:c r="U16" s="4" t="s">
        <x:v>169</x:v>
      </x:c>
      <x:c r="V16" s="4" t="s">
        <x:v>169</x:v>
      </x:c>
      <x:c r="W16" s="4" t="s">
        <x:v>172</x:v>
      </x:c>
      <x:c r="X16" s="4" t="s">
        <x:v>171</x:v>
      </x:c>
      <x:c r="Y16" s="4" t="s">
        <x:v>172</x:v>
      </x:c>
      <x:c r="Z16" s="4" t="s">
        <x:v>172</x:v>
      </x:c>
      <x:c r="AA16" s="4" t="s">
        <x:v>172</x:v>
      </x:c>
      <x:c r="AB16" s="4" t="s">
        <x:v>172</x:v>
      </x:c>
      <x:c r="AC16" s="4" t="s">
        <x:v>172</x:v>
      </x:c>
      <x:c r="AD16" s="4" t="s">
        <x:v>16</x:v>
      </x:c>
      <x:c r="AE16" s="4" t="s">
        <x:v>1830</x:v>
      </x:c>
      <x:c r="AF16" s="4" t="s">
        <x:v>1830</x:v>
      </x:c>
      <x:c r="AG16" s="4" t="s">
        <x:v>1874</x:v>
      </x:c>
      <x:c r="AH16" s="4" t="s">
        <x:v>172</x:v>
      </x:c>
      <x:c r="AI16" s="4" t="s">
        <x:v>1883</x:v>
      </x:c>
      <x:c r="AJ16" s="4" t="s">
        <x:v>1884</x:v>
      </x:c>
      <x:c r="AK16" s="4" t="s">
        <x:v>169</x:v>
      </x:c>
      <x:c r="AL16" s="4" t="s">
        <x:v>1841</x:v>
      </x:c>
      <x:c r="AM16" s="66"/>
      <x:c r="AP16" s="67"/>
    </x:row>
    <x:row r="17">
      <x:c r="A17" s="4" t="s">
        <x:v>71</x:v>
      </x:c>
      <x:c r="B17" s="4" t="s">
        <x:v>314</x:v>
      </x:c>
      <x:c r="C17" s="4" t="s">
        <x:v>1814</x:v>
      </x:c>
      <x:c r="D17" s="4" t="s">
        <x:v>258</x:v>
      </x:c>
      <x:c r="E17" s="4" t="s">
        <x:v>1885</x:v>
      </x:c>
      <x:c r="F17" s="65" t="s">
        <x:v>258</x:v>
      </x:c>
      <x:c r="G17" s="4" t="s">
        <x:v>1336</x:v>
      </x:c>
      <x:c r="H17" s="4" t="s">
        <x:v>1409</x:v>
      </x:c>
      <x:c r="I17" s="4" t="s">
        <x:v>1852</x:v>
      </x:c>
      <x:c r="J17" s="4" t="s">
        <x:v>199</x:v>
      </x:c>
      <x:c r="K17" s="4" t="s">
        <x:v>260</x:v>
      </x:c>
      <x:c r="L17" s="4" t="s">
        <x:v>107</x:v>
      </x:c>
      <x:c r="M17" s="4" t="s">
        <x:v>218</x:v>
      </x:c>
      <x:c r="N17" s="4" t="s">
        <x:v>218</x:v>
      </x:c>
      <x:c r="O17" s="4" t="s">
        <x:v>168</x:v>
      </x:c>
      <x:c r="P17" s="4" t="s">
        <x:v>1817</x:v>
      </x:c>
      <x:c r="Q17" s="4" t="s">
        <x:v>1817</x:v>
      </x:c>
      <x:c r="R17" s="4" t="s">
        <x:v>1818</x:v>
      </x:c>
      <x:c r="S17" s="4" t="s">
        <x:v>259</x:v>
      </x:c>
      <x:c r="T17" s="4" t="s">
        <x:v>1819</x:v>
      </x:c>
      <x:c r="U17" s="4" t="s">
        <x:v>169</x:v>
      </x:c>
      <x:c r="V17" s="4" t="s">
        <x:v>218</x:v>
      </x:c>
      <x:c r="W17" s="4" t="s">
        <x:v>171</x:v>
      </x:c>
      <x:c r="X17" s="4" t="s">
        <x:v>171</x:v>
      </x:c>
      <x:c r="Y17" s="4" t="s">
        <x:v>171</x:v>
      </x:c>
      <x:c r="Z17" s="4" t="s">
        <x:v>172</x:v>
      </x:c>
      <x:c r="AA17" s="4" t="s">
        <x:v>172</x:v>
      </x:c>
      <x:c r="AB17" s="4" t="s">
        <x:v>172</x:v>
      </x:c>
      <x:c r="AC17" s="4" t="s">
        <x:v>172</x:v>
      </x:c>
      <x:c r="AD17" s="4" t="s">
        <x:v>16</x:v>
      </x:c>
      <x:c r="AE17" s="4" t="s">
        <x:v>1830</x:v>
      </x:c>
      <x:c r="AF17" s="4" t="s">
        <x:v>1820</x:v>
      </x:c>
      <x:c r="AG17" s="4" t="s">
        <x:v>1886</x:v>
      </x:c>
      <x:c r="AH17" s="4" t="s">
        <x:v>172</x:v>
      </x:c>
      <x:c r="AI17" s="4" t="s">
        <x:v>1822</x:v>
      </x:c>
      <x:c r="AJ17" s="4" t="s">
        <x:v>1450</x:v>
      </x:c>
      <x:c r="AK17" s="4" t="s">
        <x:v>200</x:v>
      </x:c>
      <x:c r="AL17" s="4" t="s">
        <x:v>1823</x:v>
      </x:c>
      <x:c r="AM17" s="66"/>
      <x:c r="AP17" s="67"/>
    </x:row>
    <x:row r="18">
      <x:c r="A18" s="4" t="s">
        <x:v>71</x:v>
      </x:c>
      <x:c r="B18" s="4" t="s">
        <x:v>1573</x:v>
      </x:c>
      <x:c r="C18" s="4" t="s">
        <x:v>1824</x:v>
      </x:c>
      <x:c r="D18" s="4" t="s">
        <x:v>262</x:v>
      </x:c>
      <x:c r="E18" s="4" t="s">
        <x:v>262</x:v>
      </x:c>
      <x:c r="F18" s="65" t="n">
        <x:v>46175.47047453704</x:v>
      </x:c>
      <x:c r="G18" s="4" t="s">
        <x:v>1336</x:v>
      </x:c>
      <x:c r="H18" s="4" t="s">
        <x:v>1409</x:v>
      </x:c>
      <x:c r="I18" s="4" t="s">
        <x:v>1887</x:v>
      </x:c>
      <x:c r="J18" s="4" t="s">
        <x:v>203</x:v>
      </x:c>
      <x:c r="K18" s="4" t="s">
        <x:v>107</x:v>
      </x:c>
      <x:c r="L18" s="4" t="s">
        <x:v>263</x:v>
      </x:c>
      <x:c r="M18" s="4" t="s">
        <x:v>169</x:v>
      </x:c>
      <x:c r="N18" s="4" t="s">
        <x:v>169</x:v>
      </x:c>
      <x:c r="O18" s="4" t="str">
        <x:v>已取消</x:v>
      </x:c>
      <x:c r="P18" s="4" t="s">
        <x:v>171</x:v>
      </x:c>
      <x:c r="Q18" s="4" t="s">
        <x:v>1817</x:v>
      </x:c>
      <x:c r="R18" s="4" t="s">
        <x:v>1827</x:v>
      </x:c>
      <x:c r="S18" s="4" t="s">
        <x:v>1888</x:v>
      </x:c>
      <x:c r="T18" s="4" t="s">
        <x:v>1829</x:v>
      </x:c>
      <x:c r="U18" s="4" t="s">
        <x:v>218</x:v>
      </x:c>
      <x:c r="V18" s="4" t="s">
        <x:v>218</x:v>
      </x:c>
      <x:c r="W18" s="4" t="s">
        <x:v>172</x:v>
      </x:c>
      <x:c r="X18" s="4" t="s">
        <x:v>171</x:v>
      </x:c>
      <x:c r="Y18" s="4" t="s">
        <x:v>172</x:v>
      </x:c>
      <x:c r="Z18" s="4" t="s">
        <x:v>172</x:v>
      </x:c>
      <x:c r="AA18" s="4" t="s">
        <x:v>172</x:v>
      </x:c>
      <x:c r="AB18" s="4" t="s">
        <x:v>172</x:v>
      </x:c>
      <x:c r="AC18" s="4" t="s">
        <x:v>172</x:v>
      </x:c>
      <x:c r="AD18" s="4" t="str">
        <x:v>疑似连续调整</x:v>
      </x:c>
      <x:c r="AE18" s="4" t="s">
        <x:v>1830</x:v>
      </x:c>
      <x:c r="AF18" s="4" t="s">
        <x:v>1830</x:v>
      </x:c>
      <x:c r="AG18" s="4" t="str">
        <x:v>条件委托已取消；算法编号1000001829283805；创建时间2026-06-02 19:07:58；撤销时间2026-06-02 19:17:29；是否触发否；周期关联等级STRONG_CONTEXT；取消/过期原因无法确认（已完成为不适用）。</x:v>
      </x:c>
      <x:c r="AH18" s="4" t="s">
        <x:v>172</x:v>
      </x:c>
      <x:c r="AI18" s="4" t="str">
        <x:v>/Users/luodaluo/Desktop/30天复盘原始数据/补充证据_历史委托条件委托截图/05_安卓端取消与过期完整生命周期/01_已取消/Screenshot_20260722_212841.jpg</x:v>
      </x:c>
      <x:c r="AJ18" s="4" t="s">
        <x:v>1889</x:v>
      </x:c>
      <x:c r="AK18" s="4" t="s">
        <x:v>169</x:v>
      </x:c>
      <x:c r="AL18" s="4" t="s">
        <x:v>1832</x:v>
      </x:c>
      <x:c r="AM18" s="66" t="str">
        <x:v>1000001829283805</x:v>
      </x:c>
      <x:c r="AN18" t="str">
        <x:v>撤销</x:v>
      </x:c>
      <x:c r="AO18" t="str">
        <x:v>否</x:v>
      </x:c>
      <x:c r="AP18" s="67" t="n">
        <x:v>46175.47047453704</x:v>
      </x:c>
      <x:c r="AQ18" t="str">
        <x:v>STRONG_CONTEXT</x:v>
      </x:c>
      <x:c r="AR18" t="str">
        <x:v>/Users/luodaluo/Desktop/30天复盘原始数据/补充证据_历史委托条件委托截图/05_安卓端取消与过期完整生命周期/01_已取消/Screenshot_20260722_212841.jpg</x:v>
      </x:c>
    </x:row>
    <x:row r="19">
      <x:c r="A19" s="4" t="s">
        <x:v>71</x:v>
      </x:c>
      <x:c r="B19" s="4" t="s">
        <x:v>330</x:v>
      </x:c>
      <x:c r="C19" s="4" t="s">
        <x:v>1824</x:v>
      </x:c>
      <x:c r="D19" s="4" t="s">
        <x:v>264</x:v>
      </x:c>
      <x:c r="E19" s="4" t="s">
        <x:v>264</x:v>
      </x:c>
      <x:c r="F19" s="65" t="n">
        <x:v>46175.469814814816</x:v>
      </x:c>
      <x:c r="G19" s="4" t="s">
        <x:v>1336</x:v>
      </x:c>
      <x:c r="H19" s="4" t="s">
        <x:v>1409</x:v>
      </x:c>
      <x:c r="I19" s="4" t="s">
        <x:v>1887</x:v>
      </x:c>
      <x:c r="J19" s="4" t="s">
        <x:v>1826</x:v>
      </x:c>
      <x:c r="K19" s="4" t="s">
        <x:v>107</x:v>
      </x:c>
      <x:c r="L19" s="4" t="s">
        <x:v>265</x:v>
      </x:c>
      <x:c r="M19" s="4" t="s">
        <x:v>169</x:v>
      </x:c>
      <x:c r="N19" s="4" t="s">
        <x:v>169</x:v>
      </x:c>
      <x:c r="O19" s="4" t="str">
        <x:v>已取消</x:v>
      </x:c>
      <x:c r="P19" s="4" t="s">
        <x:v>171</x:v>
      </x:c>
      <x:c r="Q19" s="4" t="s">
        <x:v>1817</x:v>
      </x:c>
      <x:c r="R19" s="4" t="s">
        <x:v>1827</x:v>
      </x:c>
      <x:c r="S19" s="4" t="s">
        <x:v>1890</x:v>
      </x:c>
      <x:c r="T19" s="4" t="s">
        <x:v>1829</x:v>
      </x:c>
      <x:c r="U19" s="4" t="s">
        <x:v>218</x:v>
      </x:c>
      <x:c r="V19" s="4" t="s">
        <x:v>218</x:v>
      </x:c>
      <x:c r="W19" s="4" t="s">
        <x:v>172</x:v>
      </x:c>
      <x:c r="X19" s="4" t="s">
        <x:v>171</x:v>
      </x:c>
      <x:c r="Y19" s="4" t="s">
        <x:v>172</x:v>
      </x:c>
      <x:c r="Z19" s="4" t="s">
        <x:v>172</x:v>
      </x:c>
      <x:c r="AA19" s="4" t="s">
        <x:v>172</x:v>
      </x:c>
      <x:c r="AB19" s="4" t="s">
        <x:v>172</x:v>
      </x:c>
      <x:c r="AC19" s="4" t="s">
        <x:v>172</x:v>
      </x:c>
      <x:c r="AD19" s="4" t="str">
        <x:v>疑似连续调整</x:v>
      </x:c>
      <x:c r="AE19" s="4" t="s">
        <x:v>1830</x:v>
      </x:c>
      <x:c r="AF19" s="4" t="s">
        <x:v>1830</x:v>
      </x:c>
      <x:c r="AG19" s="4" t="str">
        <x:v>条件委托已取消；算法编号1000001829306753；创建时间2026-06-02 19:11:22；撤销时间2026-06-02 19:16:32；是否触发否；周期关联等级STRONG_CONTEXT；取消/过期原因无法确认（已完成为不适用）。</x:v>
      </x:c>
      <x:c r="AH19" s="4" t="s">
        <x:v>172</x:v>
      </x:c>
      <x:c r="AI19" s="4" t="str">
        <x:v>/Users/luodaluo/Desktop/30天复盘原始数据/补充证据_历史委托条件委托截图/05_安卓端取消与过期完整生命周期/01_已取消/Screenshot_20260722_212846.jpg</x:v>
      </x:c>
      <x:c r="AJ19" s="4" t="s">
        <x:v>1891</x:v>
      </x:c>
      <x:c r="AK19" s="4" t="s">
        <x:v>169</x:v>
      </x:c>
      <x:c r="AL19" s="4" t="s">
        <x:v>1832</x:v>
      </x:c>
      <x:c r="AM19" s="66" t="str">
        <x:v>1000001829306753</x:v>
      </x:c>
      <x:c r="AN19" t="str">
        <x:v>撤销</x:v>
      </x:c>
      <x:c r="AO19" t="str">
        <x:v>否</x:v>
      </x:c>
      <x:c r="AP19" s="67" t="n">
        <x:v>46175.469814814816</x:v>
      </x:c>
      <x:c r="AQ19" t="str">
        <x:v>STRONG_CONTEXT</x:v>
      </x:c>
      <x:c r="AR19" t="str">
        <x:v>/Users/luodaluo/Desktop/30天复盘原始数据/补充证据_历史委托条件委托截图/05_安卓端取消与过期完整生命周期/01_已取消/Screenshot_20260722_212846.jpg</x:v>
      </x:c>
    </x:row>
    <x:row r="20">
      <x:c r="A20" s="4" t="s">
        <x:v>71</x:v>
      </x:c>
      <x:c r="B20" s="4" t="s">
        <x:v>229</x:v>
      </x:c>
      <x:c r="C20" s="4" t="s">
        <x:v>1824</x:v>
      </x:c>
      <x:c r="D20" s="4" t="s">
        <x:v>266</x:v>
      </x:c>
      <x:c r="E20" s="4" t="s">
        <x:v>266</x:v>
      </x:c>
      <x:c r="F20" s="65" t="n">
        <x:v>46175.56144675926</x:v>
      </x:c>
      <x:c r="G20" s="4" t="s">
        <x:v>1336</x:v>
      </x:c>
      <x:c r="H20" s="4" t="s">
        <x:v>1409</x:v>
      </x:c>
      <x:c r="I20" s="4" t="s">
        <x:v>1887</x:v>
      </x:c>
      <x:c r="J20" s="4" t="s">
        <x:v>1826</x:v>
      </x:c>
      <x:c r="K20" s="4" t="s">
        <x:v>107</x:v>
      </x:c>
      <x:c r="L20" s="4" t="s">
        <x:v>267</x:v>
      </x:c>
      <x:c r="M20" s="4" t="s">
        <x:v>169</x:v>
      </x:c>
      <x:c r="N20" s="4" t="s">
        <x:v>169</x:v>
      </x:c>
      <x:c r="O20" s="4" t="str">
        <x:v>已取消</x:v>
      </x:c>
      <x:c r="P20" s="4" t="s">
        <x:v>171</x:v>
      </x:c>
      <x:c r="Q20" s="4" t="s">
        <x:v>1817</x:v>
      </x:c>
      <x:c r="R20" s="4" t="s">
        <x:v>1827</x:v>
      </x:c>
      <x:c r="S20" s="4" t="s">
        <x:v>1890</x:v>
      </x:c>
      <x:c r="T20" s="4" t="s">
        <x:v>1829</x:v>
      </x:c>
      <x:c r="U20" s="4" t="s">
        <x:v>218</x:v>
      </x:c>
      <x:c r="V20" s="4" t="s">
        <x:v>218</x:v>
      </x:c>
      <x:c r="W20" s="4" t="s">
        <x:v>172</x:v>
      </x:c>
      <x:c r="X20" s="4" t="s">
        <x:v>171</x:v>
      </x:c>
      <x:c r="Y20" s="4" t="s">
        <x:v>172</x:v>
      </x:c>
      <x:c r="Z20" s="4" t="s">
        <x:v>172</x:v>
      </x:c>
      <x:c r="AA20" s="4" t="s">
        <x:v>172</x:v>
      </x:c>
      <x:c r="AB20" s="4" t="s">
        <x:v>172</x:v>
      </x:c>
      <x:c r="AC20" s="4" t="s">
        <x:v>172</x:v>
      </x:c>
      <x:c r="AD20" s="4" t="str">
        <x:v>疑似连续调整</x:v>
      </x:c>
      <x:c r="AE20" s="4" t="s">
        <x:v>1830</x:v>
      </x:c>
      <x:c r="AF20" s="4" t="s">
        <x:v>1830</x:v>
      </x:c>
      <x:c r="AG20" s="4" t="str">
        <x:v>条件委托已取消；算法编号1000001829342369；创建时间2026-06-02 19:16:32；撤销时间2026-06-02 21:28:29；是否触发否；周期关联等级STRONG_CONTEXT；取消/过期原因无法确认（已完成为不适用）。</x:v>
      </x:c>
      <x:c r="AH20" s="4" t="s">
        <x:v>172</x:v>
      </x:c>
      <x:c r="AI20" s="4" t="str">
        <x:v>/Users/luodaluo/Desktop/30天复盘原始数据/补充证据_历史委托条件委托截图/05_安卓端取消与过期完整生命周期/01_已取消/Screenshot_20260722_212852.jpg</x:v>
      </x:c>
      <x:c r="AJ20" s="4" t="s">
        <x:v>1892</x:v>
      </x:c>
      <x:c r="AK20" s="4" t="s">
        <x:v>169</x:v>
      </x:c>
      <x:c r="AL20" s="4" t="s">
        <x:v>1832</x:v>
      </x:c>
      <x:c r="AM20" s="66" t="str">
        <x:v>1000001829342369</x:v>
      </x:c>
      <x:c r="AN20" t="str">
        <x:v>撤销</x:v>
      </x:c>
      <x:c r="AO20" t="str">
        <x:v>否</x:v>
      </x:c>
      <x:c r="AP20" s="67" t="n">
        <x:v>46175.56144675926</x:v>
      </x:c>
      <x:c r="AQ20" t="str">
        <x:v>STRONG_CONTEXT</x:v>
      </x:c>
      <x:c r="AR20" t="str">
        <x:v>/Users/luodaluo/Desktop/30天复盘原始数据/补充证据_历史委托条件委托截图/05_安卓端取消与过期完整生命周期/01_已取消/Screenshot_20260722_212852.jpg</x:v>
      </x:c>
    </x:row>
    <x:row r="21">
      <x:c r="A21" s="4" t="s">
        <x:v>71</x:v>
      </x:c>
      <x:c r="B21" s="4" t="s">
        <x:v>298</x:v>
      </x:c>
      <x:c r="C21" s="4" t="s">
        <x:v>1824</x:v>
      </x:c>
      <x:c r="D21" s="4" t="s">
        <x:v>268</x:v>
      </x:c>
      <x:c r="E21" s="4" t="s">
        <x:v>268</x:v>
      </x:c>
      <x:c r="F21" s="65" t="n">
        <x:v>46175.490439814814</x:v>
      </x:c>
      <x:c r="G21" s="4" t="s">
        <x:v>1336</x:v>
      </x:c>
      <x:c r="H21" s="4" t="s">
        <x:v>1409</x:v>
      </x:c>
      <x:c r="I21" s="4" t="s">
        <x:v>1887</x:v>
      </x:c>
      <x:c r="J21" s="4" t="s">
        <x:v>203</x:v>
      </x:c>
      <x:c r="K21" s="4" t="s">
        <x:v>107</x:v>
      </x:c>
      <x:c r="L21" s="4" t="s">
        <x:v>269</x:v>
      </x:c>
      <x:c r="M21" s="4" t="s">
        <x:v>169</x:v>
      </x:c>
      <x:c r="N21" s="4" t="s">
        <x:v>169</x:v>
      </x:c>
      <x:c r="O21" s="4" t="str">
        <x:v>已取消</x:v>
      </x:c>
      <x:c r="P21" s="4" t="s">
        <x:v>171</x:v>
      </x:c>
      <x:c r="Q21" s="4" t="s">
        <x:v>1817</x:v>
      </x:c>
      <x:c r="R21" s="4" t="s">
        <x:v>1827</x:v>
      </x:c>
      <x:c r="S21" s="4" t="s">
        <x:v>1888</x:v>
      </x:c>
      <x:c r="T21" s="4" t="s">
        <x:v>1829</x:v>
      </x:c>
      <x:c r="U21" s="4" t="s">
        <x:v>218</x:v>
      </x:c>
      <x:c r="V21" s="4" t="s">
        <x:v>218</x:v>
      </x:c>
      <x:c r="W21" s="4" t="s">
        <x:v>172</x:v>
      </x:c>
      <x:c r="X21" s="4" t="s">
        <x:v>171</x:v>
      </x:c>
      <x:c r="Y21" s="4" t="s">
        <x:v>172</x:v>
      </x:c>
      <x:c r="Z21" s="4" t="s">
        <x:v>172</x:v>
      </x:c>
      <x:c r="AA21" s="4" t="s">
        <x:v>172</x:v>
      </x:c>
      <x:c r="AB21" s="4" t="s">
        <x:v>172</x:v>
      </x:c>
      <x:c r="AC21" s="4" t="s">
        <x:v>172</x:v>
      </x:c>
      <x:c r="AD21" s="4" t="str">
        <x:v>疑似连续调整</x:v>
      </x:c>
      <x:c r="AE21" s="4" t="s">
        <x:v>1830</x:v>
      </x:c>
      <x:c r="AF21" s="4" t="s">
        <x:v>1830</x:v>
      </x:c>
      <x:c r="AG21" s="4" t="str">
        <x:v>条件委托已取消；算法编号1000001829348260；创建时间2026-06-02 19:17:29；撤销时间2026-06-02 19:46:14；是否触发否；周期关联等级STRONG_CONTEXT；取消/过期原因无法确认（已完成为不适用）。</x:v>
      </x:c>
      <x:c r="AH21" s="4" t="s">
        <x:v>172</x:v>
      </x:c>
      <x:c r="AI21" s="4" t="str">
        <x:v>/Users/luodaluo/Desktop/30天复盘原始数据/补充证据_历史委托条件委托截图/05_安卓端取消与过期完整生命周期/01_已取消/Screenshot_20260722_212857.jpg</x:v>
      </x:c>
      <x:c r="AJ21" s="4" t="s">
        <x:v>1893</x:v>
      </x:c>
      <x:c r="AK21" s="4" t="s">
        <x:v>169</x:v>
      </x:c>
      <x:c r="AL21" s="4" t="s">
        <x:v>1832</x:v>
      </x:c>
      <x:c r="AM21" s="66" t="str">
        <x:v>1000001829348260</x:v>
      </x:c>
      <x:c r="AN21" t="str">
        <x:v>撤销</x:v>
      </x:c>
      <x:c r="AO21" t="str">
        <x:v>否</x:v>
      </x:c>
      <x:c r="AP21" s="67" t="n">
        <x:v>46175.490439814814</x:v>
      </x:c>
      <x:c r="AQ21" t="str">
        <x:v>STRONG_CONTEXT</x:v>
      </x:c>
      <x:c r="AR21" t="str">
        <x:v>/Users/luodaluo/Desktop/30天复盘原始数据/补充证据_历史委托条件委托截图/05_安卓端取消与过期完整生命周期/01_已取消/Screenshot_20260722_212857.jpg</x:v>
      </x:c>
    </x:row>
    <x:row r="22">
      <x:c r="A22" s="4" t="s">
        <x:v>71</x:v>
      </x:c>
      <x:c r="B22" s="4" t="s">
        <x:v>632</x:v>
      </x:c>
      <x:c r="C22" s="4" t="s">
        <x:v>1824</x:v>
      </x:c>
      <x:c r="D22" s="4" t="s">
        <x:v>270</x:v>
      </x:c>
      <x:c r="E22" s="4" t="s">
        <x:v>270</x:v>
      </x:c>
      <x:c r="F22" s="65" t="s">
        <x:v>1894</x:v>
      </x:c>
      <x:c r="G22" s="4" t="s">
        <x:v>1336</x:v>
      </x:c>
      <x:c r="H22" s="4" t="s">
        <x:v>1409</x:v>
      </x:c>
      <x:c r="I22" s="4" t="s">
        <x:v>1834</x:v>
      </x:c>
      <x:c r="J22" s="4" t="s">
        <x:v>1835</x:v>
      </x:c>
      <x:c r="K22" s="4" t="s">
        <x:v>271</x:v>
      </x:c>
      <x:c r="L22" s="4" t="s">
        <x:v>169</x:v>
      </x:c>
      <x:c r="M22" s="4" t="s">
        <x:v>218</x:v>
      </x:c>
      <x:c r="N22" s="4" t="s">
        <x:v>169</x:v>
      </x:c>
      <x:c r="O22" s="4" t="s">
        <x:v>187</x:v>
      </x:c>
      <x:c r="P22" s="4" t="s">
        <x:v>1817</x:v>
      </x:c>
      <x:c r="Q22" s="4" t="s">
        <x:v>1817</x:v>
      </x:c>
      <x:c r="R22" s="4" t="s">
        <x:v>1836</x:v>
      </x:c>
      <x:c r="S22" s="4" t="s">
        <x:v>234</x:v>
      </x:c>
      <x:c r="T22" s="4" t="s">
        <x:v>1837</x:v>
      </x:c>
      <x:c r="U22" s="4" t="s">
        <x:v>218</x:v>
      </x:c>
      <x:c r="V22" s="4" t="s">
        <x:v>218</x:v>
      </x:c>
      <x:c r="W22" s="4" t="s">
        <x:v>172</x:v>
      </x:c>
      <x:c r="X22" s="4" t="s">
        <x:v>171</x:v>
      </x:c>
      <x:c r="Y22" s="4" t="s">
        <x:v>172</x:v>
      </x:c>
      <x:c r="Z22" s="4" t="s">
        <x:v>172</x:v>
      </x:c>
      <x:c r="AA22" s="4" t="s">
        <x:v>172</x:v>
      </x:c>
      <x:c r="AB22" s="4" t="s">
        <x:v>172</x:v>
      </x:c>
      <x:c r="AC22" s="4" t="s">
        <x:v>172</x:v>
      </x:c>
      <x:c r="AD22" s="4" t="s">
        <x:v>188</x:v>
      </x:c>
      <x:c r="AE22" s="4" t="s">
        <x:v>1820</x:v>
      </x:c>
      <x:c r="AF22" s="4" t="s">
        <x:v>1830</x:v>
      </x:c>
      <x:c r="AG22" s="4" t="s">
        <x:v>1895</x:v>
      </x:c>
      <x:c r="AH22" s="4" t="s">
        <x:v>172</x:v>
      </x:c>
      <x:c r="AI22" s="4" t="s">
        <x:v>1896</x:v>
      </x:c>
      <x:c r="AJ22" s="4" t="s">
        <x:v>1897</x:v>
      </x:c>
      <x:c r="AK22" s="4" t="s">
        <x:v>169</x:v>
      </x:c>
      <x:c r="AL22" s="4" t="s">
        <x:v>1841</x:v>
      </x:c>
      <x:c r="AM22" s="66"/>
      <x:c r="AP22" s="67"/>
    </x:row>
    <x:row r="23">
      <x:c r="A23" s="4" t="s">
        <x:v>71</x:v>
      </x:c>
      <x:c r="B23" s="4" t="s">
        <x:v>1607</x:v>
      </x:c>
      <x:c r="C23" s="4" t="s">
        <x:v>1824</x:v>
      </x:c>
      <x:c r="D23" s="4" t="s">
        <x:v>273</x:v>
      </x:c>
      <x:c r="E23" s="4" t="s">
        <x:v>273</x:v>
      </x:c>
      <x:c r="F23" s="65" t="n">
        <x:v>46175.58672453704</x:v>
      </x:c>
      <x:c r="G23" s="4" t="s">
        <x:v>1336</x:v>
      </x:c>
      <x:c r="H23" s="4" t="s">
        <x:v>1409</x:v>
      </x:c>
      <x:c r="I23" s="4" t="s">
        <x:v>1887</x:v>
      </x:c>
      <x:c r="J23" s="4" t="s">
        <x:v>203</x:v>
      </x:c>
      <x:c r="K23" s="4" t="s">
        <x:v>107</x:v>
      </x:c>
      <x:c r="L23" s="4" t="s">
        <x:v>274</x:v>
      </x:c>
      <x:c r="M23" s="4" t="s">
        <x:v>169</x:v>
      </x:c>
      <x:c r="N23" s="4" t="s">
        <x:v>169</x:v>
      </x:c>
      <x:c r="O23" s="4" t="str">
        <x:v>已取消</x:v>
      </x:c>
      <x:c r="P23" s="4" t="s">
        <x:v>171</x:v>
      </x:c>
      <x:c r="Q23" s="4" t="s">
        <x:v>1817</x:v>
      </x:c>
      <x:c r="R23" s="4" t="s">
        <x:v>1827</x:v>
      </x:c>
      <x:c r="S23" s="4" t="s">
        <x:v>1888</x:v>
      </x:c>
      <x:c r="T23" s="4" t="s">
        <x:v>1829</x:v>
      </x:c>
      <x:c r="U23" s="4" t="s">
        <x:v>218</x:v>
      </x:c>
      <x:c r="V23" s="4" t="s">
        <x:v>218</x:v>
      </x:c>
      <x:c r="W23" s="4" t="s">
        <x:v>172</x:v>
      </x:c>
      <x:c r="X23" s="4" t="s">
        <x:v>171</x:v>
      </x:c>
      <x:c r="Y23" s="4" t="s">
        <x:v>172</x:v>
      </x:c>
      <x:c r="Z23" s="4" t="s">
        <x:v>172</x:v>
      </x:c>
      <x:c r="AA23" s="4" t="s">
        <x:v>172</x:v>
      </x:c>
      <x:c r="AB23" s="4" t="s">
        <x:v>172</x:v>
      </x:c>
      <x:c r="AC23" s="4" t="s">
        <x:v>172</x:v>
      </x:c>
      <x:c r="AD23" s="4" t="str">
        <x:v>疑似连续调整</x:v>
      </x:c>
      <x:c r="AE23" s="4" t="s">
        <x:v>1830</x:v>
      </x:c>
      <x:c r="AF23" s="4" t="s">
        <x:v>1830</x:v>
      </x:c>
      <x:c r="AG23" s="4" t="str">
        <x:v>条件委托已取消；算法编号1000001829549129；创建时间2026-06-02 19:46:14；撤销时间2026-06-02 22:04:53；是否触发否；周期关联等级STRONG_CONTEXT；取消/过期原因无法确认（已完成为不适用）。</x:v>
      </x:c>
      <x:c r="AH23" s="4" t="s">
        <x:v>172</x:v>
      </x:c>
      <x:c r="AI23" s="4" t="str">
        <x:v>/Users/luodaluo/Desktop/30天复盘原始数据/补充证据_历史委托条件委托截图/05_安卓端取消与过期完整生命周期/01_已取消/Screenshot_20260722_212901.jpg</x:v>
      </x:c>
      <x:c r="AJ23" s="4" t="s">
        <x:v>1898</x:v>
      </x:c>
      <x:c r="AK23" s="4" t="s">
        <x:v>169</x:v>
      </x:c>
      <x:c r="AL23" s="4" t="s">
        <x:v>1832</x:v>
      </x:c>
      <x:c r="AM23" s="66" t="str">
        <x:v>1000001829549129</x:v>
      </x:c>
      <x:c r="AN23" t="str">
        <x:v>撤销</x:v>
      </x:c>
      <x:c r="AO23" t="str">
        <x:v>否</x:v>
      </x:c>
      <x:c r="AP23" s="67" t="n">
        <x:v>46175.58672453704</x:v>
      </x:c>
      <x:c r="AQ23" t="str">
        <x:v>STRONG_CONTEXT</x:v>
      </x:c>
      <x:c r="AR23" t="str">
        <x:v>/Users/luodaluo/Desktop/30天复盘原始数据/补充证据_历史委托条件委托截图/05_安卓端取消与过期完整生命周期/01_已取消/Screenshot_20260722_212901.jpg</x:v>
      </x:c>
    </x:row>
    <x:row r="24">
      <x:c r="A24" s="4" t="s">
        <x:v>71</x:v>
      </x:c>
      <x:c r="B24" s="4" t="s">
        <x:v>358</x:v>
      </x:c>
      <x:c r="C24" s="4" t="s">
        <x:v>1824</x:v>
      </x:c>
      <x:c r="D24" s="4" t="s">
        <x:v>275</x:v>
      </x:c>
      <x:c r="E24" s="4" t="s">
        <x:v>275</x:v>
      </x:c>
      <x:c r="F24" s="65" t="s">
        <x:v>1899</x:v>
      </x:c>
      <x:c r="G24" s="4" t="s">
        <x:v>1336</x:v>
      </x:c>
      <x:c r="H24" s="4" t="s">
        <x:v>1409</x:v>
      </x:c>
      <x:c r="I24" s="4" t="s">
        <x:v>1834</x:v>
      </x:c>
      <x:c r="J24" s="4" t="s">
        <x:v>1835</x:v>
      </x:c>
      <x:c r="K24" s="4" t="s">
        <x:v>271</x:v>
      </x:c>
      <x:c r="L24" s="4" t="s">
        <x:v>169</x:v>
      </x:c>
      <x:c r="M24" s="4" t="s">
        <x:v>218</x:v>
      </x:c>
      <x:c r="N24" s="4" t="s">
        <x:v>169</x:v>
      </x:c>
      <x:c r="O24" s="4" t="s">
        <x:v>187</x:v>
      </x:c>
      <x:c r="P24" s="4" t="s">
        <x:v>1817</x:v>
      </x:c>
      <x:c r="Q24" s="4" t="s">
        <x:v>1817</x:v>
      </x:c>
      <x:c r="R24" s="4" t="s">
        <x:v>1836</x:v>
      </x:c>
      <x:c r="S24" s="4" t="s">
        <x:v>234</x:v>
      </x:c>
      <x:c r="T24" s="4" t="s">
        <x:v>1837</x:v>
      </x:c>
      <x:c r="U24" s="4" t="s">
        <x:v>218</x:v>
      </x:c>
      <x:c r="V24" s="4" t="s">
        <x:v>218</x:v>
      </x:c>
      <x:c r="W24" s="4" t="s">
        <x:v>172</x:v>
      </x:c>
      <x:c r="X24" s="4" t="s">
        <x:v>171</x:v>
      </x:c>
      <x:c r="Y24" s="4" t="s">
        <x:v>172</x:v>
      </x:c>
      <x:c r="Z24" s="4" t="s">
        <x:v>172</x:v>
      </x:c>
      <x:c r="AA24" s="4" t="s">
        <x:v>172</x:v>
      </x:c>
      <x:c r="AB24" s="4" t="s">
        <x:v>172</x:v>
      </x:c>
      <x:c r="AC24" s="4" t="s">
        <x:v>172</x:v>
      </x:c>
      <x:c r="AD24" s="4" t="s">
        <x:v>195</x:v>
      </x:c>
      <x:c r="AE24" s="4" t="s">
        <x:v>1848</x:v>
      </x:c>
      <x:c r="AF24" s="4" t="s">
        <x:v>1830</x:v>
      </x:c>
      <x:c r="AG24" s="4" t="s">
        <x:v>1895</x:v>
      </x:c>
      <x:c r="AH24" s="4" t="s">
        <x:v>171</x:v>
      </x:c>
      <x:c r="AI24" s="4" t="s">
        <x:v>1900</x:v>
      </x:c>
      <x:c r="AJ24" s="4" t="s">
        <x:v>1901</x:v>
      </x:c>
      <x:c r="AK24" s="4" t="s">
        <x:v>169</x:v>
      </x:c>
      <x:c r="AL24" s="4" t="s">
        <x:v>1841</x:v>
      </x:c>
      <x:c r="AM24" s="66"/>
      <x:c r="AP24" s="67"/>
    </x:row>
    <x:row r="25">
      <x:c r="A25" s="4" t="s">
        <x:v>71</x:v>
      </x:c>
      <x:c r="B25" s="4" t="s">
        <x:v>1465</x:v>
      </x:c>
      <x:c r="C25" s="4" t="s">
        <x:v>1824</x:v>
      </x:c>
      <x:c r="D25" s="4" t="s">
        <x:v>277</x:v>
      </x:c>
      <x:c r="E25" s="4" t="s">
        <x:v>277</x:v>
      </x:c>
      <x:c r="F25" s="65" t="s">
        <x:v>1902</x:v>
      </x:c>
      <x:c r="G25" s="4" t="s">
        <x:v>1336</x:v>
      </x:c>
      <x:c r="H25" s="4" t="s">
        <x:v>1409</x:v>
      </x:c>
      <x:c r="I25" s="4" t="s">
        <x:v>1847</x:v>
      </x:c>
      <x:c r="J25" s="4" t="s">
        <x:v>1835</x:v>
      </x:c>
      <x:c r="K25" s="4" t="s">
        <x:v>278</x:v>
      </x:c>
      <x:c r="L25" s="4" t="s">
        <x:v>169</x:v>
      </x:c>
      <x:c r="M25" s="4" t="s">
        <x:v>218</x:v>
      </x:c>
      <x:c r="N25" s="4" t="s">
        <x:v>169</x:v>
      </x:c>
      <x:c r="O25" s="4" t="s">
        <x:v>187</x:v>
      </x:c>
      <x:c r="P25" s="4" t="s">
        <x:v>1817</x:v>
      </x:c>
      <x:c r="Q25" s="4" t="s">
        <x:v>1817</x:v>
      </x:c>
      <x:c r="R25" s="4" t="s">
        <x:v>1836</x:v>
      </x:c>
      <x:c r="S25" s="4" t="s">
        <x:v>223</x:v>
      </x:c>
      <x:c r="T25" s="4" t="s">
        <x:v>1837</x:v>
      </x:c>
      <x:c r="U25" s="4" t="s">
        <x:v>218</x:v>
      </x:c>
      <x:c r="V25" s="4" t="s">
        <x:v>218</x:v>
      </x:c>
      <x:c r="W25" s="4" t="s">
        <x:v>172</x:v>
      </x:c>
      <x:c r="X25" s="4" t="s">
        <x:v>171</x:v>
      </x:c>
      <x:c r="Y25" s="4" t="s">
        <x:v>172</x:v>
      </x:c>
      <x:c r="Z25" s="4" t="s">
        <x:v>172</x:v>
      </x:c>
      <x:c r="AA25" s="4" t="s">
        <x:v>172</x:v>
      </x:c>
      <x:c r="AB25" s="4" t="s">
        <x:v>172</x:v>
      </x:c>
      <x:c r="AC25" s="4" t="s">
        <x:v>172</x:v>
      </x:c>
      <x:c r="AD25" s="4" t="s">
        <x:v>195</x:v>
      </x:c>
      <x:c r="AE25" s="4" t="s">
        <x:v>1848</x:v>
      </x:c>
      <x:c r="AF25" s="4" t="s">
        <x:v>1830</x:v>
      </x:c>
      <x:c r="AG25" s="4" t="s">
        <x:v>1838</x:v>
      </x:c>
      <x:c r="AH25" s="4" t="s">
        <x:v>171</x:v>
      </x:c>
      <x:c r="AI25" s="4" t="s">
        <x:v>1903</x:v>
      </x:c>
      <x:c r="AJ25" s="4" t="s">
        <x:v>1904</x:v>
      </x:c>
      <x:c r="AK25" s="4" t="s">
        <x:v>169</x:v>
      </x:c>
      <x:c r="AL25" s="4" t="s">
        <x:v>1841</x:v>
      </x:c>
      <x:c r="AM25" s="66"/>
      <x:c r="AP25" s="67"/>
    </x:row>
    <x:row r="26">
      <x:c r="A26" s="4" t="s">
        <x:v>71</x:v>
      </x:c>
      <x:c r="B26" s="4" t="s">
        <x:v>1464</x:v>
      </x:c>
      <x:c r="C26" s="4" t="s">
        <x:v>1824</x:v>
      </x:c>
      <x:c r="D26" s="4" t="s">
        <x:v>280</x:v>
      </x:c>
      <x:c r="E26" s="4" t="s">
        <x:v>280</x:v>
      </x:c>
      <x:c r="F26" s="65" t="s">
        <x:v>1905</x:v>
      </x:c>
      <x:c r="G26" s="4" t="s">
        <x:v>1336</x:v>
      </x:c>
      <x:c r="H26" s="4" t="s">
        <x:v>1409</x:v>
      </x:c>
      <x:c r="I26" s="4" t="s">
        <x:v>1847</x:v>
      </x:c>
      <x:c r="J26" s="4" t="s">
        <x:v>1835</x:v>
      </x:c>
      <x:c r="K26" s="4" t="s">
        <x:v>278</x:v>
      </x:c>
      <x:c r="L26" s="4" t="s">
        <x:v>169</x:v>
      </x:c>
      <x:c r="M26" s="4" t="s">
        <x:v>218</x:v>
      </x:c>
      <x:c r="N26" s="4" t="s">
        <x:v>169</x:v>
      </x:c>
      <x:c r="O26" s="4" t="s">
        <x:v>187</x:v>
      </x:c>
      <x:c r="P26" s="4" t="s">
        <x:v>1817</x:v>
      </x:c>
      <x:c r="Q26" s="4" t="s">
        <x:v>1817</x:v>
      </x:c>
      <x:c r="R26" s="4" t="s">
        <x:v>1836</x:v>
      </x:c>
      <x:c r="S26" s="4" t="s">
        <x:v>223</x:v>
      </x:c>
      <x:c r="T26" s="4" t="s">
        <x:v>1837</x:v>
      </x:c>
      <x:c r="U26" s="4" t="s">
        <x:v>218</x:v>
      </x:c>
      <x:c r="V26" s="4" t="s">
        <x:v>218</x:v>
      </x:c>
      <x:c r="W26" s="4" t="s">
        <x:v>172</x:v>
      </x:c>
      <x:c r="X26" s="4" t="s">
        <x:v>171</x:v>
      </x:c>
      <x:c r="Y26" s="4" t="s">
        <x:v>172</x:v>
      </x:c>
      <x:c r="Z26" s="4" t="s">
        <x:v>172</x:v>
      </x:c>
      <x:c r="AA26" s="4" t="s">
        <x:v>172</x:v>
      </x:c>
      <x:c r="AB26" s="4" t="s">
        <x:v>172</x:v>
      </x:c>
      <x:c r="AC26" s="4" t="s">
        <x:v>172</x:v>
      </x:c>
      <x:c r="AD26" s="4" t="s">
        <x:v>195</x:v>
      </x:c>
      <x:c r="AE26" s="4" t="s">
        <x:v>1848</x:v>
      </x:c>
      <x:c r="AF26" s="4" t="s">
        <x:v>1830</x:v>
      </x:c>
      <x:c r="AG26" s="4" t="s">
        <x:v>1838</x:v>
      </x:c>
      <x:c r="AH26" s="4" t="s">
        <x:v>171</x:v>
      </x:c>
      <x:c r="AI26" s="4" t="s">
        <x:v>1906</x:v>
      </x:c>
      <x:c r="AJ26" s="4" t="s">
        <x:v>1907</x:v>
      </x:c>
      <x:c r="AK26" s="4" t="s">
        <x:v>169</x:v>
      </x:c>
      <x:c r="AL26" s="4" t="s">
        <x:v>1841</x:v>
      </x:c>
      <x:c r="AM26" s="66"/>
      <x:c r="AP26" s="67"/>
    </x:row>
    <x:row r="27">
      <x:c r="A27" s="4" t="s">
        <x:v>71</x:v>
      </x:c>
      <x:c r="B27" s="4" t="s">
        <x:v>638</x:v>
      </x:c>
      <x:c r="C27" s="4" t="s">
        <x:v>1824</x:v>
      </x:c>
      <x:c r="D27" s="4" t="s">
        <x:v>281</x:v>
      </x:c>
      <x:c r="E27" s="4" t="s">
        <x:v>281</x:v>
      </x:c>
      <x:c r="F27" s="65" t="s">
        <x:v>1908</x:v>
      </x:c>
      <x:c r="G27" s="4" t="s">
        <x:v>1336</x:v>
      </x:c>
      <x:c r="H27" s="4" t="s">
        <x:v>1409</x:v>
      </x:c>
      <x:c r="I27" s="4" t="s">
        <x:v>1834</x:v>
      </x:c>
      <x:c r="J27" s="4" t="s">
        <x:v>1835</x:v>
      </x:c>
      <x:c r="K27" s="4" t="s">
        <x:v>282</x:v>
      </x:c>
      <x:c r="L27" s="4" t="s">
        <x:v>169</x:v>
      </x:c>
      <x:c r="M27" s="4" t="s">
        <x:v>218</x:v>
      </x:c>
      <x:c r="N27" s="4" t="s">
        <x:v>169</x:v>
      </x:c>
      <x:c r="O27" s="4" t="s">
        <x:v>187</x:v>
      </x:c>
      <x:c r="P27" s="4" t="s">
        <x:v>1817</x:v>
      </x:c>
      <x:c r="Q27" s="4" t="s">
        <x:v>1817</x:v>
      </x:c>
      <x:c r="R27" s="4" t="s">
        <x:v>1836</x:v>
      </x:c>
      <x:c r="S27" s="4" t="s">
        <x:v>234</x:v>
      </x:c>
      <x:c r="T27" s="4" t="s">
        <x:v>1837</x:v>
      </x:c>
      <x:c r="U27" s="4" t="s">
        <x:v>218</x:v>
      </x:c>
      <x:c r="V27" s="4" t="s">
        <x:v>218</x:v>
      </x:c>
      <x:c r="W27" s="4" t="s">
        <x:v>172</x:v>
      </x:c>
      <x:c r="X27" s="4" t="s">
        <x:v>171</x:v>
      </x:c>
      <x:c r="Y27" s="4" t="s">
        <x:v>172</x:v>
      </x:c>
      <x:c r="Z27" s="4" t="s">
        <x:v>172</x:v>
      </x:c>
      <x:c r="AA27" s="4" t="s">
        <x:v>172</x:v>
      </x:c>
      <x:c r="AB27" s="4" t="s">
        <x:v>172</x:v>
      </x:c>
      <x:c r="AC27" s="4" t="s">
        <x:v>172</x:v>
      </x:c>
      <x:c r="AD27" s="4" t="s">
        <x:v>195</x:v>
      </x:c>
      <x:c r="AE27" s="4" t="s">
        <x:v>1848</x:v>
      </x:c>
      <x:c r="AF27" s="4" t="s">
        <x:v>1830</x:v>
      </x:c>
      <x:c r="AG27" s="4" t="s">
        <x:v>1895</x:v>
      </x:c>
      <x:c r="AH27" s="4" t="s">
        <x:v>171</x:v>
      </x:c>
      <x:c r="AI27" s="4" t="s">
        <x:v>1909</x:v>
      </x:c>
      <x:c r="AJ27" s="4" t="s">
        <x:v>1910</x:v>
      </x:c>
      <x:c r="AK27" s="4" t="s">
        <x:v>169</x:v>
      </x:c>
      <x:c r="AL27" s="4" t="s">
        <x:v>1841</x:v>
      </x:c>
      <x:c r="AM27" s="66"/>
      <x:c r="AP27" s="67"/>
    </x:row>
    <x:row r="28">
      <x:c r="A28" s="4" t="s">
        <x:v>71</x:v>
      </x:c>
      <x:c r="B28" s="4" t="s">
        <x:v>1911</x:v>
      </x:c>
      <x:c r="C28" s="4" t="s">
        <x:v>1824</x:v>
      </x:c>
      <x:c r="D28" s="4" t="s">
        <x:v>283</x:v>
      </x:c>
      <x:c r="E28" s="4" t="s">
        <x:v>283</x:v>
      </x:c>
      <x:c r="F28" s="65" t="s">
        <x:v>1912</x:v>
      </x:c>
      <x:c r="G28" s="4" t="s">
        <x:v>1336</x:v>
      </x:c>
      <x:c r="H28" s="4" t="s">
        <x:v>1409</x:v>
      </x:c>
      <x:c r="I28" s="4" t="s">
        <x:v>1847</x:v>
      </x:c>
      <x:c r="J28" s="4" t="s">
        <x:v>1835</x:v>
      </x:c>
      <x:c r="K28" s="4" t="s">
        <x:v>284</x:v>
      </x:c>
      <x:c r="L28" s="4" t="s">
        <x:v>169</x:v>
      </x:c>
      <x:c r="M28" s="4" t="s">
        <x:v>1573</x:v>
      </x:c>
      <x:c r="N28" s="4" t="s">
        <x:v>169</x:v>
      </x:c>
      <x:c r="O28" s="4" t="s">
        <x:v>187</x:v>
      </x:c>
      <x:c r="P28" s="4" t="s">
        <x:v>1817</x:v>
      </x:c>
      <x:c r="Q28" s="4" t="s">
        <x:v>1817</x:v>
      </x:c>
      <x:c r="R28" s="4" t="s">
        <x:v>1836</x:v>
      </x:c>
      <x:c r="S28" s="4" t="s">
        <x:v>223</x:v>
      </x:c>
      <x:c r="T28" s="4" t="s">
        <x:v>1837</x:v>
      </x:c>
      <x:c r="U28" s="4" t="s">
        <x:v>218</x:v>
      </x:c>
      <x:c r="V28" s="4" t="s">
        <x:v>218</x:v>
      </x:c>
      <x:c r="W28" s="4" t="s">
        <x:v>172</x:v>
      </x:c>
      <x:c r="X28" s="4" t="s">
        <x:v>171</x:v>
      </x:c>
      <x:c r="Y28" s="4" t="s">
        <x:v>172</x:v>
      </x:c>
      <x:c r="Z28" s="4" t="s">
        <x:v>172</x:v>
      </x:c>
      <x:c r="AA28" s="4" t="s">
        <x:v>172</x:v>
      </x:c>
      <x:c r="AB28" s="4" t="s">
        <x:v>172</x:v>
      </x:c>
      <x:c r="AC28" s="4" t="s">
        <x:v>172</x:v>
      </x:c>
      <x:c r="AD28" s="4" t="s">
        <x:v>195</x:v>
      </x:c>
      <x:c r="AE28" s="4" t="s">
        <x:v>1848</x:v>
      </x:c>
      <x:c r="AF28" s="4" t="s">
        <x:v>1830</x:v>
      </x:c>
      <x:c r="AG28" s="4" t="s">
        <x:v>1838</x:v>
      </x:c>
      <x:c r="AH28" s="4" t="s">
        <x:v>171</x:v>
      </x:c>
      <x:c r="AI28" s="4" t="s">
        <x:v>1913</x:v>
      </x:c>
      <x:c r="AJ28" s="4" t="s">
        <x:v>1914</x:v>
      </x:c>
      <x:c r="AK28" s="4" t="s">
        <x:v>169</x:v>
      </x:c>
      <x:c r="AL28" s="4" t="s">
        <x:v>1841</x:v>
      </x:c>
      <x:c r="AM28" s="66"/>
      <x:c r="AP28" s="67"/>
    </x:row>
    <x:row r="29">
      <x:c r="A29" s="4" t="s">
        <x:v>71</x:v>
      </x:c>
      <x:c r="B29" s="4" t="s">
        <x:v>373</x:v>
      </x:c>
      <x:c r="C29" s="4" t="s">
        <x:v>1824</x:v>
      </x:c>
      <x:c r="D29" s="4" t="s">
        <x:v>285</x:v>
      </x:c>
      <x:c r="E29" s="4" t="s">
        <x:v>285</x:v>
      </x:c>
      <x:c r="F29" s="65" t="s">
        <x:v>1915</x:v>
      </x:c>
      <x:c r="G29" s="4" t="s">
        <x:v>1336</x:v>
      </x:c>
      <x:c r="H29" s="4" t="s">
        <x:v>1409</x:v>
      </x:c>
      <x:c r="I29" s="4" t="s">
        <x:v>1847</x:v>
      </x:c>
      <x:c r="J29" s="4" t="s">
        <x:v>1835</x:v>
      </x:c>
      <x:c r="K29" s="4" t="s">
        <x:v>284</x:v>
      </x:c>
      <x:c r="L29" s="4" t="s">
        <x:v>169</x:v>
      </x:c>
      <x:c r="M29" s="4" t="s">
        <x:v>314</x:v>
      </x:c>
      <x:c r="N29" s="4" t="s">
        <x:v>169</x:v>
      </x:c>
      <x:c r="O29" s="4" t="s">
        <x:v>187</x:v>
      </x:c>
      <x:c r="P29" s="4" t="s">
        <x:v>1817</x:v>
      </x:c>
      <x:c r="Q29" s="4" t="s">
        <x:v>1817</x:v>
      </x:c>
      <x:c r="R29" s="4" t="s">
        <x:v>1836</x:v>
      </x:c>
      <x:c r="S29" s="4" t="s">
        <x:v>223</x:v>
      </x:c>
      <x:c r="T29" s="4" t="s">
        <x:v>1837</x:v>
      </x:c>
      <x:c r="U29" s="4" t="s">
        <x:v>218</x:v>
      </x:c>
      <x:c r="V29" s="4" t="s">
        <x:v>218</x:v>
      </x:c>
      <x:c r="W29" s="4" t="s">
        <x:v>172</x:v>
      </x:c>
      <x:c r="X29" s="4" t="s">
        <x:v>171</x:v>
      </x:c>
      <x:c r="Y29" s="4" t="s">
        <x:v>172</x:v>
      </x:c>
      <x:c r="Z29" s="4" t="s">
        <x:v>172</x:v>
      </x:c>
      <x:c r="AA29" s="4" t="s">
        <x:v>172</x:v>
      </x:c>
      <x:c r="AB29" s="4" t="s">
        <x:v>172</x:v>
      </x:c>
      <x:c r="AC29" s="4" t="s">
        <x:v>172</x:v>
      </x:c>
      <x:c r="AD29" s="4" t="s">
        <x:v>193</x:v>
      </x:c>
      <x:c r="AE29" s="4" t="s">
        <x:v>1830</x:v>
      </x:c>
      <x:c r="AF29" s="4" t="s">
        <x:v>1830</x:v>
      </x:c>
      <x:c r="AG29" s="4" t="s">
        <x:v>1838</x:v>
      </x:c>
      <x:c r="AH29" s="4" t="s">
        <x:v>172</x:v>
      </x:c>
      <x:c r="AI29" s="4" t="s">
        <x:v>1916</x:v>
      </x:c>
      <x:c r="AJ29" s="4" t="s">
        <x:v>1917</x:v>
      </x:c>
      <x:c r="AK29" s="4" t="s">
        <x:v>169</x:v>
      </x:c>
      <x:c r="AL29" s="4" t="s">
        <x:v>1841</x:v>
      </x:c>
      <x:c r="AM29" s="66"/>
      <x:c r="AP29" s="67"/>
    </x:row>
    <x:row r="30">
      <x:c r="A30" s="4" t="s">
        <x:v>71</x:v>
      </x:c>
      <x:c r="B30" s="4" t="s">
        <x:v>1918</x:v>
      </x:c>
      <x:c r="C30" s="4" t="s">
        <x:v>1824</x:v>
      </x:c>
      <x:c r="D30" s="4" t="s">
        <x:v>286</x:v>
      </x:c>
      <x:c r="E30" s="4" t="s">
        <x:v>286</x:v>
      </x:c>
      <x:c r="F30" s="65" t="s">
        <x:v>304</x:v>
      </x:c>
      <x:c r="G30" s="4" t="s">
        <x:v>1336</x:v>
      </x:c>
      <x:c r="H30" s="4" t="s">
        <x:v>1409</x:v>
      </x:c>
      <x:c r="I30" s="4" t="s">
        <x:v>1834</x:v>
      </x:c>
      <x:c r="J30" s="4" t="s">
        <x:v>1835</x:v>
      </x:c>
      <x:c r="K30" s="4" t="s">
        <x:v>271</x:v>
      </x:c>
      <x:c r="L30" s="4" t="s">
        <x:v>169</x:v>
      </x:c>
      <x:c r="M30" s="4" t="s">
        <x:v>218</x:v>
      </x:c>
      <x:c r="N30" s="4" t="s">
        <x:v>169</x:v>
      </x:c>
      <x:c r="O30" s="4" t="s">
        <x:v>236</x:v>
      </x:c>
      <x:c r="P30" s="4" t="s">
        <x:v>1817</x:v>
      </x:c>
      <x:c r="Q30" s="4" t="s">
        <x:v>1817</x:v>
      </x:c>
      <x:c r="R30" s="4" t="s">
        <x:v>1836</x:v>
      </x:c>
      <x:c r="S30" s="4" t="s">
        <x:v>234</x:v>
      </x:c>
      <x:c r="T30" s="4" t="s">
        <x:v>1837</x:v>
      </x:c>
      <x:c r="U30" s="4" t="s">
        <x:v>218</x:v>
      </x:c>
      <x:c r="V30" s="4" t="s">
        <x:v>218</x:v>
      </x:c>
      <x:c r="W30" s="4" t="s">
        <x:v>172</x:v>
      </x:c>
      <x:c r="X30" s="4" t="s">
        <x:v>171</x:v>
      </x:c>
      <x:c r="Y30" s="4" t="s">
        <x:v>172</x:v>
      </x:c>
      <x:c r="Z30" s="4" t="s">
        <x:v>172</x:v>
      </x:c>
      <x:c r="AA30" s="4" t="s">
        <x:v>172</x:v>
      </x:c>
      <x:c r="AB30" s="4" t="s">
        <x:v>172</x:v>
      </x:c>
      <x:c r="AC30" s="4" t="s">
        <x:v>172</x:v>
      </x:c>
      <x:c r="AD30" s="4" t="s">
        <x:v>195</x:v>
      </x:c>
      <x:c r="AE30" s="4" t="s">
        <x:v>1848</x:v>
      </x:c>
      <x:c r="AF30" s="4" t="s">
        <x:v>1830</x:v>
      </x:c>
      <x:c r="AG30" s="4" t="s">
        <x:v>1895</x:v>
      </x:c>
      <x:c r="AH30" s="4" t="s">
        <x:v>171</x:v>
      </x:c>
      <x:c r="AI30" s="4" t="s">
        <x:v>1919</x:v>
      </x:c>
      <x:c r="AJ30" s="4" t="s">
        <x:v>1920</x:v>
      </x:c>
      <x:c r="AK30" s="4" t="s">
        <x:v>169</x:v>
      </x:c>
      <x:c r="AL30" s="4" t="s">
        <x:v>1841</x:v>
      </x:c>
      <x:c r="AM30" s="66"/>
      <x:c r="AP30" s="67"/>
    </x:row>
    <x:row r="31">
      <x:c r="A31" s="4" t="s">
        <x:v>71</x:v>
      </x:c>
      <x:c r="B31" s="4" t="s">
        <x:v>1721</x:v>
      </x:c>
      <x:c r="C31" s="4" t="s">
        <x:v>1824</x:v>
      </x:c>
      <x:c r="D31" s="4" t="s">
        <x:v>288</x:v>
      </x:c>
      <x:c r="E31" s="4" t="s">
        <x:v>288</x:v>
      </x:c>
      <x:c r="F31" s="65" t="s">
        <x:v>1921</x:v>
      </x:c>
      <x:c r="G31" s="4" t="s">
        <x:v>1336</x:v>
      </x:c>
      <x:c r="H31" s="4" t="s">
        <x:v>1409</x:v>
      </x:c>
      <x:c r="I31" s="4" t="s">
        <x:v>1847</x:v>
      </x:c>
      <x:c r="J31" s="4" t="s">
        <x:v>1835</x:v>
      </x:c>
      <x:c r="K31" s="4" t="s">
        <x:v>284</x:v>
      </x:c>
      <x:c r="L31" s="4" t="s">
        <x:v>169</x:v>
      </x:c>
      <x:c r="M31" s="4" t="s">
        <x:v>314</x:v>
      </x:c>
      <x:c r="N31" s="4" t="s">
        <x:v>169</x:v>
      </x:c>
      <x:c r="O31" s="4" t="s">
        <x:v>187</x:v>
      </x:c>
      <x:c r="P31" s="4" t="s">
        <x:v>1817</x:v>
      </x:c>
      <x:c r="Q31" s="4" t="s">
        <x:v>1817</x:v>
      </x:c>
      <x:c r="R31" s="4" t="s">
        <x:v>1836</x:v>
      </x:c>
      <x:c r="S31" s="4" t="s">
        <x:v>223</x:v>
      </x:c>
      <x:c r="T31" s="4" t="s">
        <x:v>1837</x:v>
      </x:c>
      <x:c r="U31" s="4" t="s">
        <x:v>218</x:v>
      </x:c>
      <x:c r="V31" s="4" t="s">
        <x:v>218</x:v>
      </x:c>
      <x:c r="W31" s="4" t="s">
        <x:v>172</x:v>
      </x:c>
      <x:c r="X31" s="4" t="s">
        <x:v>171</x:v>
      </x:c>
      <x:c r="Y31" s="4" t="s">
        <x:v>172</x:v>
      </x:c>
      <x:c r="Z31" s="4" t="s">
        <x:v>172</x:v>
      </x:c>
      <x:c r="AA31" s="4" t="s">
        <x:v>172</x:v>
      </x:c>
      <x:c r="AB31" s="4" t="s">
        <x:v>172</x:v>
      </x:c>
      <x:c r="AC31" s="4" t="s">
        <x:v>172</x:v>
      </x:c>
      <x:c r="AD31" s="4" t="s">
        <x:v>195</x:v>
      </x:c>
      <x:c r="AE31" s="4" t="s">
        <x:v>1848</x:v>
      </x:c>
      <x:c r="AF31" s="4" t="s">
        <x:v>1830</x:v>
      </x:c>
      <x:c r="AG31" s="4" t="s">
        <x:v>1838</x:v>
      </x:c>
      <x:c r="AH31" s="4" t="s">
        <x:v>171</x:v>
      </x:c>
      <x:c r="AI31" s="4" t="s">
        <x:v>1922</x:v>
      </x:c>
      <x:c r="AJ31" s="4" t="s">
        <x:v>1923</x:v>
      </x:c>
      <x:c r="AK31" s="4" t="s">
        <x:v>169</x:v>
      </x:c>
      <x:c r="AL31" s="4" t="s">
        <x:v>1841</x:v>
      </x:c>
      <x:c r="AM31" s="66"/>
      <x:c r="AP31" s="67"/>
    </x:row>
    <x:row r="32">
      <x:c r="A32" s="4" t="s">
        <x:v>71</x:v>
      </x:c>
      <x:c r="B32" s="4" t="s">
        <x:v>1720</x:v>
      </x:c>
      <x:c r="C32" s="4" t="s">
        <x:v>1824</x:v>
      </x:c>
      <x:c r="D32" s="4" t="s">
        <x:v>289</x:v>
      </x:c>
      <x:c r="E32" s="4" t="s">
        <x:v>289</x:v>
      </x:c>
      <x:c r="F32" s="65" t="s">
        <x:v>1924</x:v>
      </x:c>
      <x:c r="G32" s="4" t="s">
        <x:v>1336</x:v>
      </x:c>
      <x:c r="H32" s="4" t="s">
        <x:v>1409</x:v>
      </x:c>
      <x:c r="I32" s="4" t="s">
        <x:v>1847</x:v>
      </x:c>
      <x:c r="J32" s="4" t="s">
        <x:v>1835</x:v>
      </x:c>
      <x:c r="K32" s="4" t="s">
        <x:v>290</x:v>
      </x:c>
      <x:c r="L32" s="4" t="s">
        <x:v>169</x:v>
      </x:c>
      <x:c r="M32" s="4" t="s">
        <x:v>314</x:v>
      </x:c>
      <x:c r="N32" s="4" t="s">
        <x:v>169</x:v>
      </x:c>
      <x:c r="O32" s="4" t="s">
        <x:v>187</x:v>
      </x:c>
      <x:c r="P32" s="4" t="s">
        <x:v>1817</x:v>
      </x:c>
      <x:c r="Q32" s="4" t="s">
        <x:v>1817</x:v>
      </x:c>
      <x:c r="R32" s="4" t="s">
        <x:v>1836</x:v>
      </x:c>
      <x:c r="S32" s="4" t="s">
        <x:v>223</x:v>
      </x:c>
      <x:c r="T32" s="4" t="s">
        <x:v>1837</x:v>
      </x:c>
      <x:c r="U32" s="4" t="s">
        <x:v>218</x:v>
      </x:c>
      <x:c r="V32" s="4" t="s">
        <x:v>218</x:v>
      </x:c>
      <x:c r="W32" s="4" t="s">
        <x:v>172</x:v>
      </x:c>
      <x:c r="X32" s="4" t="s">
        <x:v>171</x:v>
      </x:c>
      <x:c r="Y32" s="4" t="s">
        <x:v>172</x:v>
      </x:c>
      <x:c r="Z32" s="4" t="s">
        <x:v>172</x:v>
      </x:c>
      <x:c r="AA32" s="4" t="s">
        <x:v>172</x:v>
      </x:c>
      <x:c r="AB32" s="4" t="s">
        <x:v>172</x:v>
      </x:c>
      <x:c r="AC32" s="4" t="s">
        <x:v>172</x:v>
      </x:c>
      <x:c r="AD32" s="4" t="s">
        <x:v>193</x:v>
      </x:c>
      <x:c r="AE32" s="4" t="s">
        <x:v>1830</x:v>
      </x:c>
      <x:c r="AF32" s="4" t="s">
        <x:v>1830</x:v>
      </x:c>
      <x:c r="AG32" s="4" t="s">
        <x:v>1838</x:v>
      </x:c>
      <x:c r="AH32" s="4" t="s">
        <x:v>172</x:v>
      </x:c>
      <x:c r="AI32" s="4" t="s">
        <x:v>1925</x:v>
      </x:c>
      <x:c r="AJ32" s="4" t="s">
        <x:v>1926</x:v>
      </x:c>
      <x:c r="AK32" s="4" t="s">
        <x:v>169</x:v>
      </x:c>
      <x:c r="AL32" s="4" t="s">
        <x:v>1841</x:v>
      </x:c>
      <x:c r="AM32" s="66"/>
      <x:c r="AP32" s="67"/>
    </x:row>
    <x:row r="33">
      <x:c r="A33" s="4" t="s">
        <x:v>71</x:v>
      </x:c>
      <x:c r="B33" s="4" t="s">
        <x:v>1927</x:v>
      </x:c>
      <x:c r="C33" s="4" t="s">
        <x:v>1824</x:v>
      </x:c>
      <x:c r="D33" s="4" t="s">
        <x:v>291</x:v>
      </x:c>
      <x:c r="E33" s="4" t="s">
        <x:v>291</x:v>
      </x:c>
      <x:c r="F33" s="65" t="s">
        <x:v>1928</x:v>
      </x:c>
      <x:c r="G33" s="4" t="s">
        <x:v>1336</x:v>
      </x:c>
      <x:c r="H33" s="4" t="s">
        <x:v>1409</x:v>
      </x:c>
      <x:c r="I33" s="4" t="s">
        <x:v>1847</x:v>
      </x:c>
      <x:c r="J33" s="4" t="s">
        <x:v>1835</x:v>
      </x:c>
      <x:c r="K33" s="4" t="s">
        <x:v>292</x:v>
      </x:c>
      <x:c r="L33" s="4" t="s">
        <x:v>169</x:v>
      </x:c>
      <x:c r="M33" s="4" t="s">
        <x:v>314</x:v>
      </x:c>
      <x:c r="N33" s="4" t="s">
        <x:v>169</x:v>
      </x:c>
      <x:c r="O33" s="4" t="s">
        <x:v>187</x:v>
      </x:c>
      <x:c r="P33" s="4" t="s">
        <x:v>1817</x:v>
      </x:c>
      <x:c r="Q33" s="4" t="s">
        <x:v>1817</x:v>
      </x:c>
      <x:c r="R33" s="4" t="s">
        <x:v>1836</x:v>
      </x:c>
      <x:c r="S33" s="4" t="s">
        <x:v>223</x:v>
      </x:c>
      <x:c r="T33" s="4" t="s">
        <x:v>1837</x:v>
      </x:c>
      <x:c r="U33" s="4" t="s">
        <x:v>218</x:v>
      </x:c>
      <x:c r="V33" s="4" t="s">
        <x:v>218</x:v>
      </x:c>
      <x:c r="W33" s="4" t="s">
        <x:v>172</x:v>
      </x:c>
      <x:c r="X33" s="4" t="s">
        <x:v>171</x:v>
      </x:c>
      <x:c r="Y33" s="4" t="s">
        <x:v>172</x:v>
      </x:c>
      <x:c r="Z33" s="4" t="s">
        <x:v>172</x:v>
      </x:c>
      <x:c r="AA33" s="4" t="s">
        <x:v>172</x:v>
      </x:c>
      <x:c r="AB33" s="4" t="s">
        <x:v>172</x:v>
      </x:c>
      <x:c r="AC33" s="4" t="s">
        <x:v>172</x:v>
      </x:c>
      <x:c r="AD33" s="4" t="s">
        <x:v>193</x:v>
      </x:c>
      <x:c r="AE33" s="4" t="s">
        <x:v>1830</x:v>
      </x:c>
      <x:c r="AF33" s="4" t="s">
        <x:v>1830</x:v>
      </x:c>
      <x:c r="AG33" s="4" t="s">
        <x:v>1838</x:v>
      </x:c>
      <x:c r="AH33" s="4" t="s">
        <x:v>172</x:v>
      </x:c>
      <x:c r="AI33" s="4" t="s">
        <x:v>1929</x:v>
      </x:c>
      <x:c r="AJ33" s="4" t="s">
        <x:v>1930</x:v>
      </x:c>
      <x:c r="AK33" s="4" t="s">
        <x:v>169</x:v>
      </x:c>
      <x:c r="AL33" s="4" t="s">
        <x:v>1841</x:v>
      </x:c>
      <x:c r="AM33" s="66"/>
      <x:c r="AP33" s="67"/>
    </x:row>
    <x:row r="34">
      <x:c r="A34" s="4" t="s">
        <x:v>71</x:v>
      </x:c>
      <x:c r="B34" s="4" t="s">
        <x:v>1855</x:v>
      </x:c>
      <x:c r="C34" s="4" t="s">
        <x:v>1824</x:v>
      </x:c>
      <x:c r="D34" s="4" t="s">
        <x:v>293</x:v>
      </x:c>
      <x:c r="E34" s="4" t="s">
        <x:v>293</x:v>
      </x:c>
      <x:c r="F34" s="65" t="n">
        <x:v>46175.589849537035</x:v>
      </x:c>
      <x:c r="G34" s="4" t="s">
        <x:v>1336</x:v>
      </x:c>
      <x:c r="H34" s="4" t="s">
        <x:v>1409</x:v>
      </x:c>
      <x:c r="I34" s="4" t="s">
        <x:v>1887</x:v>
      </x:c>
      <x:c r="J34" s="4" t="s">
        <x:v>1826</x:v>
      </x:c>
      <x:c r="K34" s="4" t="s">
        <x:v>107</x:v>
      </x:c>
      <x:c r="L34" s="4" t="s">
        <x:v>294</x:v>
      </x:c>
      <x:c r="M34" s="4" t="s">
        <x:v>169</x:v>
      </x:c>
      <x:c r="N34" s="4" t="s">
        <x:v>169</x:v>
      </x:c>
      <x:c r="O34" s="4" t="str">
        <x:v>已取消</x:v>
      </x:c>
      <x:c r="P34" s="4" t="s">
        <x:v>171</x:v>
      </x:c>
      <x:c r="Q34" s="4" t="s">
        <x:v>1817</x:v>
      </x:c>
      <x:c r="R34" s="4" t="s">
        <x:v>1827</x:v>
      </x:c>
      <x:c r="S34" s="4" t="s">
        <x:v>1890</x:v>
      </x:c>
      <x:c r="T34" s="4" t="s">
        <x:v>1829</x:v>
      </x:c>
      <x:c r="U34" s="4" t="s">
        <x:v>218</x:v>
      </x:c>
      <x:c r="V34" s="4" t="s">
        <x:v>218</x:v>
      </x:c>
      <x:c r="W34" s="4" t="s">
        <x:v>172</x:v>
      </x:c>
      <x:c r="X34" s="4" t="s">
        <x:v>171</x:v>
      </x:c>
      <x:c r="Y34" s="4" t="s">
        <x:v>172</x:v>
      </x:c>
      <x:c r="Z34" s="4" t="s">
        <x:v>172</x:v>
      </x:c>
      <x:c r="AA34" s="4" t="s">
        <x:v>172</x:v>
      </x:c>
      <x:c r="AB34" s="4" t="s">
        <x:v>172</x:v>
      </x:c>
      <x:c r="AC34" s="4" t="s">
        <x:v>172</x:v>
      </x:c>
      <x:c r="AD34" s="4" t="str">
        <x:v>疑似连续调整</x:v>
      </x:c>
      <x:c r="AE34" s="4" t="s">
        <x:v>1830</x:v>
      </x:c>
      <x:c r="AF34" s="4" t="s">
        <x:v>1830</x:v>
      </x:c>
      <x:c r="AG34" s="4" t="str">
        <x:v>条件委托已取消；算法编号1000001830298068；创建时间2026-06-02 21:28:29；撤销时间2026-06-02 22:09:23；是否触发否；周期关联等级STRONG_CONTEXT；取消/过期原因无法确认（已完成为不适用）。</x:v>
      </x:c>
      <x:c r="AH34" s="4" t="s">
        <x:v>172</x:v>
      </x:c>
      <x:c r="AI34" s="4" t="str">
        <x:v>/Users/luodaluo/Desktop/30天复盘原始数据/补充证据_历史委托条件委托截图/05_安卓端取消与过期完整生命周期/01_已取消/Screenshot_20260722_212908.jpg</x:v>
      </x:c>
      <x:c r="AJ34" s="4" t="s">
        <x:v>1931</x:v>
      </x:c>
      <x:c r="AK34" s="4" t="s">
        <x:v>169</x:v>
      </x:c>
      <x:c r="AL34" s="4" t="s">
        <x:v>1832</x:v>
      </x:c>
      <x:c r="AM34" s="66" t="str">
        <x:v>1000001830298068</x:v>
      </x:c>
      <x:c r="AN34" t="str">
        <x:v>撤销</x:v>
      </x:c>
      <x:c r="AO34" t="str">
        <x:v>否</x:v>
      </x:c>
      <x:c r="AP34" s="67" t="n">
        <x:v>46175.589849537035</x:v>
      </x:c>
      <x:c r="AQ34" t="str">
        <x:v>STRONG_CONTEXT</x:v>
      </x:c>
      <x:c r="AR34" t="str">
        <x:v>/Users/luodaluo/Desktop/30天复盘原始数据/补充证据_历史委托条件委托截图/05_安卓端取消与过期完整生命周期/01_已取消/Screenshot_20260722_212908.jpg</x:v>
      </x:c>
    </x:row>
    <x:row r="35">
      <x:c r="A35" s="4" t="s">
        <x:v>71</x:v>
      </x:c>
      <x:c r="B35" s="4" t="s">
        <x:v>1501</x:v>
      </x:c>
      <x:c r="C35" s="4" t="s">
        <x:v>1824</x:v>
      </x:c>
      <x:c r="D35" s="4" t="s">
        <x:v>295</x:v>
      </x:c>
      <x:c r="E35" s="4" t="s">
        <x:v>1932</x:v>
      </x:c>
      <x:c r="F35" s="65" t="s">
        <x:v>295</x:v>
      </x:c>
      <x:c r="G35" s="4" t="s">
        <x:v>1336</x:v>
      </x:c>
      <x:c r="H35" s="4" t="s">
        <x:v>1409</x:v>
      </x:c>
      <x:c r="I35" s="4" t="s">
        <x:v>1852</x:v>
      </x:c>
      <x:c r="J35" s="4" t="s">
        <x:v>199</x:v>
      </x:c>
      <x:c r="K35" s="4" t="s">
        <x:v>297</x:v>
      </x:c>
      <x:c r="L35" s="4" t="s">
        <x:v>107</x:v>
      </x:c>
      <x:c r="M35" s="4" t="s">
        <x:v>314</x:v>
      </x:c>
      <x:c r="N35" s="4" t="s">
        <x:v>314</x:v>
      </x:c>
      <x:c r="O35" s="4" t="s">
        <x:v>168</x:v>
      </x:c>
      <x:c r="P35" s="4" t="s">
        <x:v>1817</x:v>
      </x:c>
      <x:c r="Q35" s="4" t="s">
        <x:v>1817</x:v>
      </x:c>
      <x:c r="R35" s="4" t="s">
        <x:v>1818</x:v>
      </x:c>
      <x:c r="S35" s="4" t="s">
        <x:v>296</x:v>
      </x:c>
      <x:c r="T35" s="4" t="s">
        <x:v>1843</x:v>
      </x:c>
      <x:c r="U35" s="4" t="s">
        <x:v>218</x:v>
      </x:c>
      <x:c r="V35" s="4" t="s">
        <x:v>298</x:v>
      </x:c>
      <x:c r="W35" s="4" t="s">
        <x:v>171</x:v>
      </x:c>
      <x:c r="X35" s="4" t="s">
        <x:v>171</x:v>
      </x:c>
      <x:c r="Y35" s="4" t="s">
        <x:v>172</x:v>
      </x:c>
      <x:c r="Z35" s="4" t="s">
        <x:v>171</x:v>
      </x:c>
      <x:c r="AA35" s="4" t="s">
        <x:v>172</x:v>
      </x:c>
      <x:c r="AB35" s="4" t="s">
        <x:v>172</x:v>
      </x:c>
      <x:c r="AC35" s="4" t="s">
        <x:v>172</x:v>
      </x:c>
      <x:c r="AD35" s="4" t="s">
        <x:v>193</x:v>
      </x:c>
      <x:c r="AE35" s="4" t="s">
        <x:v>1830</x:v>
      </x:c>
      <x:c r="AF35" s="4" t="s">
        <x:v>1820</x:v>
      </x:c>
      <x:c r="AG35" s="4" t="s">
        <x:v>1933</x:v>
      </x:c>
      <x:c r="AH35" s="4" t="s">
        <x:v>172</x:v>
      </x:c>
      <x:c r="AI35" s="4" t="s">
        <x:v>1822</x:v>
      </x:c>
      <x:c r="AJ35" s="4" t="s">
        <x:v>1934</x:v>
      </x:c>
      <x:c r="AK35" s="4" t="s">
        <x:v>632</x:v>
      </x:c>
      <x:c r="AL35" s="4" t="s">
        <x:v>1823</x:v>
      </x:c>
      <x:c r="AM35" s="66"/>
      <x:c r="AP35" s="67"/>
    </x:row>
    <x:row r="36">
      <x:c r="A36" s="4" t="s">
        <x:v>71</x:v>
      </x:c>
      <x:c r="B36" s="4" t="s">
        <x:v>1935</x:v>
      </x:c>
      <x:c r="C36" s="4" t="s">
        <x:v>1824</x:v>
      </x:c>
      <x:c r="D36" s="4" t="s">
        <x:v>300</x:v>
      </x:c>
      <x:c r="E36" s="4" t="s">
        <x:v>300</x:v>
      </x:c>
      <x:c r="F36" s="65" t="n">
        <x:v>46175.58802083333</x:v>
      </x:c>
      <x:c r="G36" s="4" t="s">
        <x:v>1336</x:v>
      </x:c>
      <x:c r="H36" s="4" t="s">
        <x:v>1409</x:v>
      </x:c>
      <x:c r="I36" s="4" t="s">
        <x:v>1887</x:v>
      </x:c>
      <x:c r="J36" s="4" t="s">
        <x:v>203</x:v>
      </x:c>
      <x:c r="K36" s="4" t="s">
        <x:v>107</x:v>
      </x:c>
      <x:c r="L36" s="4" t="s">
        <x:v>301</x:v>
      </x:c>
      <x:c r="M36" s="4" t="s">
        <x:v>169</x:v>
      </x:c>
      <x:c r="N36" s="4" t="s">
        <x:v>169</x:v>
      </x:c>
      <x:c r="O36" s="4" t="str">
        <x:v>已取消</x:v>
      </x:c>
      <x:c r="P36" s="4" t="s">
        <x:v>171</x:v>
      </x:c>
      <x:c r="Q36" s="4" t="s">
        <x:v>1817</x:v>
      </x:c>
      <x:c r="R36" s="4" t="s">
        <x:v>1827</x:v>
      </x:c>
      <x:c r="S36" s="4" t="s">
        <x:v>1888</x:v>
      </x:c>
      <x:c r="T36" s="4" t="s">
        <x:v>1829</x:v>
      </x:c>
      <x:c r="U36" s="4" t="s">
        <x:v>218</x:v>
      </x:c>
      <x:c r="V36" s="4" t="s">
        <x:v>218</x:v>
      </x:c>
      <x:c r="W36" s="4" t="s">
        <x:v>172</x:v>
      </x:c>
      <x:c r="X36" s="4" t="s">
        <x:v>171</x:v>
      </x:c>
      <x:c r="Y36" s="4" t="s">
        <x:v>172</x:v>
      </x:c>
      <x:c r="Z36" s="4" t="s">
        <x:v>172</x:v>
      </x:c>
      <x:c r="AA36" s="4" t="s">
        <x:v>172</x:v>
      </x:c>
      <x:c r="AB36" s="4" t="s">
        <x:v>172</x:v>
      </x:c>
      <x:c r="AC36" s="4" t="s">
        <x:v>172</x:v>
      </x:c>
      <x:c r="AD36" s="4" t="str">
        <x:v>疑似连续调整</x:v>
      </x:c>
      <x:c r="AE36" s="4" t="s">
        <x:v>1830</x:v>
      </x:c>
      <x:c r="AF36" s="4" t="s">
        <x:v>1830</x:v>
      </x:c>
      <x:c r="AG36" s="4" t="str">
        <x:v>条件委托已取消；算法编号1000001830609002；创建时间2026-06-02 22:04:53；撤销时间2026-06-02 22:06:45；是否触发否；周期关联等级STRONG_CONTEXT；取消/过期原因无法确认（已完成为不适用）。</x:v>
      </x:c>
      <x:c r="AH36" s="4" t="s">
        <x:v>172</x:v>
      </x:c>
      <x:c r="AI36" s="4" t="str">
        <x:v>/Users/luodaluo/Desktop/30天复盘原始数据/补充证据_历史委托条件委托截图/05_安卓端取消与过期完整生命周期/01_已取消/Screenshot_20260722_212912.jpg</x:v>
      </x:c>
      <x:c r="AJ36" s="4" t="s">
        <x:v>1936</x:v>
      </x:c>
      <x:c r="AK36" s="4" t="s">
        <x:v>169</x:v>
      </x:c>
      <x:c r="AL36" s="4" t="s">
        <x:v>1832</x:v>
      </x:c>
      <x:c r="AM36" s="66" t="str">
        <x:v>1000001830609002</x:v>
      </x:c>
      <x:c r="AN36" t="str">
        <x:v>撤销</x:v>
      </x:c>
      <x:c r="AO36" t="str">
        <x:v>否</x:v>
      </x:c>
      <x:c r="AP36" s="67" t="n">
        <x:v>46175.58802083333</x:v>
      </x:c>
      <x:c r="AQ36" t="str">
        <x:v>STRONG_CONTEXT</x:v>
      </x:c>
      <x:c r="AR36" t="str">
        <x:v>/Users/luodaluo/Desktop/30天复盘原始数据/补充证据_历史委托条件委托截图/05_安卓端取消与过期完整生命周期/01_已取消/Screenshot_20260722_212912.jpg</x:v>
      </x:c>
    </x:row>
    <x:row r="37">
      <x:c r="A37" s="4" t="s">
        <x:v>71</x:v>
      </x:c>
      <x:c r="B37" s="4" t="s">
        <x:v>1937</x:v>
      </x:c>
      <x:c r="C37" s="4" t="s">
        <x:v>1824</x:v>
      </x:c>
      <x:c r="D37" s="4" t="s">
        <x:v>302</x:v>
      </x:c>
      <x:c r="E37" s="4" t="s">
        <x:v>302</x:v>
      </x:c>
      <x:c r="F37" s="65" t="n">
        <x:v>46175.610439814816</x:v>
      </x:c>
      <x:c r="G37" s="4" t="s">
        <x:v>1336</x:v>
      </x:c>
      <x:c r="H37" s="4" t="s">
        <x:v>1409</x:v>
      </x:c>
      <x:c r="I37" s="4" t="s">
        <x:v>1887</x:v>
      </x:c>
      <x:c r="J37" s="4" t="s">
        <x:v>203</x:v>
      </x:c>
      <x:c r="K37" s="4" t="s">
        <x:v>107</x:v>
      </x:c>
      <x:c r="L37" s="4" t="s">
        <x:v>303</x:v>
      </x:c>
      <x:c r="M37" s="4" t="s">
        <x:v>169</x:v>
      </x:c>
      <x:c r="N37" s="4" t="s">
        <x:v>169</x:v>
      </x:c>
      <x:c r="O37" s="4" t="str">
        <x:v>已取消</x:v>
      </x:c>
      <x:c r="P37" s="4" t="s">
        <x:v>171</x:v>
      </x:c>
      <x:c r="Q37" s="4" t="s">
        <x:v>1817</x:v>
      </x:c>
      <x:c r="R37" s="4" t="s">
        <x:v>1827</x:v>
      </x:c>
      <x:c r="S37" s="4" t="s">
        <x:v>1888</x:v>
      </x:c>
      <x:c r="T37" s="4" t="s">
        <x:v>1829</x:v>
      </x:c>
      <x:c r="U37" s="4" t="s">
        <x:v>218</x:v>
      </x:c>
      <x:c r="V37" s="4" t="s">
        <x:v>218</x:v>
      </x:c>
      <x:c r="W37" s="4" t="s">
        <x:v>172</x:v>
      </x:c>
      <x:c r="X37" s="4" t="s">
        <x:v>171</x:v>
      </x:c>
      <x:c r="Y37" s="4" t="s">
        <x:v>172</x:v>
      </x:c>
      <x:c r="Z37" s="4" t="s">
        <x:v>172</x:v>
      </x:c>
      <x:c r="AA37" s="4" t="s">
        <x:v>172</x:v>
      </x:c>
      <x:c r="AB37" s="4" t="s">
        <x:v>172</x:v>
      </x:c>
      <x:c r="AC37" s="4" t="s">
        <x:v>172</x:v>
      </x:c>
      <x:c r="AD37" s="4" t="str">
        <x:v>疑似连续调整</x:v>
      </x:c>
      <x:c r="AE37" s="4" t="s">
        <x:v>1830</x:v>
      </x:c>
      <x:c r="AF37" s="4" t="s">
        <x:v>1830</x:v>
      </x:c>
      <x:c r="AG37" s="4" t="str">
        <x:v>条件委托已取消；算法编号1000001830625752；创建时间2026-06-02 22:06:45；撤销时间2026-06-02 22:39:02；是否触发否；周期关联等级STRONG_CONTEXT；取消/过期原因无法确认（已完成为不适用）。</x:v>
      </x:c>
      <x:c r="AH37" s="4" t="s">
        <x:v>172</x:v>
      </x:c>
      <x:c r="AI37" s="4" t="str">
        <x:v>/Users/luodaluo/Desktop/30天复盘原始数据/补充证据_历史委托条件委托截图/05_安卓端取消与过期完整生命周期/01_已取消/Screenshot_20260722_212916.jpg</x:v>
      </x:c>
      <x:c r="AJ37" s="4" t="s">
        <x:v>1938</x:v>
      </x:c>
      <x:c r="AK37" s="4" t="s">
        <x:v>169</x:v>
      </x:c>
      <x:c r="AL37" s="4" t="s">
        <x:v>1832</x:v>
      </x:c>
      <x:c r="AM37" s="66" t="str">
        <x:v>1000001830625752</x:v>
      </x:c>
      <x:c r="AN37" t="str">
        <x:v>撤销</x:v>
      </x:c>
      <x:c r="AO37" t="str">
        <x:v>否</x:v>
      </x:c>
      <x:c r="AP37" s="67" t="n">
        <x:v>46175.610439814816</x:v>
      </x:c>
      <x:c r="AQ37" t="str">
        <x:v>STRONG_CONTEXT</x:v>
      </x:c>
      <x:c r="AR37" t="str">
        <x:v>/Users/luodaluo/Desktop/30天复盘原始数据/补充证据_历史委托条件委托截图/05_安卓端取消与过期完整生命周期/01_已取消/Screenshot_20260722_212916.jpg</x:v>
      </x:c>
    </x:row>
    <x:row r="38">
      <x:c r="A38" s="4" t="s">
        <x:v>71</x:v>
      </x:c>
      <x:c r="B38" s="4" t="s">
        <x:v>1939</x:v>
      </x:c>
      <x:c r="C38" s="4" t="s">
        <x:v>1824</x:v>
      </x:c>
      <x:c r="D38" s="4" t="s">
        <x:v>304</x:v>
      </x:c>
      <x:c r="E38" s="4" t="s">
        <x:v>304</x:v>
      </x:c>
      <x:c r="F38" s="65" t="s">
        <x:v>1940</x:v>
      </x:c>
      <x:c r="G38" s="4" t="s">
        <x:v>1336</x:v>
      </x:c>
      <x:c r="H38" s="4" t="s">
        <x:v>1409</x:v>
      </x:c>
      <x:c r="I38" s="4" t="s">
        <x:v>1834</x:v>
      </x:c>
      <x:c r="J38" s="4" t="s">
        <x:v>1835</x:v>
      </x:c>
      <x:c r="K38" s="4" t="s">
        <x:v>305</x:v>
      </x:c>
      <x:c r="L38" s="4" t="s">
        <x:v>169</x:v>
      </x:c>
      <x:c r="M38" s="4" t="s">
        <x:v>298</x:v>
      </x:c>
      <x:c r="N38" s="4" t="s">
        <x:v>169</x:v>
      </x:c>
      <x:c r="O38" s="4" t="s">
        <x:v>187</x:v>
      </x:c>
      <x:c r="P38" s="4" t="s">
        <x:v>1817</x:v>
      </x:c>
      <x:c r="Q38" s="4" t="s">
        <x:v>1817</x:v>
      </x:c>
      <x:c r="R38" s="4" t="s">
        <x:v>1836</x:v>
      </x:c>
      <x:c r="S38" s="4" t="s">
        <x:v>234</x:v>
      </x:c>
      <x:c r="T38" s="4" t="s">
        <x:v>1837</x:v>
      </x:c>
      <x:c r="U38" s="4" t="s">
        <x:v>298</x:v>
      </x:c>
      <x:c r="V38" s="4" t="s">
        <x:v>298</x:v>
      </x:c>
      <x:c r="W38" s="4" t="s">
        <x:v>172</x:v>
      </x:c>
      <x:c r="X38" s="4" t="s">
        <x:v>171</x:v>
      </x:c>
      <x:c r="Y38" s="4" t="s">
        <x:v>172</x:v>
      </x:c>
      <x:c r="Z38" s="4" t="s">
        <x:v>172</x:v>
      </x:c>
      <x:c r="AA38" s="4" t="s">
        <x:v>172</x:v>
      </x:c>
      <x:c r="AB38" s="4" t="s">
        <x:v>172</x:v>
      </x:c>
      <x:c r="AC38" s="4" t="s">
        <x:v>172</x:v>
      </x:c>
      <x:c r="AD38" s="4" t="s">
        <x:v>195</x:v>
      </x:c>
      <x:c r="AE38" s="4" t="s">
        <x:v>1848</x:v>
      </x:c>
      <x:c r="AF38" s="4" t="s">
        <x:v>1830</x:v>
      </x:c>
      <x:c r="AG38" s="4" t="s">
        <x:v>1941</x:v>
      </x:c>
      <x:c r="AH38" s="4" t="s">
        <x:v>171</x:v>
      </x:c>
      <x:c r="AI38" s="4" t="s">
        <x:v>1942</x:v>
      </x:c>
      <x:c r="AJ38" s="4" t="s">
        <x:v>1943</x:v>
      </x:c>
      <x:c r="AK38" s="4" t="s">
        <x:v>169</x:v>
      </x:c>
      <x:c r="AL38" s="4" t="s">
        <x:v>1841</x:v>
      </x:c>
      <x:c r="AM38" s="66"/>
      <x:c r="AP38" s="67"/>
    </x:row>
    <x:row r="39">
      <x:c r="A39" s="4" t="s">
        <x:v>71</x:v>
      </x:c>
      <x:c r="B39" s="4" t="s">
        <x:v>1944</x:v>
      </x:c>
      <x:c r="C39" s="4" t="s">
        <x:v>1824</x:v>
      </x:c>
      <x:c r="D39" s="4" t="s">
        <x:v>307</x:v>
      </x:c>
      <x:c r="E39" s="4" t="s">
        <x:v>307</x:v>
      </x:c>
      <x:c r="F39" s="65" t="n">
        <x:v>46175.5962037037</x:v>
      </x:c>
      <x:c r="G39" s="4" t="s">
        <x:v>1336</x:v>
      </x:c>
      <x:c r="H39" s="4" t="s">
        <x:v>1409</x:v>
      </x:c>
      <x:c r="I39" s="4" t="s">
        <x:v>1887</x:v>
      </x:c>
      <x:c r="J39" s="4" t="s">
        <x:v>1826</x:v>
      </x:c>
      <x:c r="K39" s="4" t="s">
        <x:v>107</x:v>
      </x:c>
      <x:c r="L39" s="4" t="s">
        <x:v>308</x:v>
      </x:c>
      <x:c r="M39" s="4" t="s">
        <x:v>169</x:v>
      </x:c>
      <x:c r="N39" s="4" t="s">
        <x:v>169</x:v>
      </x:c>
      <x:c r="O39" s="4" t="str">
        <x:v>已取消</x:v>
      </x:c>
      <x:c r="P39" s="4" t="s">
        <x:v>171</x:v>
      </x:c>
      <x:c r="Q39" s="4" t="s">
        <x:v>1817</x:v>
      </x:c>
      <x:c r="R39" s="4" t="s">
        <x:v>1827</x:v>
      </x:c>
      <x:c r="S39" s="4" t="s">
        <x:v>1890</x:v>
      </x:c>
      <x:c r="T39" s="4" t="s">
        <x:v>1829</x:v>
      </x:c>
      <x:c r="U39" s="4" t="s">
        <x:v>298</x:v>
      </x:c>
      <x:c r="V39" s="4" t="s">
        <x:v>298</x:v>
      </x:c>
      <x:c r="W39" s="4" t="s">
        <x:v>172</x:v>
      </x:c>
      <x:c r="X39" s="4" t="s">
        <x:v>171</x:v>
      </x:c>
      <x:c r="Y39" s="4" t="s">
        <x:v>172</x:v>
      </x:c>
      <x:c r="Z39" s="4" t="s">
        <x:v>172</x:v>
      </x:c>
      <x:c r="AA39" s="4" t="s">
        <x:v>172</x:v>
      </x:c>
      <x:c r="AB39" s="4" t="s">
        <x:v>172</x:v>
      </x:c>
      <x:c r="AC39" s="4" t="s">
        <x:v>172</x:v>
      </x:c>
      <x:c r="AD39" s="4" t="str">
        <x:v>疑似连续调整</x:v>
      </x:c>
      <x:c r="AE39" s="4" t="s">
        <x:v>1830</x:v>
      </x:c>
      <x:c r="AF39" s="4" t="s">
        <x:v>1830</x:v>
      </x:c>
      <x:c r="AG39" s="4" t="str">
        <x:v>条件委托已取消；算法编号1000001830651002；创建时间2026-06-02 22:09:23；撤销时间2026-06-02 22:18:32；是否触发否；周期关联等级STRONG_CONTEXT；取消/过期原因无法确认（已完成为不适用）。</x:v>
      </x:c>
      <x:c r="AH39" s="4" t="s">
        <x:v>172</x:v>
      </x:c>
      <x:c r="AI39" s="4" t="str">
        <x:v>/Users/luodaluo/Desktop/30天复盘原始数据/补充证据_历史委托条件委托截图/05_安卓端取消与过期完整生命周期/01_已取消/Screenshot_20260722_212923.jpg</x:v>
      </x:c>
      <x:c r="AJ39" s="4" t="s">
        <x:v>1945</x:v>
      </x:c>
      <x:c r="AK39" s="4" t="s">
        <x:v>169</x:v>
      </x:c>
      <x:c r="AL39" s="4" t="s">
        <x:v>1832</x:v>
      </x:c>
      <x:c r="AM39" s="66" t="str">
        <x:v>1000001830651002</x:v>
      </x:c>
      <x:c r="AN39" t="str">
        <x:v>撤销</x:v>
      </x:c>
      <x:c r="AO39" t="str">
        <x:v>否</x:v>
      </x:c>
      <x:c r="AP39" s="67" t="n">
        <x:v>46175.5962037037</x:v>
      </x:c>
      <x:c r="AQ39" t="str">
        <x:v>STRONG_CONTEXT</x:v>
      </x:c>
      <x:c r="AR39" t="str">
        <x:v>/Users/luodaluo/Desktop/30天复盘原始数据/补充证据_历史委托条件委托截图/05_安卓端取消与过期完整生命周期/01_已取消/Screenshot_20260722_212923.jpg</x:v>
      </x:c>
    </x:row>
    <x:row r="40">
      <x:c r="A40" s="4" t="s">
        <x:v>71</x:v>
      </x:c>
      <x:c r="B40" s="4" t="s">
        <x:v>1946</x:v>
      </x:c>
      <x:c r="C40" s="4" t="s">
        <x:v>1824</x:v>
      </x:c>
      <x:c r="D40" s="4" t="s">
        <x:v>309</x:v>
      </x:c>
      <x:c r="E40" s="4" t="s">
        <x:v>309</x:v>
      </x:c>
      <x:c r="F40" s="65" t="n">
        <x:v>46175.60491898148</x:v>
      </x:c>
      <x:c r="G40" s="4" t="s">
        <x:v>1336</x:v>
      </x:c>
      <x:c r="H40" s="4" t="s">
        <x:v>1409</x:v>
      </x:c>
      <x:c r="I40" s="4" t="s">
        <x:v>1887</x:v>
      </x:c>
      <x:c r="J40" s="4" t="s">
        <x:v>1826</x:v>
      </x:c>
      <x:c r="K40" s="4" t="s">
        <x:v>107</x:v>
      </x:c>
      <x:c r="L40" s="4" t="s">
        <x:v>310</x:v>
      </x:c>
      <x:c r="M40" s="4" t="s">
        <x:v>169</x:v>
      </x:c>
      <x:c r="N40" s="4" t="s">
        <x:v>169</x:v>
      </x:c>
      <x:c r="O40" s="4" t="str">
        <x:v>已取消</x:v>
      </x:c>
      <x:c r="P40" s="4" t="s">
        <x:v>171</x:v>
      </x:c>
      <x:c r="Q40" s="4" t="s">
        <x:v>1817</x:v>
      </x:c>
      <x:c r="R40" s="4" t="s">
        <x:v>1827</x:v>
      </x:c>
      <x:c r="S40" s="4" t="s">
        <x:v>1890</x:v>
      </x:c>
      <x:c r="T40" s="4" t="s">
        <x:v>1829</x:v>
      </x:c>
      <x:c r="U40" s="4" t="s">
        <x:v>298</x:v>
      </x:c>
      <x:c r="V40" s="4" t="s">
        <x:v>298</x:v>
      </x:c>
      <x:c r="W40" s="4" t="s">
        <x:v>172</x:v>
      </x:c>
      <x:c r="X40" s="4" t="s">
        <x:v>171</x:v>
      </x:c>
      <x:c r="Y40" s="4" t="s">
        <x:v>172</x:v>
      </x:c>
      <x:c r="Z40" s="4" t="s">
        <x:v>172</x:v>
      </x:c>
      <x:c r="AA40" s="4" t="s">
        <x:v>172</x:v>
      </x:c>
      <x:c r="AB40" s="4" t="s">
        <x:v>172</x:v>
      </x:c>
      <x:c r="AC40" s="4" t="s">
        <x:v>172</x:v>
      </x:c>
      <x:c r="AD40" s="4" t="str">
        <x:v>疑似连续调整</x:v>
      </x:c>
      <x:c r="AE40" s="4" t="s">
        <x:v>1830</x:v>
      </x:c>
      <x:c r="AF40" s="4" t="s">
        <x:v>1830</x:v>
      </x:c>
      <x:c r="AG40" s="4" t="str">
        <x:v>条件委托已取消；算法编号1000001830742104；创建时间2026-06-02 22:18:33；撤销时间2026-06-02 22:31:05；是否触发否；周期关联等级STRONG_CONTEXT；取消/过期原因无法确认（已完成为不适用）。</x:v>
      </x:c>
      <x:c r="AH40" s="4" t="s">
        <x:v>172</x:v>
      </x:c>
      <x:c r="AI40" s="4" t="str">
        <x:v>/Users/luodaluo/Desktop/30天复盘原始数据/补充证据_历史委托条件委托截图/05_安卓端取消与过期完整生命周期/01_已取消/Screenshot_20260722_212929.jpg</x:v>
      </x:c>
      <x:c r="AJ40" s="4" t="s">
        <x:v>1947</x:v>
      </x:c>
      <x:c r="AK40" s="4" t="s">
        <x:v>169</x:v>
      </x:c>
      <x:c r="AL40" s="4" t="s">
        <x:v>1832</x:v>
      </x:c>
      <x:c r="AM40" s="66" t="str">
        <x:v>1000001830742104</x:v>
      </x:c>
      <x:c r="AN40" t="str">
        <x:v>撤销</x:v>
      </x:c>
      <x:c r="AO40" t="str">
        <x:v>否</x:v>
      </x:c>
      <x:c r="AP40" s="67" t="n">
        <x:v>46175.60491898148</x:v>
      </x:c>
      <x:c r="AQ40" t="str">
        <x:v>STRONG_CONTEXT</x:v>
      </x:c>
      <x:c r="AR40" t="str">
        <x:v>/Users/luodaluo/Desktop/30天复盘原始数据/补充证据_历史委托条件委托截图/05_安卓端取消与过期完整生命周期/01_已取消/Screenshot_20260722_212929.jpg</x:v>
      </x:c>
    </x:row>
    <x:row r="41">
      <x:c r="A41" s="4" t="s">
        <x:v>71</x:v>
      </x:c>
      <x:c r="B41" s="4" t="s">
        <x:v>1948</x:v>
      </x:c>
      <x:c r="C41" s="4" t="s">
        <x:v>1824</x:v>
      </x:c>
      <x:c r="D41" s="4" t="s">
        <x:v>311</x:v>
      </x:c>
      <x:c r="E41" s="4" t="s">
        <x:v>1949</x:v>
      </x:c>
      <x:c r="F41" s="65" t="s">
        <x:v>311</x:v>
      </x:c>
      <x:c r="G41" s="4" t="s">
        <x:v>1336</x:v>
      </x:c>
      <x:c r="H41" s="4" t="s">
        <x:v>1409</x:v>
      </x:c>
      <x:c r="I41" s="4" t="s">
        <x:v>1816</x:v>
      </x:c>
      <x:c r="J41" s="4" t="s">
        <x:v>199</x:v>
      </x:c>
      <x:c r="K41" s="4" t="s">
        <x:v>313</x:v>
      </x:c>
      <x:c r="L41" s="4" t="s">
        <x:v>107</x:v>
      </x:c>
      <x:c r="M41" s="4" t="s">
        <x:v>218</x:v>
      </x:c>
      <x:c r="N41" s="4" t="s">
        <x:v>218</x:v>
      </x:c>
      <x:c r="O41" s="4" t="s">
        <x:v>168</x:v>
      </x:c>
      <x:c r="P41" s="4" t="s">
        <x:v>1817</x:v>
      </x:c>
      <x:c r="Q41" s="4" t="s">
        <x:v>1817</x:v>
      </x:c>
      <x:c r="R41" s="4" t="s">
        <x:v>1818</x:v>
      </x:c>
      <x:c r="S41" s="4" t="s">
        <x:v>312</x:v>
      </x:c>
      <x:c r="T41" s="4" t="s">
        <x:v>1950</x:v>
      </x:c>
      <x:c r="U41" s="4" t="s">
        <x:v>298</x:v>
      </x:c>
      <x:c r="V41" s="4" t="s">
        <x:v>314</x:v>
      </x:c>
      <x:c r="W41" s="4" t="s">
        <x:v>171</x:v>
      </x:c>
      <x:c r="X41" s="4" t="s">
        <x:v>171</x:v>
      </x:c>
      <x:c r="Y41" s="4" t="s">
        <x:v>172</x:v>
      </x:c>
      <x:c r="Z41" s="4" t="s">
        <x:v>172</x:v>
      </x:c>
      <x:c r="AA41" s="4" t="s">
        <x:v>171</x:v>
      </x:c>
      <x:c r="AB41" s="4" t="s">
        <x:v>172</x:v>
      </x:c>
      <x:c r="AC41" s="4" t="s">
        <x:v>172</x:v>
      </x:c>
      <x:c r="AD41" s="4" t="s">
        <x:v>193</x:v>
      </x:c>
      <x:c r="AE41" s="4" t="s">
        <x:v>1830</x:v>
      </x:c>
      <x:c r="AF41" s="4" t="s">
        <x:v>1820</x:v>
      </x:c>
      <x:c r="AG41" s="4" t="s">
        <x:v>1951</x:v>
      </x:c>
      <x:c r="AH41" s="4" t="s">
        <x:v>172</x:v>
      </x:c>
      <x:c r="AI41" s="4" t="s">
        <x:v>1822</x:v>
      </x:c>
      <x:c r="AJ41" s="4" t="s">
        <x:v>1952</x:v>
      </x:c>
      <x:c r="AK41" s="4" t="s">
        <x:v>200</x:v>
      </x:c>
      <x:c r="AL41" s="4" t="s">
        <x:v>1823</x:v>
      </x:c>
      <x:c r="AM41" s="66"/>
      <x:c r="AP41" s="67"/>
    </x:row>
    <x:row r="42">
      <x:c r="A42" s="4" t="s">
        <x:v>71</x:v>
      </x:c>
      <x:c r="B42" s="4" t="s">
        <x:v>1953</x:v>
      </x:c>
      <x:c r="C42" s="4" t="s">
        <x:v>1824</x:v>
      </x:c>
      <x:c r="D42" s="4" t="s">
        <x:v>316</x:v>
      </x:c>
      <x:c r="E42" s="4" t="s">
        <x:v>316</x:v>
      </x:c>
      <x:c r="F42" s="65" t="n">
        <x:v>46175.631157407406</x:v>
      </x:c>
      <x:c r="G42" s="4" t="s">
        <x:v>1336</x:v>
      </x:c>
      <x:c r="H42" s="4" t="s">
        <x:v>1409</x:v>
      </x:c>
      <x:c r="I42" s="4" t="s">
        <x:v>1887</x:v>
      </x:c>
      <x:c r="J42" s="4" t="s">
        <x:v>1826</x:v>
      </x:c>
      <x:c r="K42" s="4" t="s">
        <x:v>107</x:v>
      </x:c>
      <x:c r="L42" s="4" t="s">
        <x:v>317</x:v>
      </x:c>
      <x:c r="M42" s="4" t="s">
        <x:v>169</x:v>
      </x:c>
      <x:c r="N42" s="4" t="s">
        <x:v>169</x:v>
      </x:c>
      <x:c r="O42" s="4" t="str">
        <x:v>已取消</x:v>
      </x:c>
      <x:c r="P42" s="4" t="s">
        <x:v>171</x:v>
      </x:c>
      <x:c r="Q42" s="4" t="s">
        <x:v>1817</x:v>
      </x:c>
      <x:c r="R42" s="4" t="s">
        <x:v>1827</x:v>
      </x:c>
      <x:c r="S42" s="4" t="s">
        <x:v>1890</x:v>
      </x:c>
      <x:c r="T42" s="4" t="s">
        <x:v>1829</x:v>
      </x:c>
      <x:c r="U42" s="4" t="s">
        <x:v>314</x:v>
      </x:c>
      <x:c r="V42" s="4" t="s">
        <x:v>314</x:v>
      </x:c>
      <x:c r="W42" s="4" t="s">
        <x:v>172</x:v>
      </x:c>
      <x:c r="X42" s="4" t="s">
        <x:v>171</x:v>
      </x:c>
      <x:c r="Y42" s="4" t="s">
        <x:v>172</x:v>
      </x:c>
      <x:c r="Z42" s="4" t="s">
        <x:v>172</x:v>
      </x:c>
      <x:c r="AA42" s="4" t="s">
        <x:v>172</x:v>
      </x:c>
      <x:c r="AB42" s="4" t="s">
        <x:v>172</x:v>
      </x:c>
      <x:c r="AC42" s="4" t="s">
        <x:v>172</x:v>
      </x:c>
      <x:c r="AD42" s="4" t="str">
        <x:v>疑似连续调整</x:v>
      </x:c>
      <x:c r="AE42" s="4" t="s">
        <x:v>1830</x:v>
      </x:c>
      <x:c r="AF42" s="4" t="s">
        <x:v>1830</x:v>
      </x:c>
      <x:c r="AG42" s="4" t="str">
        <x:v>条件委托已取消；算法编号1000001830946355；创建时间2026-06-02 22:31:05；撤销时间2026-06-02 23:08:52；是否触发否；周期关联等级STRONG_CONTEXT；取消/过期原因无法确认（已完成为不适用）。</x:v>
      </x:c>
      <x:c r="AH42" s="4" t="s">
        <x:v>172</x:v>
      </x:c>
      <x:c r="AI42" s="4" t="str">
        <x:v>/Users/luodaluo/Desktop/30天复盘原始数据/补充证据_历史委托条件委托截图/05_安卓端取消与过期完整生命周期/01_已取消/Screenshot_20260722_212933.jpg</x:v>
      </x:c>
      <x:c r="AJ42" s="4" t="s">
        <x:v>1954</x:v>
      </x:c>
      <x:c r="AK42" s="4" t="s">
        <x:v>169</x:v>
      </x:c>
      <x:c r="AL42" s="4" t="s">
        <x:v>1832</x:v>
      </x:c>
      <x:c r="AM42" s="66" t="str">
        <x:v>1000001830946355</x:v>
      </x:c>
      <x:c r="AN42" t="str">
        <x:v>撤销</x:v>
      </x:c>
      <x:c r="AO42" t="str">
        <x:v>否</x:v>
      </x:c>
      <x:c r="AP42" s="67" t="n">
        <x:v>46175.631157407406</x:v>
      </x:c>
      <x:c r="AQ42" t="str">
        <x:v>STRONG_CONTEXT</x:v>
      </x:c>
      <x:c r="AR42" t="str">
        <x:v>/Users/luodaluo/Desktop/30天复盘原始数据/补充证据_历史委托条件委托截图/05_安卓端取消与过期完整生命周期/01_已取消/Screenshot_20260722_212933.jpg</x:v>
      </x:c>
    </x:row>
    <x:row r="43">
      <x:c r="A43" s="4" t="s">
        <x:v>71</x:v>
      </x:c>
      <x:c r="B43" s="4" t="s">
        <x:v>1955</x:v>
      </x:c>
      <x:c r="C43" s="4" t="s">
        <x:v>1824</x:v>
      </x:c>
      <x:c r="D43" s="4" t="s">
        <x:v>318</x:v>
      </x:c>
      <x:c r="E43" s="4" t="s">
        <x:v>318</x:v>
      </x:c>
      <x:c r="F43" s="65" t="s">
        <x:v>1956</x:v>
      </x:c>
      <x:c r="G43" s="4" t="s">
        <x:v>1336</x:v>
      </x:c>
      <x:c r="H43" s="4" t="s">
        <x:v>1409</x:v>
      </x:c>
      <x:c r="I43" s="4" t="s">
        <x:v>1834</x:v>
      </x:c>
      <x:c r="J43" s="4" t="s">
        <x:v>1835</x:v>
      </x:c>
      <x:c r="K43" s="4" t="s">
        <x:v>319</x:v>
      </x:c>
      <x:c r="L43" s="4" t="s">
        <x:v>169</x:v>
      </x:c>
      <x:c r="M43" s="4" t="s">
        <x:v>314</x:v>
      </x:c>
      <x:c r="N43" s="4" t="s">
        <x:v>169</x:v>
      </x:c>
      <x:c r="O43" s="4" t="s">
        <x:v>187</x:v>
      </x:c>
      <x:c r="P43" s="4" t="s">
        <x:v>1817</x:v>
      </x:c>
      <x:c r="Q43" s="4" t="s">
        <x:v>1817</x:v>
      </x:c>
      <x:c r="R43" s="4" t="s">
        <x:v>1836</x:v>
      </x:c>
      <x:c r="S43" s="4" t="s">
        <x:v>234</x:v>
      </x:c>
      <x:c r="T43" s="4" t="s">
        <x:v>1837</x:v>
      </x:c>
      <x:c r="U43" s="4" t="s">
        <x:v>314</x:v>
      </x:c>
      <x:c r="V43" s="4" t="s">
        <x:v>314</x:v>
      </x:c>
      <x:c r="W43" s="4" t="s">
        <x:v>172</x:v>
      </x:c>
      <x:c r="X43" s="4" t="s">
        <x:v>171</x:v>
      </x:c>
      <x:c r="Y43" s="4" t="s">
        <x:v>172</x:v>
      </x:c>
      <x:c r="Z43" s="4" t="s">
        <x:v>172</x:v>
      </x:c>
      <x:c r="AA43" s="4" t="s">
        <x:v>172</x:v>
      </x:c>
      <x:c r="AB43" s="4" t="s">
        <x:v>172</x:v>
      </x:c>
      <x:c r="AC43" s="4" t="s">
        <x:v>172</x:v>
      </x:c>
      <x:c r="AD43" s="4" t="s">
        <x:v>195</x:v>
      </x:c>
      <x:c r="AE43" s="4" t="s">
        <x:v>1848</x:v>
      </x:c>
      <x:c r="AF43" s="4" t="s">
        <x:v>1830</x:v>
      </x:c>
      <x:c r="AG43" s="4" t="s">
        <x:v>1957</x:v>
      </x:c>
      <x:c r="AH43" s="4" t="s">
        <x:v>171</x:v>
      </x:c>
      <x:c r="AI43" s="4" t="s">
        <x:v>1958</x:v>
      </x:c>
      <x:c r="AJ43" s="4" t="s">
        <x:v>1959</x:v>
      </x:c>
      <x:c r="AK43" s="4" t="s">
        <x:v>169</x:v>
      </x:c>
      <x:c r="AL43" s="4" t="s">
        <x:v>1841</x:v>
      </x:c>
      <x:c r="AM43" s="66"/>
      <x:c r="AP43" s="67"/>
    </x:row>
    <x:row r="44">
      <x:c r="A44" s="4" t="s">
        <x:v>71</x:v>
      </x:c>
      <x:c r="B44" s="4" t="s">
        <x:v>1960</x:v>
      </x:c>
      <x:c r="C44" s="4" t="s">
        <x:v>1824</x:v>
      </x:c>
      <x:c r="D44" s="4" t="s">
        <x:v>321</x:v>
      </x:c>
      <x:c r="E44" s="4" t="s">
        <x:v>321</x:v>
      </x:c>
      <x:c r="F44" s="65" t="s">
        <x:v>1961</x:v>
      </x:c>
      <x:c r="G44" s="4" t="s">
        <x:v>1336</x:v>
      </x:c>
      <x:c r="H44" s="4" t="s">
        <x:v>1409</x:v>
      </x:c>
      <x:c r="I44" s="4" t="s">
        <x:v>1847</x:v>
      </x:c>
      <x:c r="J44" s="4" t="s">
        <x:v>1835</x:v>
      </x:c>
      <x:c r="K44" s="4" t="s">
        <x:v>322</x:v>
      </x:c>
      <x:c r="L44" s="4" t="s">
        <x:v>169</x:v>
      </x:c>
      <x:c r="M44" s="4" t="s">
        <x:v>1353</x:v>
      </x:c>
      <x:c r="N44" s="4" t="s">
        <x:v>169</x:v>
      </x:c>
      <x:c r="O44" s="4" t="s">
        <x:v>187</x:v>
      </x:c>
      <x:c r="P44" s="4" t="s">
        <x:v>1817</x:v>
      </x:c>
      <x:c r="Q44" s="4" t="s">
        <x:v>1817</x:v>
      </x:c>
      <x:c r="R44" s="4" t="s">
        <x:v>1836</x:v>
      </x:c>
      <x:c r="S44" s="4" t="s">
        <x:v>223</x:v>
      </x:c>
      <x:c r="T44" s="4" t="s">
        <x:v>1837</x:v>
      </x:c>
      <x:c r="U44" s="4" t="s">
        <x:v>314</x:v>
      </x:c>
      <x:c r="V44" s="4" t="s">
        <x:v>314</x:v>
      </x:c>
      <x:c r="W44" s="4" t="s">
        <x:v>172</x:v>
      </x:c>
      <x:c r="X44" s="4" t="s">
        <x:v>171</x:v>
      </x:c>
      <x:c r="Y44" s="4" t="s">
        <x:v>172</x:v>
      </x:c>
      <x:c r="Z44" s="4" t="s">
        <x:v>172</x:v>
      </x:c>
      <x:c r="AA44" s="4" t="s">
        <x:v>172</x:v>
      </x:c>
      <x:c r="AB44" s="4" t="s">
        <x:v>172</x:v>
      </x:c>
      <x:c r="AC44" s="4" t="s">
        <x:v>172</x:v>
      </x:c>
      <x:c r="AD44" s="4" t="s">
        <x:v>195</x:v>
      </x:c>
      <x:c r="AE44" s="4" t="s">
        <x:v>1848</x:v>
      </x:c>
      <x:c r="AF44" s="4" t="s">
        <x:v>1830</x:v>
      </x:c>
      <x:c r="AG44" s="4" t="s">
        <x:v>1962</x:v>
      </x:c>
      <x:c r="AH44" s="4" t="s">
        <x:v>171</x:v>
      </x:c>
      <x:c r="AI44" s="4" t="s">
        <x:v>1963</x:v>
      </x:c>
      <x:c r="AJ44" s="4" t="s">
        <x:v>1964</x:v>
      </x:c>
      <x:c r="AK44" s="4" t="s">
        <x:v>169</x:v>
      </x:c>
      <x:c r="AL44" s="4" t="s">
        <x:v>1841</x:v>
      </x:c>
      <x:c r="AM44" s="66"/>
      <x:c r="AP44" s="67"/>
    </x:row>
    <x:row r="45">
      <x:c r="A45" s="4" t="s">
        <x:v>71</x:v>
      </x:c>
      <x:c r="B45" s="4" t="s">
        <x:v>1965</x:v>
      </x:c>
      <x:c r="C45" s="4" t="s">
        <x:v>1824</x:v>
      </x:c>
      <x:c r="D45" s="4" t="s">
        <x:v>324</x:v>
      </x:c>
      <x:c r="E45" s="4" t="s">
        <x:v>324</x:v>
      </x:c>
      <x:c r="F45" s="65" t="s">
        <x:v>1966</x:v>
      </x:c>
      <x:c r="G45" s="4" t="s">
        <x:v>1336</x:v>
      </x:c>
      <x:c r="H45" s="4" t="s">
        <x:v>1409</x:v>
      </x:c>
      <x:c r="I45" s="4" t="s">
        <x:v>1834</x:v>
      </x:c>
      <x:c r="J45" s="4" t="s">
        <x:v>1835</x:v>
      </x:c>
      <x:c r="K45" s="4" t="s">
        <x:v>325</x:v>
      </x:c>
      <x:c r="L45" s="4" t="s">
        <x:v>169</x:v>
      </x:c>
      <x:c r="M45" s="4" t="s">
        <x:v>314</x:v>
      </x:c>
      <x:c r="N45" s="4" t="s">
        <x:v>169</x:v>
      </x:c>
      <x:c r="O45" s="4" t="s">
        <x:v>187</x:v>
      </x:c>
      <x:c r="P45" s="4" t="s">
        <x:v>1817</x:v>
      </x:c>
      <x:c r="Q45" s="4" t="s">
        <x:v>1817</x:v>
      </x:c>
      <x:c r="R45" s="4" t="s">
        <x:v>1836</x:v>
      </x:c>
      <x:c r="S45" s="4" t="s">
        <x:v>234</x:v>
      </x:c>
      <x:c r="T45" s="4" t="s">
        <x:v>1837</x:v>
      </x:c>
      <x:c r="U45" s="4" t="s">
        <x:v>314</x:v>
      </x:c>
      <x:c r="V45" s="4" t="s">
        <x:v>314</x:v>
      </x:c>
      <x:c r="W45" s="4" t="s">
        <x:v>172</x:v>
      </x:c>
      <x:c r="X45" s="4" t="s">
        <x:v>171</x:v>
      </x:c>
      <x:c r="Y45" s="4" t="s">
        <x:v>172</x:v>
      </x:c>
      <x:c r="Z45" s="4" t="s">
        <x:v>172</x:v>
      </x:c>
      <x:c r="AA45" s="4" t="s">
        <x:v>172</x:v>
      </x:c>
      <x:c r="AB45" s="4" t="s">
        <x:v>172</x:v>
      </x:c>
      <x:c r="AC45" s="4" t="s">
        <x:v>172</x:v>
      </x:c>
      <x:c r="AD45" s="4" t="s">
        <x:v>195</x:v>
      </x:c>
      <x:c r="AE45" s="4" t="s">
        <x:v>1848</x:v>
      </x:c>
      <x:c r="AF45" s="4" t="s">
        <x:v>1830</x:v>
      </x:c>
      <x:c r="AG45" s="4" t="s">
        <x:v>1957</x:v>
      </x:c>
      <x:c r="AH45" s="4" t="s">
        <x:v>171</x:v>
      </x:c>
      <x:c r="AI45" s="4" t="s">
        <x:v>1967</x:v>
      </x:c>
      <x:c r="AJ45" s="4" t="s">
        <x:v>1968</x:v>
      </x:c>
      <x:c r="AK45" s="4" t="s">
        <x:v>169</x:v>
      </x:c>
      <x:c r="AL45" s="4" t="s">
        <x:v>1841</x:v>
      </x:c>
      <x:c r="AM45" s="66"/>
      <x:c r="AP45" s="67"/>
    </x:row>
    <x:row r="46">
      <x:c r="A46" s="4" t="s">
        <x:v>71</x:v>
      </x:c>
      <x:c r="B46" s="4" t="s">
        <x:v>1969</x:v>
      </x:c>
      <x:c r="C46" s="4" t="s">
        <x:v>1824</x:v>
      </x:c>
      <x:c r="D46" s="4" t="s">
        <x:v>326</x:v>
      </x:c>
      <x:c r="E46" s="4" t="s">
        <x:v>326</x:v>
      </x:c>
      <x:c r="F46" s="65" t="n">
        <x:v>46175.66074074074</x:v>
      </x:c>
      <x:c r="G46" s="4" t="s">
        <x:v>1336</x:v>
      </x:c>
      <x:c r="H46" s="4" t="s">
        <x:v>1409</x:v>
      </x:c>
      <x:c r="I46" s="4" t="s">
        <x:v>1887</x:v>
      </x:c>
      <x:c r="J46" s="4" t="s">
        <x:v>1826</x:v>
      </x:c>
      <x:c r="K46" s="4" t="s">
        <x:v>107</x:v>
      </x:c>
      <x:c r="L46" s="4" t="s">
        <x:v>327</x:v>
      </x:c>
      <x:c r="M46" s="4" t="s">
        <x:v>169</x:v>
      </x:c>
      <x:c r="N46" s="4" t="s">
        <x:v>169</x:v>
      </x:c>
      <x:c r="O46" s="4" t="str">
        <x:v>已取消</x:v>
      </x:c>
      <x:c r="P46" s="4" t="s">
        <x:v>171</x:v>
      </x:c>
      <x:c r="Q46" s="4" t="s">
        <x:v>1817</x:v>
      </x:c>
      <x:c r="R46" s="4" t="s">
        <x:v>1827</x:v>
      </x:c>
      <x:c r="S46" s="4" t="s">
        <x:v>1890</x:v>
      </x:c>
      <x:c r="T46" s="4" t="s">
        <x:v>1829</x:v>
      </x:c>
      <x:c r="U46" s="4" t="s">
        <x:v>314</x:v>
      </x:c>
      <x:c r="V46" s="4" t="s">
        <x:v>314</x:v>
      </x:c>
      <x:c r="W46" s="4" t="s">
        <x:v>172</x:v>
      </x:c>
      <x:c r="X46" s="4" t="s">
        <x:v>171</x:v>
      </x:c>
      <x:c r="Y46" s="4" t="s">
        <x:v>172</x:v>
      </x:c>
      <x:c r="Z46" s="4" t="s">
        <x:v>172</x:v>
      </x:c>
      <x:c r="AA46" s="4" t="s">
        <x:v>172</x:v>
      </x:c>
      <x:c r="AB46" s="4" t="s">
        <x:v>172</x:v>
      </x:c>
      <x:c r="AC46" s="4" t="s">
        <x:v>172</x:v>
      </x:c>
      <x:c r="AD46" s="4" t="str">
        <x:v>疑似连续调整</x:v>
      </x:c>
      <x:c r="AE46" s="4" t="s">
        <x:v>1830</x:v>
      </x:c>
      <x:c r="AF46" s="4" t="s">
        <x:v>1830</x:v>
      </x:c>
      <x:c r="AG46" s="4" t="str">
        <x:v>条件委托已取消；算法编号1000001831316229；创建时间2026-06-02 23:08:52；撤销时间2026-06-02 23:51:28；是否触发否；周期关联等级STRONG_CONTEXT；取消/过期原因无法确认（已完成为不适用）。</x:v>
      </x:c>
      <x:c r="AH46" s="4" t="s">
        <x:v>172</x:v>
      </x:c>
      <x:c r="AI46" s="4" t="str">
        <x:v>/Users/luodaluo/Desktop/30天复盘原始数据/补充证据_历史委托条件委托截图/05_安卓端取消与过期完整生命周期/01_已取消/Screenshot_20260722_212947.jpg</x:v>
      </x:c>
      <x:c r="AJ46" s="4" t="s">
        <x:v>1970</x:v>
      </x:c>
      <x:c r="AK46" s="4" t="s">
        <x:v>169</x:v>
      </x:c>
      <x:c r="AL46" s="4" t="s">
        <x:v>1832</x:v>
      </x:c>
      <x:c r="AM46" s="66" t="str">
        <x:v>1000001831316229</x:v>
      </x:c>
      <x:c r="AN46" t="str">
        <x:v>撤销</x:v>
      </x:c>
      <x:c r="AO46" t="str">
        <x:v>否</x:v>
      </x:c>
      <x:c r="AP46" s="67" t="n">
        <x:v>46175.66074074074</x:v>
      </x:c>
      <x:c r="AQ46" t="str">
        <x:v>STRONG_CONTEXT</x:v>
      </x:c>
      <x:c r="AR46" t="str">
        <x:v>/Users/luodaluo/Desktop/30天复盘原始数据/补充证据_历史委托条件委托截图/05_安卓端取消与过期完整生命周期/01_已取消/Screenshot_20260722_212947.jpg</x:v>
      </x:c>
    </x:row>
    <x:row r="47">
      <x:c r="A47" s="4" t="s">
        <x:v>71</x:v>
      </x:c>
      <x:c r="B47" s="4" t="s">
        <x:v>1971</x:v>
      </x:c>
      <x:c r="C47" s="4" t="s">
        <x:v>1824</x:v>
      </x:c>
      <x:c r="D47" s="4" t="s">
        <x:v>328</x:v>
      </x:c>
      <x:c r="E47" s="4" t="s">
        <x:v>1972</x:v>
      </x:c>
      <x:c r="F47" s="65" t="s">
        <x:v>328</x:v>
      </x:c>
      <x:c r="G47" s="4" t="s">
        <x:v>1336</x:v>
      </x:c>
      <x:c r="H47" s="4" t="s">
        <x:v>1409</x:v>
      </x:c>
      <x:c r="I47" s="4" t="s">
        <x:v>1852</x:v>
      </x:c>
      <x:c r="J47" s="4" t="s">
        <x:v>199</x:v>
      </x:c>
      <x:c r="K47" s="4" t="s">
        <x:v>329</x:v>
      </x:c>
      <x:c r="L47" s="4" t="s">
        <x:v>107</x:v>
      </x:c>
      <x:c r="M47" s="4" t="s">
        <x:v>1353</x:v>
      </x:c>
      <x:c r="N47" s="4" t="s">
        <x:v>1353</x:v>
      </x:c>
      <x:c r="O47" s="4" t="s">
        <x:v>168</x:v>
      </x:c>
      <x:c r="P47" s="4" t="s">
        <x:v>1817</x:v>
      </x:c>
      <x:c r="Q47" s="4" t="s">
        <x:v>1817</x:v>
      </x:c>
      <x:c r="R47" s="4" t="s">
        <x:v>1818</x:v>
      </x:c>
      <x:c r="S47" s="4" t="s">
        <x:v>296</x:v>
      </x:c>
      <x:c r="T47" s="4" t="s">
        <x:v>1843</x:v>
      </x:c>
      <x:c r="U47" s="4" t="s">
        <x:v>314</x:v>
      </x:c>
      <x:c r="V47" s="4" t="s">
        <x:v>330</x:v>
      </x:c>
      <x:c r="W47" s="4" t="s">
        <x:v>171</x:v>
      </x:c>
      <x:c r="X47" s="4" t="s">
        <x:v>171</x:v>
      </x:c>
      <x:c r="Y47" s="4" t="s">
        <x:v>172</x:v>
      </x:c>
      <x:c r="Z47" s="4" t="s">
        <x:v>171</x:v>
      </x:c>
      <x:c r="AA47" s="4" t="s">
        <x:v>172</x:v>
      </x:c>
      <x:c r="AB47" s="4" t="s">
        <x:v>172</x:v>
      </x:c>
      <x:c r="AC47" s="4" t="s">
        <x:v>172</x:v>
      </x:c>
      <x:c r="AD47" s="4" t="s">
        <x:v>195</x:v>
      </x:c>
      <x:c r="AE47" s="4" t="s">
        <x:v>1848</x:v>
      </x:c>
      <x:c r="AF47" s="4" t="s">
        <x:v>1820</x:v>
      </x:c>
      <x:c r="AG47" s="4" t="s">
        <x:v>1973</x:v>
      </x:c>
      <x:c r="AH47" s="4" t="s">
        <x:v>171</x:v>
      </x:c>
      <x:c r="AI47" s="4" t="s">
        <x:v>1822</x:v>
      </x:c>
      <x:c r="AJ47" s="4" t="s">
        <x:v>1974</x:v>
      </x:c>
      <x:c r="AK47" s="4" t="s">
        <x:v>1607</x:v>
      </x:c>
      <x:c r="AL47" s="4" t="s">
        <x:v>1823</x:v>
      </x:c>
      <x:c r="AM47" s="66"/>
      <x:c r="AP47" s="67"/>
    </x:row>
    <x:row r="48">
      <x:c r="A48" s="4" t="s">
        <x:v>71</x:v>
      </x:c>
      <x:c r="B48" s="4" t="s">
        <x:v>1975</x:v>
      </x:c>
      <x:c r="C48" s="4" t="s">
        <x:v>1824</x:v>
      </x:c>
      <x:c r="D48" s="4" t="s">
        <x:v>332</x:v>
      </x:c>
      <x:c r="E48" s="4" t="s">
        <x:v>332</x:v>
      </x:c>
      <x:c r="F48" s="65" t="n">
        <x:v>46175.64542824074</x:v>
      </x:c>
      <x:c r="G48" s="4" t="s">
        <x:v>1336</x:v>
      </x:c>
      <x:c r="H48" s="4" t="s">
        <x:v>1409</x:v>
      </x:c>
      <x:c r="I48" s="4" t="s">
        <x:v>1887</x:v>
      </x:c>
      <x:c r="J48" s="4" t="s">
        <x:v>1826</x:v>
      </x:c>
      <x:c r="K48" s="4" t="s">
        <x:v>107</x:v>
      </x:c>
      <x:c r="L48" s="4" t="s">
        <x:v>333</x:v>
      </x:c>
      <x:c r="M48" s="4" t="s">
        <x:v>1353</x:v>
      </x:c>
      <x:c r="N48" s="4" t="s">
        <x:v>169</x:v>
      </x:c>
      <x:c r="O48" s="4" t="str">
        <x:v>已取消</x:v>
      </x:c>
      <x:c r="P48" s="4" t="s">
        <x:v>171</x:v>
      </x:c>
      <x:c r="Q48" s="4" t="s">
        <x:v>1817</x:v>
      </x:c>
      <x:c r="R48" s="4" t="s">
        <x:v>1827</x:v>
      </x:c>
      <x:c r="S48" s="4" t="s">
        <x:v>1890</x:v>
      </x:c>
      <x:c r="T48" s="4" t="s">
        <x:v>1829</x:v>
      </x:c>
      <x:c r="U48" s="4" t="s">
        <x:v>330</x:v>
      </x:c>
      <x:c r="V48" s="4" t="s">
        <x:v>330</x:v>
      </x:c>
      <x:c r="W48" s="4" t="s">
        <x:v>172</x:v>
      </x:c>
      <x:c r="X48" s="4" t="s">
        <x:v>171</x:v>
      </x:c>
      <x:c r="Y48" s="4" t="s">
        <x:v>172</x:v>
      </x:c>
      <x:c r="Z48" s="4" t="s">
        <x:v>172</x:v>
      </x:c>
      <x:c r="AA48" s="4" t="s">
        <x:v>172</x:v>
      </x:c>
      <x:c r="AB48" s="4" t="s">
        <x:v>172</x:v>
      </x:c>
      <x:c r="AC48" s="4" t="s">
        <x:v>172</x:v>
      </x:c>
      <x:c r="AD48" s="4" t="str">
        <x:v>相邻记录</x:v>
      </x:c>
      <x:c r="AE48" s="4" t="s">
        <x:v>1848</x:v>
      </x:c>
      <x:c r="AF48" s="4" t="s">
        <x:v>1848</x:v>
      </x:c>
      <x:c r="AG48" s="4" t="str">
        <x:v>条件委托已取消；算法编号1000001831526346；创建时间2026-06-02 23:27:54；撤销时间2026-06-02 23:29:25；是否触发否；周期关联等级STRONG_CONTEXT；取消/过期原因无法确认（已完成为不适用）。</x:v>
      </x:c>
      <x:c r="AH48" s="4" t="s">
        <x:v>171</x:v>
      </x:c>
      <x:c r="AI48" s="4" t="str">
        <x:v>/Users/luodaluo/Desktop/30天复盘原始数据/补充证据_历史委托条件委托截图/05_安卓端取消与过期完整生命周期/01_已取消/Screenshot_20260722_212952.jpg</x:v>
      </x:c>
      <x:c r="AJ48" s="4" t="s">
        <x:v>1976</x:v>
      </x:c>
      <x:c r="AK48" s="4" t="s">
        <x:v>169</x:v>
      </x:c>
      <x:c r="AL48" s="4" t="s">
        <x:v>1977</x:v>
      </x:c>
      <x:c r="AM48" s="66" t="str">
        <x:v>1000001831526346</x:v>
      </x:c>
      <x:c r="AN48" t="str">
        <x:v>撤销</x:v>
      </x:c>
      <x:c r="AO48" t="str">
        <x:v>否</x:v>
      </x:c>
      <x:c r="AP48" s="67" t="n">
        <x:v>46175.64542824074</x:v>
      </x:c>
      <x:c r="AQ48" t="str">
        <x:v>STRONG_CONTEXT</x:v>
      </x:c>
      <x:c r="AR48" t="str">
        <x:v>/Users/luodaluo/Desktop/30天复盘原始数据/补充证据_历史委托条件委托截图/05_安卓端取消与过期完整生命周期/01_已取消/Screenshot_20260722_212952.jpg</x:v>
      </x:c>
    </x:row>
    <x:row r="49">
      <x:c r="A49" s="4" t="s">
        <x:v>71</x:v>
      </x:c>
      <x:c r="B49" s="4" t="s">
        <x:v>1978</x:v>
      </x:c>
      <x:c r="C49" s="4" t="s">
        <x:v>1824</x:v>
      </x:c>
      <x:c r="D49" s="4" t="s">
        <x:v>334</x:v>
      </x:c>
      <x:c r="E49" s="4" t="s">
        <x:v>334</x:v>
      </x:c>
      <x:c r="F49" s="65" t="n">
        <x:v>46175.65293981481</x:v>
      </x:c>
      <x:c r="G49" s="4" t="s">
        <x:v>1336</x:v>
      </x:c>
      <x:c r="H49" s="4" t="s">
        <x:v>1409</x:v>
      </x:c>
      <x:c r="I49" s="4" t="s">
        <x:v>1887</x:v>
      </x:c>
      <x:c r="J49" s="4" t="s">
        <x:v>203</x:v>
      </x:c>
      <x:c r="K49" s="4" t="s">
        <x:v>107</x:v>
      </x:c>
      <x:c r="L49" s="4" t="s">
        <x:v>335</x:v>
      </x:c>
      <x:c r="M49" s="4" t="s">
        <x:v>169</x:v>
      </x:c>
      <x:c r="N49" s="4" t="s">
        <x:v>169</x:v>
      </x:c>
      <x:c r="O49" s="4" t="str">
        <x:v>已取消</x:v>
      </x:c>
      <x:c r="P49" s="4" t="s">
        <x:v>171</x:v>
      </x:c>
      <x:c r="Q49" s="4" t="s">
        <x:v>1817</x:v>
      </x:c>
      <x:c r="R49" s="4" t="s">
        <x:v>1827</x:v>
      </x:c>
      <x:c r="S49" s="4" t="s">
        <x:v>1888</x:v>
      </x:c>
      <x:c r="T49" s="4" t="s">
        <x:v>1829</x:v>
      </x:c>
      <x:c r="U49" s="4" t="s">
        <x:v>330</x:v>
      </x:c>
      <x:c r="V49" s="4" t="s">
        <x:v>330</x:v>
      </x:c>
      <x:c r="W49" s="4" t="s">
        <x:v>172</x:v>
      </x:c>
      <x:c r="X49" s="4" t="s">
        <x:v>171</x:v>
      </x:c>
      <x:c r="Y49" s="4" t="s">
        <x:v>172</x:v>
      </x:c>
      <x:c r="Z49" s="4" t="s">
        <x:v>172</x:v>
      </x:c>
      <x:c r="AA49" s="4" t="s">
        <x:v>172</x:v>
      </x:c>
      <x:c r="AB49" s="4" t="s">
        <x:v>172</x:v>
      </x:c>
      <x:c r="AC49" s="4" t="s">
        <x:v>172</x:v>
      </x:c>
      <x:c r="AD49" s="4" t="str">
        <x:v>相邻记录</x:v>
      </x:c>
      <x:c r="AE49" s="4" t="s">
        <x:v>1830</x:v>
      </x:c>
      <x:c r="AF49" s="4" t="s">
        <x:v>1830</x:v>
      </x:c>
      <x:c r="AG49" s="4" t="str">
        <x:v>条件委托已取消；算法编号1000001831604235；创建时间2026-06-02 23:32:56；撤销时间2026-06-02 23:40:14；是否触发否；周期关联等级STRONG_CONTEXT；取消/过期原因无法确认（已完成为不适用）。</x:v>
      </x:c>
      <x:c r="AH49" s="4" t="s">
        <x:v>172</x:v>
      </x:c>
      <x:c r="AI49" s="4" t="str">
        <x:v>/Users/luodaluo/Desktop/30天复盘原始数据/补充证据_历史委托条件委托截图/05_安卓端取消与过期完整生命周期/01_已取消/Screenshot_20260722_212956.jpg</x:v>
      </x:c>
      <x:c r="AJ49" s="4" t="s">
        <x:v>1979</x:v>
      </x:c>
      <x:c r="AK49" s="4" t="s">
        <x:v>169</x:v>
      </x:c>
      <x:c r="AL49" s="4" t="s">
        <x:v>1832</x:v>
      </x:c>
      <x:c r="AM49" s="66" t="str">
        <x:v>1000001831604235</x:v>
      </x:c>
      <x:c r="AN49" t="str">
        <x:v>撤销</x:v>
      </x:c>
      <x:c r="AO49" t="str">
        <x:v>否</x:v>
      </x:c>
      <x:c r="AP49" s="67" t="n">
        <x:v>46175.65293981481</x:v>
      </x:c>
      <x:c r="AQ49" t="str">
        <x:v>STRONG_CONTEXT</x:v>
      </x:c>
      <x:c r="AR49" t="str">
        <x:v>/Users/luodaluo/Desktop/30天复盘原始数据/补充证据_历史委托条件委托截图/05_安卓端取消与过期完整生命周期/01_已取消/Screenshot_20260722_212956.jpg</x:v>
      </x:c>
    </x:row>
    <x:row r="50">
      <x:c r="A50" s="4" t="s">
        <x:v>71</x:v>
      </x:c>
      <x:c r="B50" s="4" t="s">
        <x:v>1980</x:v>
      </x:c>
      <x:c r="C50" s="4" t="s">
        <x:v>1824</x:v>
      </x:c>
      <x:c r="D50" s="4" t="s">
        <x:v>336</x:v>
      </x:c>
      <x:c r="E50" s="4" t="s">
        <x:v>336</x:v>
      </x:c>
      <x:c r="F50" s="65" t="n">
        <x:v>46175.6593287037</x:v>
      </x:c>
      <x:c r="G50" s="4" t="s">
        <x:v>1336</x:v>
      </x:c>
      <x:c r="H50" s="4" t="s">
        <x:v>1409</x:v>
      </x:c>
      <x:c r="I50" s="4" t="s">
        <x:v>1887</x:v>
      </x:c>
      <x:c r="J50" s="4" t="s">
        <x:v>203</x:v>
      </x:c>
      <x:c r="K50" s="4" t="s">
        <x:v>107</x:v>
      </x:c>
      <x:c r="L50" s="4" t="s">
        <x:v>337</x:v>
      </x:c>
      <x:c r="M50" s="4" t="s">
        <x:v>169</x:v>
      </x:c>
      <x:c r="N50" s="4" t="s">
        <x:v>169</x:v>
      </x:c>
      <x:c r="O50" s="4" t="str">
        <x:v>已取消</x:v>
      </x:c>
      <x:c r="P50" s="4" t="s">
        <x:v>171</x:v>
      </x:c>
      <x:c r="Q50" s="4" t="s">
        <x:v>1817</x:v>
      </x:c>
      <x:c r="R50" s="4" t="s">
        <x:v>1827</x:v>
      </x:c>
      <x:c r="S50" s="4" t="s">
        <x:v>1888</x:v>
      </x:c>
      <x:c r="T50" s="4" t="s">
        <x:v>1829</x:v>
      </x:c>
      <x:c r="U50" s="4" t="s">
        <x:v>330</x:v>
      </x:c>
      <x:c r="V50" s="4" t="s">
        <x:v>330</x:v>
      </x:c>
      <x:c r="W50" s="4" t="s">
        <x:v>172</x:v>
      </x:c>
      <x:c r="X50" s="4" t="s">
        <x:v>171</x:v>
      </x:c>
      <x:c r="Y50" s="4" t="s">
        <x:v>172</x:v>
      </x:c>
      <x:c r="Z50" s="4" t="s">
        <x:v>172</x:v>
      </x:c>
      <x:c r="AA50" s="4" t="s">
        <x:v>172</x:v>
      </x:c>
      <x:c r="AB50" s="4" t="s">
        <x:v>172</x:v>
      </x:c>
      <x:c r="AC50" s="4" t="s">
        <x:v>172</x:v>
      </x:c>
      <x:c r="AD50" s="4" t="str">
        <x:v>疑似连续调整</x:v>
      </x:c>
      <x:c r="AE50" s="4" t="s">
        <x:v>1830</x:v>
      </x:c>
      <x:c r="AF50" s="4" t="s">
        <x:v>1830</x:v>
      </x:c>
      <x:c r="AG50" s="4" t="str">
        <x:v>条件委托已取消；算法编号1000001831697541；创建时间2026-06-02 23:40:15；撤销时间2026-06-02 23:49:26；是否触发否；周期关联等级STRONG_CONTEXT；取消/过期原因无法确认（已完成为不适用）。</x:v>
      </x:c>
      <x:c r="AH50" s="4" t="s">
        <x:v>172</x:v>
      </x:c>
      <x:c r="AI50" s="4" t="str">
        <x:v>/Users/luodaluo/Desktop/30天复盘原始数据/补充证据_历史委托条件委托截图/05_安卓端取消与过期完整生命周期/01_已取消/Screenshot_20260722_213004.jpg</x:v>
      </x:c>
      <x:c r="AJ50" s="4" t="s">
        <x:v>1981</x:v>
      </x:c>
      <x:c r="AK50" s="4" t="s">
        <x:v>169</x:v>
      </x:c>
      <x:c r="AL50" s="4" t="s">
        <x:v>1832</x:v>
      </x:c>
      <x:c r="AM50" s="66" t="str">
        <x:v>1000001831697541</x:v>
      </x:c>
      <x:c r="AN50" t="str">
        <x:v>撤销</x:v>
      </x:c>
      <x:c r="AO50" t="str">
        <x:v>否</x:v>
      </x:c>
      <x:c r="AP50" s="67" t="n">
        <x:v>46175.6593287037</x:v>
      </x:c>
      <x:c r="AQ50" t="str">
        <x:v>STRONG_CONTEXT</x:v>
      </x:c>
      <x:c r="AR50" t="str">
        <x:v>/Users/luodaluo/Desktop/30天复盘原始数据/补充证据_历史委托条件委托截图/05_安卓端取消与过期完整生命周期/01_已取消/Screenshot_20260722_213004.jpg</x:v>
      </x:c>
    </x:row>
    <x:row r="51">
      <x:c r="A51" s="4" t="s">
        <x:v>71</x:v>
      </x:c>
      <x:c r="B51" s="4" t="s">
        <x:v>1982</x:v>
      </x:c>
      <x:c r="C51" s="4" t="s">
        <x:v>1824</x:v>
      </x:c>
      <x:c r="D51" s="4" t="s">
        <x:v>338</x:v>
      </x:c>
      <x:c r="E51" s="4" t="s">
        <x:v>338</x:v>
      </x:c>
      <x:c r="F51" s="65" t="n">
        <x:v>46175.71236111111</x:v>
      </x:c>
      <x:c r="G51" s="4" t="s">
        <x:v>1336</x:v>
      </x:c>
      <x:c r="H51" s="4" t="s">
        <x:v>1409</x:v>
      </x:c>
      <x:c r="I51" s="4" t="s">
        <x:v>1887</x:v>
      </x:c>
      <x:c r="J51" s="4" t="s">
        <x:v>203</x:v>
      </x:c>
      <x:c r="K51" s="4" t="s">
        <x:v>107</x:v>
      </x:c>
      <x:c r="L51" s="4" t="s">
        <x:v>339</x:v>
      </x:c>
      <x:c r="M51" s="4" t="s">
        <x:v>169</x:v>
      </x:c>
      <x:c r="N51" s="4" t="s">
        <x:v>169</x:v>
      </x:c>
      <x:c r="O51" s="4" t="str">
        <x:v>已取消</x:v>
      </x:c>
      <x:c r="P51" s="4" t="s">
        <x:v>171</x:v>
      </x:c>
      <x:c r="Q51" s="4" t="s">
        <x:v>1817</x:v>
      </x:c>
      <x:c r="R51" s="4" t="s">
        <x:v>1827</x:v>
      </x:c>
      <x:c r="S51" s="4" t="s">
        <x:v>1888</x:v>
      </x:c>
      <x:c r="T51" s="4" t="s">
        <x:v>1829</x:v>
      </x:c>
      <x:c r="U51" s="4" t="s">
        <x:v>330</x:v>
      </x:c>
      <x:c r="V51" s="4" t="s">
        <x:v>330</x:v>
      </x:c>
      <x:c r="W51" s="4" t="s">
        <x:v>172</x:v>
      </x:c>
      <x:c r="X51" s="4" t="s">
        <x:v>171</x:v>
      </x:c>
      <x:c r="Y51" s="4" t="s">
        <x:v>172</x:v>
      </x:c>
      <x:c r="Z51" s="4" t="s">
        <x:v>172</x:v>
      </x:c>
      <x:c r="AA51" s="4" t="s">
        <x:v>172</x:v>
      </x:c>
      <x:c r="AB51" s="4" t="s">
        <x:v>172</x:v>
      </x:c>
      <x:c r="AC51" s="4" t="s">
        <x:v>172</x:v>
      </x:c>
      <x:c r="AD51" s="4" t="str">
        <x:v>疑似连续调整</x:v>
      </x:c>
      <x:c r="AE51" s="4" t="s">
        <x:v>1830</x:v>
      </x:c>
      <x:c r="AF51" s="4" t="s">
        <x:v>1830</x:v>
      </x:c>
      <x:c r="AG51" s="4" t="str">
        <x:v>条件委托已取消；算法编号1000001831791090；创建时间2026-06-02 23:49:26；撤销时间2026-06-03 01:05:48；是否触发否；周期关联等级STRONG_CONTEXT；取消/过期原因无法确认（已完成为不适用）。</x:v>
      </x:c>
      <x:c r="AH51" s="4" t="s">
        <x:v>172</x:v>
      </x:c>
      <x:c r="AI51" s="4" t="str">
        <x:v>/Users/luodaluo/Desktop/30天复盘原始数据/补充证据_历史委托条件委托截图/05_安卓端取消与过期完整生命周期/01_已取消/Screenshot_20260722_213009.jpg</x:v>
      </x:c>
      <x:c r="AJ51" s="4" t="s">
        <x:v>1983</x:v>
      </x:c>
      <x:c r="AK51" s="4" t="s">
        <x:v>169</x:v>
      </x:c>
      <x:c r="AL51" s="4" t="s">
        <x:v>1832</x:v>
      </x:c>
      <x:c r="AM51" s="66" t="str">
        <x:v>1000001831791090</x:v>
      </x:c>
      <x:c r="AN51" t="str">
        <x:v>撤销</x:v>
      </x:c>
      <x:c r="AO51" t="str">
        <x:v>否</x:v>
      </x:c>
      <x:c r="AP51" s="67" t="n">
        <x:v>46175.71236111111</x:v>
      </x:c>
      <x:c r="AQ51" t="str">
        <x:v>STRONG_CONTEXT</x:v>
      </x:c>
      <x:c r="AR51" t="str">
        <x:v>/Users/luodaluo/Desktop/30天复盘原始数据/补充证据_历史委托条件委托截图/05_安卓端取消与过期完整生命周期/01_已取消/Screenshot_20260722_213009.jpg</x:v>
      </x:c>
    </x:row>
    <x:row r="52">
      <x:c r="A52" s="4" t="s">
        <x:v>71</x:v>
      </x:c>
      <x:c r="B52" s="4" t="s">
        <x:v>1984</x:v>
      </x:c>
      <x:c r="C52" s="4" t="s">
        <x:v>1824</x:v>
      </x:c>
      <x:c r="D52" s="4" t="s">
        <x:v>340</x:v>
      </x:c>
      <x:c r="E52" s="4" t="s">
        <x:v>340</x:v>
      </x:c>
      <x:c r="F52" s="65" t="n">
        <x:v>46175.70462962963</x:v>
      </x:c>
      <x:c r="G52" s="4" t="s">
        <x:v>1336</x:v>
      </x:c>
      <x:c r="H52" s="4" t="s">
        <x:v>1409</x:v>
      </x:c>
      <x:c r="I52" s="4" t="s">
        <x:v>1887</x:v>
      </x:c>
      <x:c r="J52" s="4" t="s">
        <x:v>1826</x:v>
      </x:c>
      <x:c r="K52" s="4" t="s">
        <x:v>107</x:v>
      </x:c>
      <x:c r="L52" s="4" t="s">
        <x:v>341</x:v>
      </x:c>
      <x:c r="M52" s="4" t="s">
        <x:v>169</x:v>
      </x:c>
      <x:c r="N52" s="4" t="s">
        <x:v>169</x:v>
      </x:c>
      <x:c r="O52" s="4" t="str">
        <x:v>已取消</x:v>
      </x:c>
      <x:c r="P52" s="4" t="s">
        <x:v>171</x:v>
      </x:c>
      <x:c r="Q52" s="4" t="s">
        <x:v>1817</x:v>
      </x:c>
      <x:c r="R52" s="4" t="s">
        <x:v>1827</x:v>
      </x:c>
      <x:c r="S52" s="4" t="s">
        <x:v>1890</x:v>
      </x:c>
      <x:c r="T52" s="4" t="s">
        <x:v>1829</x:v>
      </x:c>
      <x:c r="U52" s="4" t="s">
        <x:v>330</x:v>
      </x:c>
      <x:c r="V52" s="4" t="s">
        <x:v>330</x:v>
      </x:c>
      <x:c r="W52" s="4" t="s">
        <x:v>172</x:v>
      </x:c>
      <x:c r="X52" s="4" t="s">
        <x:v>171</x:v>
      </x:c>
      <x:c r="Y52" s="4" t="s">
        <x:v>172</x:v>
      </x:c>
      <x:c r="Z52" s="4" t="s">
        <x:v>172</x:v>
      </x:c>
      <x:c r="AA52" s="4" t="s">
        <x:v>172</x:v>
      </x:c>
      <x:c r="AB52" s="4" t="s">
        <x:v>172</x:v>
      </x:c>
      <x:c r="AC52" s="4" t="s">
        <x:v>172</x:v>
      </x:c>
      <x:c r="AD52" s="4" t="str">
        <x:v>相邻记录</x:v>
      </x:c>
      <x:c r="AE52" s="4" t="s">
        <x:v>1830</x:v>
      </x:c>
      <x:c r="AF52" s="4" t="s">
        <x:v>1830</x:v>
      </x:c>
      <x:c r="AG52" s="4" t="str">
        <x:v>条件委托已取消；算法编号1000001831809942；创建时间2026-06-02 23:51:28；撤销时间2026-06-03 00:54:40；是否触发否；周期关联等级STRONG_CONTEXT；取消/过期原因无法确认（已完成为不适用）。</x:v>
      </x:c>
      <x:c r="AH52" s="4" t="s">
        <x:v>172</x:v>
      </x:c>
      <x:c r="AI52" s="4" t="str">
        <x:v>/Users/luodaluo/Desktop/30天复盘原始数据/补充证据_历史委托条件委托截图/05_安卓端取消与过期完整生命周期/01_已取消/Screenshot_20260722_213014.jpg</x:v>
      </x:c>
      <x:c r="AJ52" s="4" t="s">
        <x:v>1985</x:v>
      </x:c>
      <x:c r="AK52" s="4" t="s">
        <x:v>169</x:v>
      </x:c>
      <x:c r="AL52" s="4" t="s">
        <x:v>1832</x:v>
      </x:c>
      <x:c r="AM52" s="66" t="str">
        <x:v>1000001831809942</x:v>
      </x:c>
      <x:c r="AN52" t="str">
        <x:v>撤销</x:v>
      </x:c>
      <x:c r="AO52" t="str">
        <x:v>否</x:v>
      </x:c>
      <x:c r="AP52" s="67" t="n">
        <x:v>46175.70462962963</x:v>
      </x:c>
      <x:c r="AQ52" t="str">
        <x:v>STRONG_CONTEXT</x:v>
      </x:c>
      <x:c r="AR52" t="str">
        <x:v>/Users/luodaluo/Desktop/30天复盘原始数据/补充证据_历史委托条件委托截图/05_安卓端取消与过期完整生命周期/01_已取消/Screenshot_20260722_213014.jpg</x:v>
      </x:c>
    </x:row>
    <x:row r="53">
      <x:c r="A53" s="4" t="s">
        <x:v>71</x:v>
      </x:c>
      <x:c r="B53" s="4" t="s">
        <x:v>1986</x:v>
      </x:c>
      <x:c r="C53" s="4" t="s">
        <x:v>1824</x:v>
      </x:c>
      <x:c r="D53" s="4" t="s">
        <x:v>342</x:v>
      </x:c>
      <x:c r="E53" s="4" t="s">
        <x:v>342</x:v>
      </x:c>
      <x:c r="F53" s="65" t="s">
        <x:v>1987</x:v>
      </x:c>
      <x:c r="G53" s="4" t="s">
        <x:v>1336</x:v>
      </x:c>
      <x:c r="H53" s="4" t="s">
        <x:v>1409</x:v>
      </x:c>
      <x:c r="I53" s="4" t="s">
        <x:v>1847</x:v>
      </x:c>
      <x:c r="J53" s="4" t="s">
        <x:v>1835</x:v>
      </x:c>
      <x:c r="K53" s="4" t="s">
        <x:v>343</x:v>
      </x:c>
      <x:c r="L53" s="4" t="s">
        <x:v>169</x:v>
      </x:c>
      <x:c r="M53" s="4" t="s">
        <x:v>1988</x:v>
      </x:c>
      <x:c r="N53" s="4" t="s">
        <x:v>169</x:v>
      </x:c>
      <x:c r="O53" s="4" t="s">
        <x:v>187</x:v>
      </x:c>
      <x:c r="P53" s="4" t="s">
        <x:v>1817</x:v>
      </x:c>
      <x:c r="Q53" s="4" t="s">
        <x:v>1817</x:v>
      </x:c>
      <x:c r="R53" s="4" t="s">
        <x:v>1836</x:v>
      </x:c>
      <x:c r="S53" s="4" t="s">
        <x:v>223</x:v>
      </x:c>
      <x:c r="T53" s="4" t="s">
        <x:v>1837</x:v>
      </x:c>
      <x:c r="U53" s="4" t="s">
        <x:v>330</x:v>
      </x:c>
      <x:c r="V53" s="4" t="s">
        <x:v>330</x:v>
      </x:c>
      <x:c r="W53" s="4" t="s">
        <x:v>172</x:v>
      </x:c>
      <x:c r="X53" s="4" t="s">
        <x:v>171</x:v>
      </x:c>
      <x:c r="Y53" s="4" t="s">
        <x:v>172</x:v>
      </x:c>
      <x:c r="Z53" s="4" t="s">
        <x:v>172</x:v>
      </x:c>
      <x:c r="AA53" s="4" t="s">
        <x:v>172</x:v>
      </x:c>
      <x:c r="AB53" s="4" t="s">
        <x:v>172</x:v>
      </x:c>
      <x:c r="AC53" s="4" t="s">
        <x:v>172</x:v>
      </x:c>
      <x:c r="AD53" s="4" t="s">
        <x:v>195</x:v>
      </x:c>
      <x:c r="AE53" s="4" t="s">
        <x:v>1848</x:v>
      </x:c>
      <x:c r="AF53" s="4" t="s">
        <x:v>1830</x:v>
      </x:c>
      <x:c r="AG53" s="4" t="s">
        <x:v>1989</x:v>
      </x:c>
      <x:c r="AH53" s="4" t="s">
        <x:v>171</x:v>
      </x:c>
      <x:c r="AI53" s="4" t="s">
        <x:v>1990</x:v>
      </x:c>
      <x:c r="AJ53" s="4" t="s">
        <x:v>1991</x:v>
      </x:c>
      <x:c r="AK53" s="4" t="s">
        <x:v>169</x:v>
      </x:c>
      <x:c r="AL53" s="4" t="s">
        <x:v>1841</x:v>
      </x:c>
      <x:c r="AM53" s="66"/>
      <x:c r="AP53" s="67"/>
    </x:row>
    <x:row r="54">
      <x:c r="A54" s="4" t="s">
        <x:v>71</x:v>
      </x:c>
      <x:c r="B54" s="4" t="s">
        <x:v>1992</x:v>
      </x:c>
      <x:c r="C54" s="4" t="s">
        <x:v>1824</x:v>
      </x:c>
      <x:c r="D54" s="4" t="s">
        <x:v>345</x:v>
      </x:c>
      <x:c r="E54" s="4" t="s">
        <x:v>345</x:v>
      </x:c>
      <x:c r="F54" s="65" t="s">
        <x:v>1993</x:v>
      </x:c>
      <x:c r="G54" s="4" t="s">
        <x:v>1336</x:v>
      </x:c>
      <x:c r="H54" s="4" t="s">
        <x:v>1409</x:v>
      </x:c>
      <x:c r="I54" s="4" t="s">
        <x:v>1847</x:v>
      </x:c>
      <x:c r="J54" s="4" t="s">
        <x:v>1835</x:v>
      </x:c>
      <x:c r="K54" s="4" t="s">
        <x:v>346</x:v>
      </x:c>
      <x:c r="L54" s="4" t="s">
        <x:v>169</x:v>
      </x:c>
      <x:c r="M54" s="4" t="s">
        <x:v>1573</x:v>
      </x:c>
      <x:c r="N54" s="4" t="s">
        <x:v>169</x:v>
      </x:c>
      <x:c r="O54" s="4" t="s">
        <x:v>187</x:v>
      </x:c>
      <x:c r="P54" s="4" t="s">
        <x:v>1817</x:v>
      </x:c>
      <x:c r="Q54" s="4" t="s">
        <x:v>1817</x:v>
      </x:c>
      <x:c r="R54" s="4" t="s">
        <x:v>1836</x:v>
      </x:c>
      <x:c r="S54" s="4" t="s">
        <x:v>223</x:v>
      </x:c>
      <x:c r="T54" s="4" t="s">
        <x:v>1837</x:v>
      </x:c>
      <x:c r="U54" s="4" t="s">
        <x:v>330</x:v>
      </x:c>
      <x:c r="V54" s="4" t="s">
        <x:v>330</x:v>
      </x:c>
      <x:c r="W54" s="4" t="s">
        <x:v>172</x:v>
      </x:c>
      <x:c r="X54" s="4" t="s">
        <x:v>171</x:v>
      </x:c>
      <x:c r="Y54" s="4" t="s">
        <x:v>172</x:v>
      </x:c>
      <x:c r="Z54" s="4" t="s">
        <x:v>172</x:v>
      </x:c>
      <x:c r="AA54" s="4" t="s">
        <x:v>172</x:v>
      </x:c>
      <x:c r="AB54" s="4" t="s">
        <x:v>172</x:v>
      </x:c>
      <x:c r="AC54" s="4" t="s">
        <x:v>172</x:v>
      </x:c>
      <x:c r="AD54" s="4" t="s">
        <x:v>193</x:v>
      </x:c>
      <x:c r="AE54" s="4" t="s">
        <x:v>1830</x:v>
      </x:c>
      <x:c r="AF54" s="4" t="s">
        <x:v>1830</x:v>
      </x:c>
      <x:c r="AG54" s="4" t="s">
        <x:v>1989</x:v>
      </x:c>
      <x:c r="AH54" s="4" t="s">
        <x:v>172</x:v>
      </x:c>
      <x:c r="AI54" s="4" t="s">
        <x:v>1994</x:v>
      </x:c>
      <x:c r="AJ54" s="4" t="s">
        <x:v>1995</x:v>
      </x:c>
      <x:c r="AK54" s="4" t="s">
        <x:v>169</x:v>
      </x:c>
      <x:c r="AL54" s="4" t="s">
        <x:v>1841</x:v>
      </x:c>
      <x:c r="AM54" s="66"/>
      <x:c r="AP54" s="67"/>
    </x:row>
    <x:row r="55">
      <x:c r="A55" s="4" t="s">
        <x:v>71</x:v>
      </x:c>
      <x:c r="B55" s="4" t="s">
        <x:v>1996</x:v>
      </x:c>
      <x:c r="C55" s="4" t="s">
        <x:v>1824</x:v>
      </x:c>
      <x:c r="D55" s="4" t="s">
        <x:v>348</x:v>
      </x:c>
      <x:c r="E55" s="4" t="s">
        <x:v>348</x:v>
      </x:c>
      <x:c r="F55" s="65" t="s">
        <x:v>1997</x:v>
      </x:c>
      <x:c r="G55" s="4" t="s">
        <x:v>1336</x:v>
      </x:c>
      <x:c r="H55" s="4" t="s">
        <x:v>1409</x:v>
      </x:c>
      <x:c r="I55" s="4" t="s">
        <x:v>1847</x:v>
      </x:c>
      <x:c r="J55" s="4" t="s">
        <x:v>1835</x:v>
      </x:c>
      <x:c r="K55" s="4" t="s">
        <x:v>349</x:v>
      </x:c>
      <x:c r="L55" s="4" t="s">
        <x:v>169</x:v>
      </x:c>
      <x:c r="M55" s="4" t="s">
        <x:v>1573</x:v>
      </x:c>
      <x:c r="N55" s="4" t="s">
        <x:v>169</x:v>
      </x:c>
      <x:c r="O55" s="4" t="s">
        <x:v>187</x:v>
      </x:c>
      <x:c r="P55" s="4" t="s">
        <x:v>1817</x:v>
      </x:c>
      <x:c r="Q55" s="4" t="s">
        <x:v>1817</x:v>
      </x:c>
      <x:c r="R55" s="4" t="s">
        <x:v>1836</x:v>
      </x:c>
      <x:c r="S55" s="4" t="s">
        <x:v>223</x:v>
      </x:c>
      <x:c r="T55" s="4" t="s">
        <x:v>1837</x:v>
      </x:c>
      <x:c r="U55" s="4" t="s">
        <x:v>330</x:v>
      </x:c>
      <x:c r="V55" s="4" t="s">
        <x:v>330</x:v>
      </x:c>
      <x:c r="W55" s="4" t="s">
        <x:v>172</x:v>
      </x:c>
      <x:c r="X55" s="4" t="s">
        <x:v>171</x:v>
      </x:c>
      <x:c r="Y55" s="4" t="s">
        <x:v>172</x:v>
      </x:c>
      <x:c r="Z55" s="4" t="s">
        <x:v>172</x:v>
      </x:c>
      <x:c r="AA55" s="4" t="s">
        <x:v>172</x:v>
      </x:c>
      <x:c r="AB55" s="4" t="s">
        <x:v>172</x:v>
      </x:c>
      <x:c r="AC55" s="4" t="s">
        <x:v>172</x:v>
      </x:c>
      <x:c r="AD55" s="4" t="s">
        <x:v>193</x:v>
      </x:c>
      <x:c r="AE55" s="4" t="s">
        <x:v>1830</x:v>
      </x:c>
      <x:c r="AF55" s="4" t="s">
        <x:v>1830</x:v>
      </x:c>
      <x:c r="AG55" s="4" t="s">
        <x:v>1989</x:v>
      </x:c>
      <x:c r="AH55" s="4" t="s">
        <x:v>172</x:v>
      </x:c>
      <x:c r="AI55" s="4" t="s">
        <x:v>1998</x:v>
      </x:c>
      <x:c r="AJ55" s="4" t="s">
        <x:v>1999</x:v>
      </x:c>
      <x:c r="AK55" s="4" t="s">
        <x:v>169</x:v>
      </x:c>
      <x:c r="AL55" s="4" t="s">
        <x:v>1841</x:v>
      </x:c>
      <x:c r="AM55" s="66"/>
      <x:c r="AP55" s="67"/>
    </x:row>
    <x:row r="56">
      <x:c r="A56" s="4" t="s">
        <x:v>71</x:v>
      </x:c>
      <x:c r="B56" s="4" t="s">
        <x:v>2000</x:v>
      </x:c>
      <x:c r="C56" s="4" t="s">
        <x:v>1824</x:v>
      </x:c>
      <x:c r="D56" s="4" t="s">
        <x:v>350</x:v>
      </x:c>
      <x:c r="E56" s="4" t="s">
        <x:v>350</x:v>
      </x:c>
      <x:c r="F56" s="65" t="s">
        <x:v>2001</x:v>
      </x:c>
      <x:c r="G56" s="4" t="s">
        <x:v>1336</x:v>
      </x:c>
      <x:c r="H56" s="4" t="s">
        <x:v>1409</x:v>
      </x:c>
      <x:c r="I56" s="4" t="s">
        <x:v>1834</x:v>
      </x:c>
      <x:c r="J56" s="4" t="s">
        <x:v>1835</x:v>
      </x:c>
      <x:c r="K56" s="4" t="s">
        <x:v>351</x:v>
      </x:c>
      <x:c r="L56" s="4" t="s">
        <x:v>169</x:v>
      </x:c>
      <x:c r="M56" s="4" t="s">
        <x:v>330</x:v>
      </x:c>
      <x:c r="N56" s="4" t="s">
        <x:v>169</x:v>
      </x:c>
      <x:c r="O56" s="4" t="s">
        <x:v>187</x:v>
      </x:c>
      <x:c r="P56" s="4" t="s">
        <x:v>1817</x:v>
      </x:c>
      <x:c r="Q56" s="4" t="s">
        <x:v>1817</x:v>
      </x:c>
      <x:c r="R56" s="4" t="s">
        <x:v>1836</x:v>
      </x:c>
      <x:c r="S56" s="4" t="s">
        <x:v>234</x:v>
      </x:c>
      <x:c r="T56" s="4" t="s">
        <x:v>1837</x:v>
      </x:c>
      <x:c r="U56" s="4" t="s">
        <x:v>330</x:v>
      </x:c>
      <x:c r="V56" s="4" t="s">
        <x:v>330</x:v>
      </x:c>
      <x:c r="W56" s="4" t="s">
        <x:v>172</x:v>
      </x:c>
      <x:c r="X56" s="4" t="s">
        <x:v>171</x:v>
      </x:c>
      <x:c r="Y56" s="4" t="s">
        <x:v>172</x:v>
      </x:c>
      <x:c r="Z56" s="4" t="s">
        <x:v>172</x:v>
      </x:c>
      <x:c r="AA56" s="4" t="s">
        <x:v>172</x:v>
      </x:c>
      <x:c r="AB56" s="4" t="s">
        <x:v>172</x:v>
      </x:c>
      <x:c r="AC56" s="4" t="s">
        <x:v>172</x:v>
      </x:c>
      <x:c r="AD56" s="4" t="s">
        <x:v>195</x:v>
      </x:c>
      <x:c r="AE56" s="4" t="s">
        <x:v>1848</x:v>
      </x:c>
      <x:c r="AF56" s="4" t="s">
        <x:v>1830</x:v>
      </x:c>
      <x:c r="AG56" s="4" t="s">
        <x:v>2002</x:v>
      </x:c>
      <x:c r="AH56" s="4" t="s">
        <x:v>171</x:v>
      </x:c>
      <x:c r="AI56" s="4" t="s">
        <x:v>2003</x:v>
      </x:c>
      <x:c r="AJ56" s="4" t="s">
        <x:v>2004</x:v>
      </x:c>
      <x:c r="AK56" s="4" t="s">
        <x:v>169</x:v>
      </x:c>
      <x:c r="AL56" s="4" t="s">
        <x:v>1841</x:v>
      </x:c>
      <x:c r="AM56" s="66"/>
      <x:c r="AP56" s="67"/>
    </x:row>
    <x:row r="57">
      <x:c r="A57" s="4" t="s">
        <x:v>71</x:v>
      </x:c>
      <x:c r="B57" s="4" t="s">
        <x:v>2005</x:v>
      </x:c>
      <x:c r="C57" s="4" t="s">
        <x:v>1824</x:v>
      </x:c>
      <x:c r="D57" s="4" t="s">
        <x:v>353</x:v>
      </x:c>
      <x:c r="E57" s="4" t="s">
        <x:v>353</x:v>
      </x:c>
      <x:c r="F57" s="65" t="s">
        <x:v>2006</x:v>
      </x:c>
      <x:c r="G57" s="4" t="s">
        <x:v>1336</x:v>
      </x:c>
      <x:c r="H57" s="4" t="s">
        <x:v>1409</x:v>
      </x:c>
      <x:c r="I57" s="4" t="s">
        <x:v>1834</x:v>
      </x:c>
      <x:c r="J57" s="4" t="s">
        <x:v>1835</x:v>
      </x:c>
      <x:c r="K57" s="4" t="s">
        <x:v>354</x:v>
      </x:c>
      <x:c r="L57" s="4" t="s">
        <x:v>169</x:v>
      </x:c>
      <x:c r="M57" s="4" t="s">
        <x:v>330</x:v>
      </x:c>
      <x:c r="N57" s="4" t="s">
        <x:v>169</x:v>
      </x:c>
      <x:c r="O57" s="4" t="s">
        <x:v>187</x:v>
      </x:c>
      <x:c r="P57" s="4" t="s">
        <x:v>1817</x:v>
      </x:c>
      <x:c r="Q57" s="4" t="s">
        <x:v>1817</x:v>
      </x:c>
      <x:c r="R57" s="4" t="s">
        <x:v>1836</x:v>
      </x:c>
      <x:c r="S57" s="4" t="s">
        <x:v>234</x:v>
      </x:c>
      <x:c r="T57" s="4" t="s">
        <x:v>1837</x:v>
      </x:c>
      <x:c r="U57" s="4" t="s">
        <x:v>330</x:v>
      </x:c>
      <x:c r="V57" s="4" t="s">
        <x:v>330</x:v>
      </x:c>
      <x:c r="W57" s="4" t="s">
        <x:v>172</x:v>
      </x:c>
      <x:c r="X57" s="4" t="s">
        <x:v>171</x:v>
      </x:c>
      <x:c r="Y57" s="4" t="s">
        <x:v>172</x:v>
      </x:c>
      <x:c r="Z57" s="4" t="s">
        <x:v>172</x:v>
      </x:c>
      <x:c r="AA57" s="4" t="s">
        <x:v>172</x:v>
      </x:c>
      <x:c r="AB57" s="4" t="s">
        <x:v>172</x:v>
      </x:c>
      <x:c r="AC57" s="4" t="s">
        <x:v>172</x:v>
      </x:c>
      <x:c r="AD57" s="4" t="s">
        <x:v>193</x:v>
      </x:c>
      <x:c r="AE57" s="4" t="s">
        <x:v>1830</x:v>
      </x:c>
      <x:c r="AF57" s="4" t="s">
        <x:v>1830</x:v>
      </x:c>
      <x:c r="AG57" s="4" t="s">
        <x:v>2002</x:v>
      </x:c>
      <x:c r="AH57" s="4" t="s">
        <x:v>172</x:v>
      </x:c>
      <x:c r="AI57" s="4" t="s">
        <x:v>2007</x:v>
      </x:c>
      <x:c r="AJ57" s="4" t="s">
        <x:v>2008</x:v>
      </x:c>
      <x:c r="AK57" s="4" t="s">
        <x:v>169</x:v>
      </x:c>
      <x:c r="AL57" s="4" t="s">
        <x:v>1841</x:v>
      </x:c>
      <x:c r="AM57" s="66"/>
      <x:c r="AP57" s="67"/>
    </x:row>
    <x:row r="58">
      <x:c r="A58" s="4" t="s">
        <x:v>71</x:v>
      </x:c>
      <x:c r="B58" s="4" t="s">
        <x:v>2009</x:v>
      </x:c>
      <x:c r="C58" s="4" t="s">
        <x:v>1824</x:v>
      </x:c>
      <x:c r="D58" s="4" t="s">
        <x:v>356</x:v>
      </x:c>
      <x:c r="E58" s="4" t="s">
        <x:v>2010</x:v>
      </x:c>
      <x:c r="F58" s="65" t="s">
        <x:v>356</x:v>
      </x:c>
      <x:c r="G58" s="4" t="s">
        <x:v>1336</x:v>
      </x:c>
      <x:c r="H58" s="4" t="s">
        <x:v>1409</x:v>
      </x:c>
      <x:c r="I58" s="4" t="s">
        <x:v>1852</x:v>
      </x:c>
      <x:c r="J58" s="4" t="s">
        <x:v>199</x:v>
      </x:c>
      <x:c r="K58" s="4" t="s">
        <x:v>357</x:v>
      </x:c>
      <x:c r="L58" s="4" t="s">
        <x:v>107</x:v>
      </x:c>
      <x:c r="M58" s="4" t="s">
        <x:v>314</x:v>
      </x:c>
      <x:c r="N58" s="4" t="s">
        <x:v>314</x:v>
      </x:c>
      <x:c r="O58" s="4" t="s">
        <x:v>168</x:v>
      </x:c>
      <x:c r="P58" s="4" t="s">
        <x:v>1817</x:v>
      </x:c>
      <x:c r="Q58" s="4" t="s">
        <x:v>1817</x:v>
      </x:c>
      <x:c r="R58" s="4" t="s">
        <x:v>1818</x:v>
      </x:c>
      <x:c r="S58" s="4" t="s">
        <x:v>296</x:v>
      </x:c>
      <x:c r="T58" s="4" t="s">
        <x:v>1843</x:v>
      </x:c>
      <x:c r="U58" s="4" t="s">
        <x:v>330</x:v>
      </x:c>
      <x:c r="V58" s="4" t="s">
        <x:v>358</x:v>
      </x:c>
      <x:c r="W58" s="4" t="s">
        <x:v>171</x:v>
      </x:c>
      <x:c r="X58" s="4" t="s">
        <x:v>171</x:v>
      </x:c>
      <x:c r="Y58" s="4" t="s">
        <x:v>172</x:v>
      </x:c>
      <x:c r="Z58" s="4" t="s">
        <x:v>171</x:v>
      </x:c>
      <x:c r="AA58" s="4" t="s">
        <x:v>172</x:v>
      </x:c>
      <x:c r="AB58" s="4" t="s">
        <x:v>172</x:v>
      </x:c>
      <x:c r="AC58" s="4" t="s">
        <x:v>172</x:v>
      </x:c>
      <x:c r="AD58" s="4" t="s">
        <x:v>195</x:v>
      </x:c>
      <x:c r="AE58" s="4" t="s">
        <x:v>1848</x:v>
      </x:c>
      <x:c r="AF58" s="4" t="s">
        <x:v>1820</x:v>
      </x:c>
      <x:c r="AG58" s="4" t="s">
        <x:v>2011</x:v>
      </x:c>
      <x:c r="AH58" s="4" t="s">
        <x:v>171</x:v>
      </x:c>
      <x:c r="AI58" s="4" t="s">
        <x:v>1822</x:v>
      </x:c>
      <x:c r="AJ58" s="4" t="s">
        <x:v>2012</x:v>
      </x:c>
      <x:c r="AK58" s="4" t="s">
        <x:v>1353</x:v>
      </x:c>
      <x:c r="AL58" s="4" t="s">
        <x:v>1823</x:v>
      </x:c>
      <x:c r="AM58" s="66"/>
      <x:c r="AP58" s="67"/>
    </x:row>
    <x:row r="59">
      <x:c r="A59" s="4" t="s">
        <x:v>71</x:v>
      </x:c>
      <x:c r="B59" s="4" t="s">
        <x:v>1863</x:v>
      </x:c>
      <x:c r="C59" s="4" t="s">
        <x:v>1824</x:v>
      </x:c>
      <x:c r="D59" s="4" t="s">
        <x:v>360</x:v>
      </x:c>
      <x:c r="E59" s="4" t="s">
        <x:v>360</x:v>
      </x:c>
      <x:c r="F59" s="65" t="n">
        <x:v>46175.711377314816</x:v>
      </x:c>
      <x:c r="G59" s="4" t="s">
        <x:v>1336</x:v>
      </x:c>
      <x:c r="H59" s="4" t="s">
        <x:v>1409</x:v>
      </x:c>
      <x:c r="I59" s="4" t="s">
        <x:v>1887</x:v>
      </x:c>
      <x:c r="J59" s="4" t="s">
        <x:v>1826</x:v>
      </x:c>
      <x:c r="K59" s="4" t="s">
        <x:v>107</x:v>
      </x:c>
      <x:c r="L59" s="4" t="s">
        <x:v>327</x:v>
      </x:c>
      <x:c r="M59" s="4" t="s">
        <x:v>169</x:v>
      </x:c>
      <x:c r="N59" s="4" t="s">
        <x:v>169</x:v>
      </x:c>
      <x:c r="O59" s="4" t="str">
        <x:v>已取消</x:v>
      </x:c>
      <x:c r="P59" s="4" t="s">
        <x:v>171</x:v>
      </x:c>
      <x:c r="Q59" s="4" t="s">
        <x:v>1817</x:v>
      </x:c>
      <x:c r="R59" s="4" t="s">
        <x:v>1827</x:v>
      </x:c>
      <x:c r="S59" s="4" t="s">
        <x:v>1890</x:v>
      </x:c>
      <x:c r="T59" s="4" t="s">
        <x:v>1829</x:v>
      </x:c>
      <x:c r="U59" s="4" t="s">
        <x:v>330</x:v>
      </x:c>
      <x:c r="V59" s="4" t="s">
        <x:v>330</x:v>
      </x:c>
      <x:c r="W59" s="4" t="s">
        <x:v>172</x:v>
      </x:c>
      <x:c r="X59" s="4" t="s">
        <x:v>171</x:v>
      </x:c>
      <x:c r="Y59" s="4" t="s">
        <x:v>172</x:v>
      </x:c>
      <x:c r="Z59" s="4" t="s">
        <x:v>172</x:v>
      </x:c>
      <x:c r="AA59" s="4" t="s">
        <x:v>172</x:v>
      </x:c>
      <x:c r="AB59" s="4" t="s">
        <x:v>172</x:v>
      </x:c>
      <x:c r="AC59" s="4" t="s">
        <x:v>172</x:v>
      </x:c>
      <x:c r="AD59" s="4" t="str">
        <x:v>疑似连续调整</x:v>
      </x:c>
      <x:c r="AE59" s="4" t="s">
        <x:v>1830</x:v>
      </x:c>
      <x:c r="AF59" s="4" t="s">
        <x:v>1830</x:v>
      </x:c>
      <x:c r="AG59" s="4" t="str">
        <x:v>条件委托已取消；算法编号1000001832388659；创建时间2026-06-03 00:54:41；撤销时间2026-06-03 01:04:23；是否触发否；周期关联等级STRONG_CONTEXT；取消/过期原因无法确认（已完成为不适用）。</x:v>
      </x:c>
      <x:c r="AH59" s="4" t="s">
        <x:v>172</x:v>
      </x:c>
      <x:c r="AI59" s="4" t="str">
        <x:v>/Users/luodaluo/Desktop/30天复盘原始数据/补充证据_历史委托条件委托截图/05_安卓端取消与过期完整生命周期/01_已取消/Screenshot_20260722_213026.jpg</x:v>
      </x:c>
      <x:c r="AJ59" s="4" t="s">
        <x:v>2013</x:v>
      </x:c>
      <x:c r="AK59" s="4" t="s">
        <x:v>169</x:v>
      </x:c>
      <x:c r="AL59" s="4" t="s">
        <x:v>1832</x:v>
      </x:c>
      <x:c r="AM59" s="66" t="str">
        <x:v>1000001832388659</x:v>
      </x:c>
      <x:c r="AN59" t="str">
        <x:v>撤销</x:v>
      </x:c>
      <x:c r="AO59" t="str">
        <x:v>否</x:v>
      </x:c>
      <x:c r="AP59" s="67" t="n">
        <x:v>46175.711377314816</x:v>
      </x:c>
      <x:c r="AQ59" t="str">
        <x:v>STRONG_CONTEXT</x:v>
      </x:c>
      <x:c r="AR59" t="str">
        <x:v>/Users/luodaluo/Desktop/30天复盘原始数据/补充证据_历史委托条件委托截图/05_安卓端取消与过期完整生命周期/01_已取消/Screenshot_20260722_213026.jpg</x:v>
      </x:c>
    </x:row>
    <x:row r="60">
      <x:c r="A60" s="4" t="s">
        <x:v>71</x:v>
      </x:c>
      <x:c r="B60" s="4" t="s">
        <x:v>2014</x:v>
      </x:c>
      <x:c r="C60" s="4" t="s">
        <x:v>1824</x:v>
      </x:c>
      <x:c r="D60" s="4" t="s">
        <x:v>361</x:v>
      </x:c>
      <x:c r="E60" s="4" t="s">
        <x:v>361</x:v>
      </x:c>
      <x:c r="F60" s="65" t="s">
        <x:v>2015</x:v>
      </x:c>
      <x:c r="G60" s="4" t="s">
        <x:v>1336</x:v>
      </x:c>
      <x:c r="H60" s="4" t="s">
        <x:v>1409</x:v>
      </x:c>
      <x:c r="I60" s="4" t="s">
        <x:v>1834</x:v>
      </x:c>
      <x:c r="J60" s="4" t="s">
        <x:v>1835</x:v>
      </x:c>
      <x:c r="K60" s="4" t="s">
        <x:v>313</x:v>
      </x:c>
      <x:c r="L60" s="4" t="s">
        <x:v>169</x:v>
      </x:c>
      <x:c r="M60" s="4" t="s">
        <x:v>632</x:v>
      </x:c>
      <x:c r="N60" s="4" t="s">
        <x:v>169</x:v>
      </x:c>
      <x:c r="O60" s="4" t="s">
        <x:v>187</x:v>
      </x:c>
      <x:c r="P60" s="4" t="s">
        <x:v>1817</x:v>
      </x:c>
      <x:c r="Q60" s="4" t="s">
        <x:v>1817</x:v>
      </x:c>
      <x:c r="R60" s="4" t="s">
        <x:v>1836</x:v>
      </x:c>
      <x:c r="S60" s="4" t="s">
        <x:v>234</x:v>
      </x:c>
      <x:c r="T60" s="4" t="s">
        <x:v>1837</x:v>
      </x:c>
      <x:c r="U60" s="4" t="s">
        <x:v>358</x:v>
      </x:c>
      <x:c r="V60" s="4" t="s">
        <x:v>358</x:v>
      </x:c>
      <x:c r="W60" s="4" t="s">
        <x:v>172</x:v>
      </x:c>
      <x:c r="X60" s="4" t="s">
        <x:v>171</x:v>
      </x:c>
      <x:c r="Y60" s="4" t="s">
        <x:v>172</x:v>
      </x:c>
      <x:c r="Z60" s="4" t="s">
        <x:v>172</x:v>
      </x:c>
      <x:c r="AA60" s="4" t="s">
        <x:v>172</x:v>
      </x:c>
      <x:c r="AB60" s="4" t="s">
        <x:v>172</x:v>
      </x:c>
      <x:c r="AC60" s="4" t="s">
        <x:v>172</x:v>
      </x:c>
      <x:c r="AD60" s="4" t="s">
        <x:v>195</x:v>
      </x:c>
      <x:c r="AE60" s="4" t="s">
        <x:v>1848</x:v>
      </x:c>
      <x:c r="AF60" s="4" t="s">
        <x:v>1830</x:v>
      </x:c>
      <x:c r="AG60" s="4" t="s">
        <x:v>2016</x:v>
      </x:c>
      <x:c r="AH60" s="4" t="s">
        <x:v>171</x:v>
      </x:c>
      <x:c r="AI60" s="4" t="s">
        <x:v>2017</x:v>
      </x:c>
      <x:c r="AJ60" s="4" t="s">
        <x:v>2018</x:v>
      </x:c>
      <x:c r="AK60" s="4" t="s">
        <x:v>169</x:v>
      </x:c>
      <x:c r="AL60" s="4" t="s">
        <x:v>1841</x:v>
      </x:c>
      <x:c r="AM60" s="66"/>
      <x:c r="AP60" s="67"/>
    </x:row>
    <x:row r="61">
      <x:c r="A61" s="4" t="s">
        <x:v>71</x:v>
      </x:c>
      <x:c r="B61" s="4" t="s">
        <x:v>2019</x:v>
      </x:c>
      <x:c r="C61" s="4" t="s">
        <x:v>1824</x:v>
      </x:c>
      <x:c r="D61" s="4" t="s">
        <x:v>363</x:v>
      </x:c>
      <x:c r="E61" s="4" t="s">
        <x:v>363</x:v>
      </x:c>
      <x:c r="F61" s="65" t="s">
        <x:v>2020</x:v>
      </x:c>
      <x:c r="G61" s="4" t="s">
        <x:v>1336</x:v>
      </x:c>
      <x:c r="H61" s="4" t="s">
        <x:v>1409</x:v>
      </x:c>
      <x:c r="I61" s="4" t="s">
        <x:v>1834</x:v>
      </x:c>
      <x:c r="J61" s="4" t="s">
        <x:v>1835</x:v>
      </x:c>
      <x:c r="K61" s="4" t="s">
        <x:v>364</x:v>
      </x:c>
      <x:c r="L61" s="4" t="s">
        <x:v>169</x:v>
      </x:c>
      <x:c r="M61" s="4" t="s">
        <x:v>358</x:v>
      </x:c>
      <x:c r="N61" s="4" t="s">
        <x:v>169</x:v>
      </x:c>
      <x:c r="O61" s="4" t="s">
        <x:v>187</x:v>
      </x:c>
      <x:c r="P61" s="4" t="s">
        <x:v>1817</x:v>
      </x:c>
      <x:c r="Q61" s="4" t="s">
        <x:v>1817</x:v>
      </x:c>
      <x:c r="R61" s="4" t="s">
        <x:v>1836</x:v>
      </x:c>
      <x:c r="S61" s="4" t="s">
        <x:v>234</x:v>
      </x:c>
      <x:c r="T61" s="4" t="s">
        <x:v>1837</x:v>
      </x:c>
      <x:c r="U61" s="4" t="s">
        <x:v>358</x:v>
      </x:c>
      <x:c r="V61" s="4" t="s">
        <x:v>358</x:v>
      </x:c>
      <x:c r="W61" s="4" t="s">
        <x:v>172</x:v>
      </x:c>
      <x:c r="X61" s="4" t="s">
        <x:v>171</x:v>
      </x:c>
      <x:c r="Y61" s="4" t="s">
        <x:v>172</x:v>
      </x:c>
      <x:c r="Z61" s="4" t="s">
        <x:v>172</x:v>
      </x:c>
      <x:c r="AA61" s="4" t="s">
        <x:v>172</x:v>
      </x:c>
      <x:c r="AB61" s="4" t="s">
        <x:v>172</x:v>
      </x:c>
      <x:c r="AC61" s="4" t="s">
        <x:v>172</x:v>
      </x:c>
      <x:c r="AD61" s="4" t="s">
        <x:v>193</x:v>
      </x:c>
      <x:c r="AE61" s="4" t="s">
        <x:v>1830</x:v>
      </x:c>
      <x:c r="AF61" s="4" t="s">
        <x:v>1830</x:v>
      </x:c>
      <x:c r="AG61" s="4" t="s">
        <x:v>2016</x:v>
      </x:c>
      <x:c r="AH61" s="4" t="s">
        <x:v>172</x:v>
      </x:c>
      <x:c r="AI61" s="4" t="s">
        <x:v>2021</x:v>
      </x:c>
      <x:c r="AJ61" s="4" t="s">
        <x:v>2022</x:v>
      </x:c>
      <x:c r="AK61" s="4" t="s">
        <x:v>169</x:v>
      </x:c>
      <x:c r="AL61" s="4" t="s">
        <x:v>1841</x:v>
      </x:c>
      <x:c r="AM61" s="66"/>
      <x:c r="AP61" s="67"/>
    </x:row>
    <x:row r="62">
      <x:c r="A62" s="4" t="s">
        <x:v>71</x:v>
      </x:c>
      <x:c r="B62" s="4" t="s">
        <x:v>2023</x:v>
      </x:c>
      <x:c r="C62" s="4" t="s">
        <x:v>1824</x:v>
      </x:c>
      <x:c r="D62" s="4" t="s">
        <x:v>366</x:v>
      </x:c>
      <x:c r="E62" s="4" t="s">
        <x:v>366</x:v>
      </x:c>
      <x:c r="F62" s="65" t="n">
        <x:v>46175.77240740741</x:v>
      </x:c>
      <x:c r="G62" s="4" t="s">
        <x:v>1336</x:v>
      </x:c>
      <x:c r="H62" s="4" t="s">
        <x:v>1409</x:v>
      </x:c>
      <x:c r="I62" s="4" t="s">
        <x:v>1887</x:v>
      </x:c>
      <x:c r="J62" s="4" t="s">
        <x:v>1826</x:v>
      </x:c>
      <x:c r="K62" s="4" t="s">
        <x:v>107</x:v>
      </x:c>
      <x:c r="L62" s="4" t="s">
        <x:v>367</x:v>
      </x:c>
      <x:c r="M62" s="4" t="s">
        <x:v>169</x:v>
      </x:c>
      <x:c r="N62" s="4" t="s">
        <x:v>169</x:v>
      </x:c>
      <x:c r="O62" s="4" t="str">
        <x:v>已取消</x:v>
      </x:c>
      <x:c r="P62" s="4" t="s">
        <x:v>171</x:v>
      </x:c>
      <x:c r="Q62" s="4" t="s">
        <x:v>1817</x:v>
      </x:c>
      <x:c r="R62" s="4" t="s">
        <x:v>1827</x:v>
      </x:c>
      <x:c r="S62" s="4" t="s">
        <x:v>1890</x:v>
      </x:c>
      <x:c r="T62" s="4" t="s">
        <x:v>1829</x:v>
      </x:c>
      <x:c r="U62" s="4" t="s">
        <x:v>358</x:v>
      </x:c>
      <x:c r="V62" s="4" t="s">
        <x:v>358</x:v>
      </x:c>
      <x:c r="W62" s="4" t="s">
        <x:v>172</x:v>
      </x:c>
      <x:c r="X62" s="4" t="s">
        <x:v>171</x:v>
      </x:c>
      <x:c r="Y62" s="4" t="s">
        <x:v>172</x:v>
      </x:c>
      <x:c r="Z62" s="4" t="s">
        <x:v>172</x:v>
      </x:c>
      <x:c r="AA62" s="4" t="s">
        <x:v>172</x:v>
      </x:c>
      <x:c r="AB62" s="4" t="s">
        <x:v>172</x:v>
      </x:c>
      <x:c r="AC62" s="4" t="s">
        <x:v>172</x:v>
      </x:c>
      <x:c r="AD62" s="4" t="str">
        <x:v>疑似连续调整</x:v>
      </x:c>
      <x:c r="AE62" s="4" t="s">
        <x:v>1830</x:v>
      </x:c>
      <x:c r="AF62" s="4" t="s">
        <x:v>1830</x:v>
      </x:c>
      <x:c r="AG62" s="4" t="str">
        <x:v>条件委托已取消；算法编号1000001832468676；创建时间2026-06-03 01:04:23；撤销时间2026-06-03 02:32:16；是否触发否；周期关联等级STRONG_CONTEXT；取消/过期原因无法确认（已完成为不适用）。</x:v>
      </x:c>
      <x:c r="AH62" s="4" t="s">
        <x:v>172</x:v>
      </x:c>
      <x:c r="AI62" s="4" t="str">
        <x:v>/Users/luodaluo/Desktop/30天复盘原始数据/补充证据_历史委托条件委托截图/05_安卓端取消与过期完整生命周期/01_已取消/Screenshot_20260722_213032.jpg</x:v>
      </x:c>
      <x:c r="AJ62" s="4" t="s">
        <x:v>2024</x:v>
      </x:c>
      <x:c r="AK62" s="4" t="s">
        <x:v>169</x:v>
      </x:c>
      <x:c r="AL62" s="4" t="s">
        <x:v>1832</x:v>
      </x:c>
      <x:c r="AM62" s="66" t="str">
        <x:v>1000001832468676</x:v>
      </x:c>
      <x:c r="AN62" t="str">
        <x:v>撤销</x:v>
      </x:c>
      <x:c r="AO62" t="str">
        <x:v>否</x:v>
      </x:c>
      <x:c r="AP62" s="67" t="n">
        <x:v>46175.77240740741</x:v>
      </x:c>
      <x:c r="AQ62" t="str">
        <x:v>STRONG_CONTEXT</x:v>
      </x:c>
      <x:c r="AR62" t="str">
        <x:v>/Users/luodaluo/Desktop/30天复盘原始数据/补充证据_历史委托条件委托截图/05_安卓端取消与过期完整生命周期/01_已取消/Screenshot_20260722_213032.jpg</x:v>
      </x:c>
    </x:row>
    <x:row r="63">
      <x:c r="A63" s="4" t="s">
        <x:v>71</x:v>
      </x:c>
      <x:c r="B63" s="4" t="s">
        <x:v>2025</x:v>
      </x:c>
      <x:c r="C63" s="4" t="s">
        <x:v>1824</x:v>
      </x:c>
      <x:c r="D63" s="4" t="s">
        <x:v>368</x:v>
      </x:c>
      <x:c r="E63" s="4" t="s">
        <x:v>368</x:v>
      </x:c>
      <x:c r="F63" s="65" t="s">
        <x:v>2026</x:v>
      </x:c>
      <x:c r="G63" s="4" t="s">
        <x:v>1336</x:v>
      </x:c>
      <x:c r="H63" s="4" t="s">
        <x:v>1409</x:v>
      </x:c>
      <x:c r="I63" s="4" t="s">
        <x:v>1847</x:v>
      </x:c>
      <x:c r="J63" s="4" t="s">
        <x:v>1835</x:v>
      </x:c>
      <x:c r="K63" s="4" t="s">
        <x:v>369</x:v>
      </x:c>
      <x:c r="L63" s="4" t="s">
        <x:v>169</x:v>
      </x:c>
      <x:c r="M63" s="4" t="s">
        <x:v>314</x:v>
      </x:c>
      <x:c r="N63" s="4" t="s">
        <x:v>169</x:v>
      </x:c>
      <x:c r="O63" s="4" t="s">
        <x:v>187</x:v>
      </x:c>
      <x:c r="P63" s="4" t="s">
        <x:v>1817</x:v>
      </x:c>
      <x:c r="Q63" s="4" t="s">
        <x:v>1817</x:v>
      </x:c>
      <x:c r="R63" s="4" t="s">
        <x:v>1836</x:v>
      </x:c>
      <x:c r="S63" s="4" t="s">
        <x:v>223</x:v>
      </x:c>
      <x:c r="T63" s="4" t="s">
        <x:v>1837</x:v>
      </x:c>
      <x:c r="U63" s="4" t="s">
        <x:v>358</x:v>
      </x:c>
      <x:c r="V63" s="4" t="s">
        <x:v>358</x:v>
      </x:c>
      <x:c r="W63" s="4" t="s">
        <x:v>172</x:v>
      </x:c>
      <x:c r="X63" s="4" t="s">
        <x:v>171</x:v>
      </x:c>
      <x:c r="Y63" s="4" t="s">
        <x:v>172</x:v>
      </x:c>
      <x:c r="Z63" s="4" t="s">
        <x:v>172</x:v>
      </x:c>
      <x:c r="AA63" s="4" t="s">
        <x:v>172</x:v>
      </x:c>
      <x:c r="AB63" s="4" t="s">
        <x:v>172</x:v>
      </x:c>
      <x:c r="AC63" s="4" t="s">
        <x:v>172</x:v>
      </x:c>
      <x:c r="AD63" s="4" t="s">
        <x:v>195</x:v>
      </x:c>
      <x:c r="AE63" s="4" t="s">
        <x:v>1848</x:v>
      </x:c>
      <x:c r="AF63" s="4" t="s">
        <x:v>1830</x:v>
      </x:c>
      <x:c r="AG63" s="4" t="s">
        <x:v>2027</x:v>
      </x:c>
      <x:c r="AH63" s="4" t="s">
        <x:v>171</x:v>
      </x:c>
      <x:c r="AI63" s="4" t="s">
        <x:v>2028</x:v>
      </x:c>
      <x:c r="AJ63" s="4" t="s">
        <x:v>2029</x:v>
      </x:c>
      <x:c r="AK63" s="4" t="s">
        <x:v>169</x:v>
      </x:c>
      <x:c r="AL63" s="4" t="s">
        <x:v>1841</x:v>
      </x:c>
      <x:c r="AM63" s="66"/>
      <x:c r="AP63" s="67"/>
    </x:row>
    <x:row r="64">
      <x:c r="A64" s="4" t="s">
        <x:v>71</x:v>
      </x:c>
      <x:c r="B64" s="4" t="s">
        <x:v>2030</x:v>
      </x:c>
      <x:c r="C64" s="4" t="s">
        <x:v>1824</x:v>
      </x:c>
      <x:c r="D64" s="4" t="s">
        <x:v>371</x:v>
      </x:c>
      <x:c r="E64" s="4" t="s">
        <x:v>2031</x:v>
      </x:c>
      <x:c r="F64" s="65" t="s">
        <x:v>371</x:v>
      </x:c>
      <x:c r="G64" s="4" t="s">
        <x:v>1336</x:v>
      </x:c>
      <x:c r="H64" s="4" t="s">
        <x:v>1409</x:v>
      </x:c>
      <x:c r="I64" s="4" t="s">
        <x:v>1852</x:v>
      </x:c>
      <x:c r="J64" s="4" t="s">
        <x:v>199</x:v>
      </x:c>
      <x:c r="K64" s="4" t="s">
        <x:v>372</x:v>
      </x:c>
      <x:c r="L64" s="4" t="s">
        <x:v>107</x:v>
      </x:c>
      <x:c r="M64" s="4" t="s">
        <x:v>314</x:v>
      </x:c>
      <x:c r="N64" s="4" t="s">
        <x:v>314</x:v>
      </x:c>
      <x:c r="O64" s="4" t="s">
        <x:v>168</x:v>
      </x:c>
      <x:c r="P64" s="4" t="s">
        <x:v>1817</x:v>
      </x:c>
      <x:c r="Q64" s="4" t="s">
        <x:v>1817</x:v>
      </x:c>
      <x:c r="R64" s="4" t="s">
        <x:v>1818</x:v>
      </x:c>
      <x:c r="S64" s="4" t="s">
        <x:v>296</x:v>
      </x:c>
      <x:c r="T64" s="4" t="s">
        <x:v>1843</x:v>
      </x:c>
      <x:c r="U64" s="4" t="s">
        <x:v>358</x:v>
      </x:c>
      <x:c r="V64" s="4" t="s">
        <x:v>373</x:v>
      </x:c>
      <x:c r="W64" s="4" t="s">
        <x:v>171</x:v>
      </x:c>
      <x:c r="X64" s="4" t="s">
        <x:v>171</x:v>
      </x:c>
      <x:c r="Y64" s="4" t="s">
        <x:v>172</x:v>
      </x:c>
      <x:c r="Z64" s="4" t="s">
        <x:v>171</x:v>
      </x:c>
      <x:c r="AA64" s="4" t="s">
        <x:v>172</x:v>
      </x:c>
      <x:c r="AB64" s="4" t="s">
        <x:v>172</x:v>
      </x:c>
      <x:c r="AC64" s="4" t="s">
        <x:v>172</x:v>
      </x:c>
      <x:c r="AD64" s="4" t="s">
        <x:v>193</x:v>
      </x:c>
      <x:c r="AE64" s="4" t="s">
        <x:v>1830</x:v>
      </x:c>
      <x:c r="AF64" s="4" t="s">
        <x:v>1820</x:v>
      </x:c>
      <x:c r="AG64" s="4" t="s">
        <x:v>2032</x:v>
      </x:c>
      <x:c r="AH64" s="4" t="s">
        <x:v>172</x:v>
      </x:c>
      <x:c r="AI64" s="4" t="s">
        <x:v>1822</x:v>
      </x:c>
      <x:c r="AJ64" s="4" t="s">
        <x:v>2033</x:v>
      </x:c>
      <x:c r="AK64" s="4" t="s">
        <x:v>200</x:v>
      </x:c>
      <x:c r="AL64" s="4" t="s">
        <x:v>1823</x:v>
      </x:c>
      <x:c r="AM64" s="66"/>
      <x:c r="AP64" s="67"/>
    </x:row>
    <x:row r="65">
      <x:c r="A65" s="4" t="s">
        <x:v>71</x:v>
      </x:c>
      <x:c r="B65" s="4" t="s">
        <x:v>2034</x:v>
      </x:c>
      <x:c r="C65" s="4" t="s">
        <x:v>1824</x:v>
      </x:c>
      <x:c r="D65" s="4" t="s">
        <x:v>375</x:v>
      </x:c>
      <x:c r="E65" s="4" t="s">
        <x:v>375</x:v>
      </x:c>
      <x:c r="F65" s="65" t="s">
        <x:v>2035</x:v>
      </x:c>
      <x:c r="G65" s="4" t="s">
        <x:v>1336</x:v>
      </x:c>
      <x:c r="H65" s="4" t="s">
        <x:v>1409</x:v>
      </x:c>
      <x:c r="I65" s="4" t="s">
        <x:v>1834</x:v>
      </x:c>
      <x:c r="J65" s="4" t="s">
        <x:v>1835</x:v>
      </x:c>
      <x:c r="K65" s="4" t="s">
        <x:v>376</x:v>
      </x:c>
      <x:c r="L65" s="4" t="s">
        <x:v>169</x:v>
      </x:c>
      <x:c r="M65" s="4" t="s">
        <x:v>373</x:v>
      </x:c>
      <x:c r="N65" s="4" t="s">
        <x:v>169</x:v>
      </x:c>
      <x:c r="O65" s="4" t="s">
        <x:v>187</x:v>
      </x:c>
      <x:c r="P65" s="4" t="s">
        <x:v>1817</x:v>
      </x:c>
      <x:c r="Q65" s="4" t="s">
        <x:v>1817</x:v>
      </x:c>
      <x:c r="R65" s="4" t="s">
        <x:v>1836</x:v>
      </x:c>
      <x:c r="S65" s="4" t="s">
        <x:v>234</x:v>
      </x:c>
      <x:c r="T65" s="4" t="s">
        <x:v>1837</x:v>
      </x:c>
      <x:c r="U65" s="4" t="s">
        <x:v>373</x:v>
      </x:c>
      <x:c r="V65" s="4" t="s">
        <x:v>373</x:v>
      </x:c>
      <x:c r="W65" s="4" t="s">
        <x:v>172</x:v>
      </x:c>
      <x:c r="X65" s="4" t="s">
        <x:v>171</x:v>
      </x:c>
      <x:c r="Y65" s="4" t="s">
        <x:v>172</x:v>
      </x:c>
      <x:c r="Z65" s="4" t="s">
        <x:v>172</x:v>
      </x:c>
      <x:c r="AA65" s="4" t="s">
        <x:v>172</x:v>
      </x:c>
      <x:c r="AB65" s="4" t="s">
        <x:v>172</x:v>
      </x:c>
      <x:c r="AC65" s="4" t="s">
        <x:v>172</x:v>
      </x:c>
      <x:c r="AD65" s="4" t="s">
        <x:v>195</x:v>
      </x:c>
      <x:c r="AE65" s="4" t="s">
        <x:v>1848</x:v>
      </x:c>
      <x:c r="AF65" s="4" t="s">
        <x:v>1830</x:v>
      </x:c>
      <x:c r="AG65" s="4" t="s">
        <x:v>2036</x:v>
      </x:c>
      <x:c r="AH65" s="4" t="s">
        <x:v>171</x:v>
      </x:c>
      <x:c r="AI65" s="4" t="s">
        <x:v>2037</x:v>
      </x:c>
      <x:c r="AJ65" s="4" t="s">
        <x:v>2038</x:v>
      </x:c>
      <x:c r="AK65" s="4" t="s">
        <x:v>169</x:v>
      </x:c>
      <x:c r="AL65" s="4" t="s">
        <x:v>1841</x:v>
      </x:c>
      <x:c r="AM65" s="66"/>
      <x:c r="AP65" s="67"/>
    </x:row>
    <x:row r="66">
      <x:c r="A66" s="4" t="s">
        <x:v>71</x:v>
      </x:c>
      <x:c r="B66" s="4" t="s">
        <x:v>2039</x:v>
      </x:c>
      <x:c r="C66" s="4" t="s">
        <x:v>1824</x:v>
      </x:c>
      <x:c r="D66" s="4" t="s">
        <x:v>378</x:v>
      </x:c>
      <x:c r="E66" s="4" t="s">
        <x:v>378</x:v>
      </x:c>
      <x:c r="F66" s="65" t="s">
        <x:v>2040</x:v>
      </x:c>
      <x:c r="G66" s="4" t="s">
        <x:v>1336</x:v>
      </x:c>
      <x:c r="H66" s="4" t="s">
        <x:v>1409</x:v>
      </x:c>
      <x:c r="I66" s="4" t="s">
        <x:v>1834</x:v>
      </x:c>
      <x:c r="J66" s="4" t="s">
        <x:v>1835</x:v>
      </x:c>
      <x:c r="K66" s="4" t="s">
        <x:v>379</x:v>
      </x:c>
      <x:c r="L66" s="4" t="s">
        <x:v>169</x:v>
      </x:c>
      <x:c r="M66" s="4" t="s">
        <x:v>373</x:v>
      </x:c>
      <x:c r="N66" s="4" t="s">
        <x:v>169</x:v>
      </x:c>
      <x:c r="O66" s="4" t="s">
        <x:v>187</x:v>
      </x:c>
      <x:c r="P66" s="4" t="s">
        <x:v>1817</x:v>
      </x:c>
      <x:c r="Q66" s="4" t="s">
        <x:v>1817</x:v>
      </x:c>
      <x:c r="R66" s="4" t="s">
        <x:v>1836</x:v>
      </x:c>
      <x:c r="S66" s="4" t="s">
        <x:v>234</x:v>
      </x:c>
      <x:c r="T66" s="4" t="s">
        <x:v>1837</x:v>
      </x:c>
      <x:c r="U66" s="4" t="s">
        <x:v>373</x:v>
      </x:c>
      <x:c r="V66" s="4" t="s">
        <x:v>373</x:v>
      </x:c>
      <x:c r="W66" s="4" t="s">
        <x:v>172</x:v>
      </x:c>
      <x:c r="X66" s="4" t="s">
        <x:v>171</x:v>
      </x:c>
      <x:c r="Y66" s="4" t="s">
        <x:v>172</x:v>
      </x:c>
      <x:c r="Z66" s="4" t="s">
        <x:v>172</x:v>
      </x:c>
      <x:c r="AA66" s="4" t="s">
        <x:v>172</x:v>
      </x:c>
      <x:c r="AB66" s="4" t="s">
        <x:v>172</x:v>
      </x:c>
      <x:c r="AC66" s="4" t="s">
        <x:v>172</x:v>
      </x:c>
      <x:c r="AD66" s="4" t="s">
        <x:v>193</x:v>
      </x:c>
      <x:c r="AE66" s="4" t="s">
        <x:v>1830</x:v>
      </x:c>
      <x:c r="AF66" s="4" t="s">
        <x:v>1830</x:v>
      </x:c>
      <x:c r="AG66" s="4" t="s">
        <x:v>2036</x:v>
      </x:c>
      <x:c r="AH66" s="4" t="s">
        <x:v>172</x:v>
      </x:c>
      <x:c r="AI66" s="4" t="s">
        <x:v>2041</x:v>
      </x:c>
      <x:c r="AJ66" s="4" t="s">
        <x:v>2042</x:v>
      </x:c>
      <x:c r="AK66" s="4" t="s">
        <x:v>169</x:v>
      </x:c>
      <x:c r="AL66" s="4" t="s">
        <x:v>1841</x:v>
      </x:c>
      <x:c r="AM66" s="66"/>
      <x:c r="AP66" s="67"/>
    </x:row>
    <x:row r="67">
      <x:c r="A67" s="4" t="s">
        <x:v>71</x:v>
      </x:c>
      <x:c r="B67" s="4" t="s">
        <x:v>2043</x:v>
      </x:c>
      <x:c r="C67" s="4" t="s">
        <x:v>1824</x:v>
      </x:c>
      <x:c r="D67" s="4" t="s">
        <x:v>381</x:v>
      </x:c>
      <x:c r="E67" s="4" t="s">
        <x:v>2044</x:v>
      </x:c>
      <x:c r="F67" s="65" t="s">
        <x:v>381</x:v>
      </x:c>
      <x:c r="G67" s="4" t="s">
        <x:v>1336</x:v>
      </x:c>
      <x:c r="H67" s="4" t="s">
        <x:v>1409</x:v>
      </x:c>
      <x:c r="I67" s="4" t="s">
        <x:v>1852</x:v>
      </x:c>
      <x:c r="J67" s="4" t="s">
        <x:v>199</x:v>
      </x:c>
      <x:c r="K67" s="4" t="s">
        <x:v>382</x:v>
      </x:c>
      <x:c r="L67" s="4" t="s">
        <x:v>107</x:v>
      </x:c>
      <x:c r="M67" s="4" t="s">
        <x:v>2045</x:v>
      </x:c>
      <x:c r="N67" s="4" t="s">
        <x:v>2045</x:v>
      </x:c>
      <x:c r="O67" s="4" t="s">
        <x:v>168</x:v>
      </x:c>
      <x:c r="P67" s="4" t="s">
        <x:v>1817</x:v>
      </x:c>
      <x:c r="Q67" s="4" t="s">
        <x:v>1817</x:v>
      </x:c>
      <x:c r="R67" s="4" t="s">
        <x:v>1818</x:v>
      </x:c>
      <x:c r="S67" s="4" t="s">
        <x:v>296</x:v>
      </x:c>
      <x:c r="T67" s="4" t="s">
        <x:v>1843</x:v>
      </x:c>
      <x:c r="U67" s="4" t="s">
        <x:v>373</x:v>
      </x:c>
      <x:c r="V67" s="4" t="s">
        <x:v>383</x:v>
      </x:c>
      <x:c r="W67" s="4" t="s">
        <x:v>171</x:v>
      </x:c>
      <x:c r="X67" s="4" t="s">
        <x:v>171</x:v>
      </x:c>
      <x:c r="Y67" s="4" t="s">
        <x:v>172</x:v>
      </x:c>
      <x:c r="Z67" s="4" t="s">
        <x:v>171</x:v>
      </x:c>
      <x:c r="AA67" s="4" t="s">
        <x:v>172</x:v>
      </x:c>
      <x:c r="AB67" s="4" t="s">
        <x:v>172</x:v>
      </x:c>
      <x:c r="AC67" s="4" t="s">
        <x:v>172</x:v>
      </x:c>
      <x:c r="AD67" s="4" t="s">
        <x:v>195</x:v>
      </x:c>
      <x:c r="AE67" s="4" t="s">
        <x:v>1848</x:v>
      </x:c>
      <x:c r="AF67" s="4" t="s">
        <x:v>1820</x:v>
      </x:c>
      <x:c r="AG67" s="4" t="s">
        <x:v>2046</x:v>
      </x:c>
      <x:c r="AH67" s="4" t="s">
        <x:v>171</x:v>
      </x:c>
      <x:c r="AI67" s="4" t="s">
        <x:v>1822</x:v>
      </x:c>
      <x:c r="AJ67" s="4" t="s">
        <x:v>2047</x:v>
      </x:c>
      <x:c r="AK67" s="4" t="s">
        <x:v>358</x:v>
      </x:c>
      <x:c r="AL67" s="4" t="s">
        <x:v>1823</x:v>
      </x:c>
      <x:c r="AM67" s="66"/>
      <x:c r="AP67" s="67"/>
    </x:row>
    <x:row r="68">
      <x:c r="A68" s="4" t="s">
        <x:v>71</x:v>
      </x:c>
      <x:c r="B68" s="4" t="s">
        <x:v>2048</x:v>
      </x:c>
      <x:c r="C68" s="4" t="s">
        <x:v>1824</x:v>
      </x:c>
      <x:c r="D68" s="4" t="s">
        <x:v>385</x:v>
      </x:c>
      <x:c r="E68" s="4" t="s">
        <x:v>385</x:v>
      </x:c>
      <x:c r="F68" s="65" t="n">
        <x:v>46175.78107638889</x:v>
      </x:c>
      <x:c r="G68" s="4" t="s">
        <x:v>1336</x:v>
      </x:c>
      <x:c r="H68" s="4" t="s">
        <x:v>1409</x:v>
      </x:c>
      <x:c r="I68" s="4" t="s">
        <x:v>1887</x:v>
      </x:c>
      <x:c r="J68" s="4" t="s">
        <x:v>1826</x:v>
      </x:c>
      <x:c r="K68" s="4" t="s">
        <x:v>107</x:v>
      </x:c>
      <x:c r="L68" s="4" t="s">
        <x:v>386</x:v>
      </x:c>
      <x:c r="M68" s="4" t="s">
        <x:v>169</x:v>
      </x:c>
      <x:c r="N68" s="4" t="s">
        <x:v>169</x:v>
      </x:c>
      <x:c r="O68" s="4" t="str">
        <x:v>已取消</x:v>
      </x:c>
      <x:c r="P68" s="4" t="s">
        <x:v>171</x:v>
      </x:c>
      <x:c r="Q68" s="4" t="s">
        <x:v>1817</x:v>
      </x:c>
      <x:c r="R68" s="4" t="s">
        <x:v>1827</x:v>
      </x:c>
      <x:c r="S68" s="4" t="s">
        <x:v>1890</x:v>
      </x:c>
      <x:c r="T68" s="4" t="s">
        <x:v>1829</x:v>
      </x:c>
      <x:c r="U68" s="4" t="s">
        <x:v>383</x:v>
      </x:c>
      <x:c r="V68" s="4" t="s">
        <x:v>383</x:v>
      </x:c>
      <x:c r="W68" s="4" t="s">
        <x:v>172</x:v>
      </x:c>
      <x:c r="X68" s="4" t="s">
        <x:v>171</x:v>
      </x:c>
      <x:c r="Y68" s="4" t="s">
        <x:v>172</x:v>
      </x:c>
      <x:c r="Z68" s="4" t="s">
        <x:v>172</x:v>
      </x:c>
      <x:c r="AA68" s="4" t="s">
        <x:v>172</x:v>
      </x:c>
      <x:c r="AB68" s="4" t="s">
        <x:v>172</x:v>
      </x:c>
      <x:c r="AC68" s="4" t="s">
        <x:v>172</x:v>
      </x:c>
      <x:c r="AD68" s="4" t="str">
        <x:v>疑似连续调整</x:v>
      </x:c>
      <x:c r="AE68" s="4" t="s">
        <x:v>1830</x:v>
      </x:c>
      <x:c r="AF68" s="4" t="s">
        <x:v>1830</x:v>
      </x:c>
      <x:c r="AG68" s="4" t="str">
        <x:v>条件委托已取消；算法编号1000001833129681；创建时间2026-06-03 02:32:16；撤销时间2026-06-03 02:44:45；是否触发否；周期关联等级STRONG_CONTEXT；取消/过期原因无法确认（已完成为不适用）。</x:v>
      </x:c>
      <x:c r="AH68" s="4" t="s">
        <x:v>172</x:v>
      </x:c>
      <x:c r="AI68" s="4" t="str">
        <x:v>/Users/luodaluo/Desktop/30天复盘原始数据/补充证据_历史委托条件委托截图/05_安卓端取消与过期完整生命周期/01_已取消/Screenshot_20260722_213036.jpg</x:v>
      </x:c>
      <x:c r="AJ68" s="4" t="s">
        <x:v>2049</x:v>
      </x:c>
      <x:c r="AK68" s="4" t="s">
        <x:v>169</x:v>
      </x:c>
      <x:c r="AL68" s="4" t="s">
        <x:v>1832</x:v>
      </x:c>
      <x:c r="AM68" s="66" t="str">
        <x:v>1000001833129681</x:v>
      </x:c>
      <x:c r="AN68" t="str">
        <x:v>撤销</x:v>
      </x:c>
      <x:c r="AO68" t="str">
        <x:v>否</x:v>
      </x:c>
      <x:c r="AP68" s="67" t="n">
        <x:v>46175.78107638889</x:v>
      </x:c>
      <x:c r="AQ68" t="str">
        <x:v>STRONG_CONTEXT</x:v>
      </x:c>
      <x:c r="AR68" t="str">
        <x:v>/Users/luodaluo/Desktop/30天复盘原始数据/补充证据_历史委托条件委托截图/05_安卓端取消与过期完整生命周期/01_已取消/Screenshot_20260722_213036.jpg</x:v>
      </x:c>
    </x:row>
    <x:row r="69">
      <x:c r="A69" s="4" t="s">
        <x:v>71</x:v>
      </x:c>
      <x:c r="B69" s="4" t="s">
        <x:v>2050</x:v>
      </x:c>
      <x:c r="C69" s="4" t="s">
        <x:v>1824</x:v>
      </x:c>
      <x:c r="D69" s="4" t="s">
        <x:v>387</x:v>
      </x:c>
      <x:c r="E69" s="4" t="s">
        <x:v>387</x:v>
      </x:c>
      <x:c r="F69" s="65" t="s">
        <x:v>2051</x:v>
      </x:c>
      <x:c r="G69" s="4" t="s">
        <x:v>1336</x:v>
      </x:c>
      <x:c r="H69" s="4" t="s">
        <x:v>1409</x:v>
      </x:c>
      <x:c r="I69" s="4" t="s">
        <x:v>1834</x:v>
      </x:c>
      <x:c r="J69" s="4" t="s">
        <x:v>1835</x:v>
      </x:c>
      <x:c r="K69" s="4" t="s">
        <x:v>388</x:v>
      </x:c>
      <x:c r="L69" s="4" t="s">
        <x:v>169</x:v>
      </x:c>
      <x:c r="M69" s="4" t="s">
        <x:v>383</x:v>
      </x:c>
      <x:c r="N69" s="4" t="s">
        <x:v>169</x:v>
      </x:c>
      <x:c r="O69" s="4" t="s">
        <x:v>187</x:v>
      </x:c>
      <x:c r="P69" s="4" t="s">
        <x:v>1817</x:v>
      </x:c>
      <x:c r="Q69" s="4" t="s">
        <x:v>1817</x:v>
      </x:c>
      <x:c r="R69" s="4" t="s">
        <x:v>1836</x:v>
      </x:c>
      <x:c r="S69" s="4" t="s">
        <x:v>234</x:v>
      </x:c>
      <x:c r="T69" s="4" t="s">
        <x:v>1837</x:v>
      </x:c>
      <x:c r="U69" s="4" t="s">
        <x:v>383</x:v>
      </x:c>
      <x:c r="V69" s="4" t="s">
        <x:v>383</x:v>
      </x:c>
      <x:c r="W69" s="4" t="s">
        <x:v>172</x:v>
      </x:c>
      <x:c r="X69" s="4" t="s">
        <x:v>171</x:v>
      </x:c>
      <x:c r="Y69" s="4" t="s">
        <x:v>172</x:v>
      </x:c>
      <x:c r="Z69" s="4" t="s">
        <x:v>172</x:v>
      </x:c>
      <x:c r="AA69" s="4" t="s">
        <x:v>172</x:v>
      </x:c>
      <x:c r="AB69" s="4" t="s">
        <x:v>172</x:v>
      </x:c>
      <x:c r="AC69" s="4" t="s">
        <x:v>172</x:v>
      </x:c>
      <x:c r="AD69" s="4" t="s">
        <x:v>195</x:v>
      </x:c>
      <x:c r="AE69" s="4" t="s">
        <x:v>1848</x:v>
      </x:c>
      <x:c r="AF69" s="4" t="s">
        <x:v>1830</x:v>
      </x:c>
      <x:c r="AG69" s="4" t="s">
        <x:v>2052</x:v>
      </x:c>
      <x:c r="AH69" s="4" t="s">
        <x:v>171</x:v>
      </x:c>
      <x:c r="AI69" s="4" t="s">
        <x:v>2053</x:v>
      </x:c>
      <x:c r="AJ69" s="4" t="s">
        <x:v>2054</x:v>
      </x:c>
      <x:c r="AK69" s="4" t="s">
        <x:v>169</x:v>
      </x:c>
      <x:c r="AL69" s="4" t="s">
        <x:v>1841</x:v>
      </x:c>
      <x:c r="AM69" s="66"/>
      <x:c r="AP69" s="67"/>
    </x:row>
    <x:row r="70">
      <x:c r="A70" s="4" t="s">
        <x:v>71</x:v>
      </x:c>
      <x:c r="B70" s="4" t="s">
        <x:v>2055</x:v>
      </x:c>
      <x:c r="C70" s="4" t="s">
        <x:v>1824</x:v>
      </x:c>
      <x:c r="D70" s="4" t="s">
        <x:v>390</x:v>
      </x:c>
      <x:c r="E70" s="4" t="s">
        <x:v>390</x:v>
      </x:c>
      <x:c r="F70" s="65" t="s">
        <x:v>397</x:v>
      </x:c>
      <x:c r="G70" s="4" t="s">
        <x:v>1336</x:v>
      </x:c>
      <x:c r="H70" s="4" t="s">
        <x:v>1409</x:v>
      </x:c>
      <x:c r="I70" s="4" t="s">
        <x:v>1834</x:v>
      </x:c>
      <x:c r="J70" s="4" t="s">
        <x:v>1835</x:v>
      </x:c>
      <x:c r="K70" s="4" t="s">
        <x:v>391</x:v>
      </x:c>
      <x:c r="L70" s="4" t="s">
        <x:v>169</x:v>
      </x:c>
      <x:c r="M70" s="4" t="s">
        <x:v>383</x:v>
      </x:c>
      <x:c r="N70" s="4" t="s">
        <x:v>169</x:v>
      </x:c>
      <x:c r="O70" s="4" t="s">
        <x:v>236</x:v>
      </x:c>
      <x:c r="P70" s="4" t="s">
        <x:v>1817</x:v>
      </x:c>
      <x:c r="Q70" s="4" t="s">
        <x:v>1817</x:v>
      </x:c>
      <x:c r="R70" s="4" t="s">
        <x:v>1836</x:v>
      </x:c>
      <x:c r="S70" s="4" t="s">
        <x:v>234</x:v>
      </x:c>
      <x:c r="T70" s="4" t="s">
        <x:v>1837</x:v>
      </x:c>
      <x:c r="U70" s="4" t="s">
        <x:v>383</x:v>
      </x:c>
      <x:c r="V70" s="4" t="s">
        <x:v>383</x:v>
      </x:c>
      <x:c r="W70" s="4" t="s">
        <x:v>172</x:v>
      </x:c>
      <x:c r="X70" s="4" t="s">
        <x:v>171</x:v>
      </x:c>
      <x:c r="Y70" s="4" t="s">
        <x:v>172</x:v>
      </x:c>
      <x:c r="Z70" s="4" t="s">
        <x:v>172</x:v>
      </x:c>
      <x:c r="AA70" s="4" t="s">
        <x:v>172</x:v>
      </x:c>
      <x:c r="AB70" s="4" t="s">
        <x:v>172</x:v>
      </x:c>
      <x:c r="AC70" s="4" t="s">
        <x:v>172</x:v>
      </x:c>
      <x:c r="AD70" s="4" t="s">
        <x:v>193</x:v>
      </x:c>
      <x:c r="AE70" s="4" t="s">
        <x:v>1830</x:v>
      </x:c>
      <x:c r="AF70" s="4" t="s">
        <x:v>1830</x:v>
      </x:c>
      <x:c r="AG70" s="4" t="s">
        <x:v>2052</x:v>
      </x:c>
      <x:c r="AH70" s="4" t="s">
        <x:v>172</x:v>
      </x:c>
      <x:c r="AI70" s="4" t="s">
        <x:v>2056</x:v>
      </x:c>
      <x:c r="AJ70" s="4" t="s">
        <x:v>2057</x:v>
      </x:c>
      <x:c r="AK70" s="4" t="s">
        <x:v>169</x:v>
      </x:c>
      <x:c r="AL70" s="4" t="s">
        <x:v>1841</x:v>
      </x:c>
      <x:c r="AM70" s="66"/>
      <x:c r="AP70" s="67"/>
    </x:row>
    <x:row r="71">
      <x:c r="A71" s="4" t="s">
        <x:v>71</x:v>
      </x:c>
      <x:c r="B71" s="4" t="s">
        <x:v>2058</x:v>
      </x:c>
      <x:c r="C71" s="4" t="s">
        <x:v>1824</x:v>
      </x:c>
      <x:c r="D71" s="4" t="s">
        <x:v>393</x:v>
      </x:c>
      <x:c r="E71" s="4" t="s">
        <x:v>393</x:v>
      </x:c>
      <x:c r="F71" s="65" t="n">
        <x:v>46175.81175925926</x:v>
      </x:c>
      <x:c r="G71" s="4" t="s">
        <x:v>1336</x:v>
      </x:c>
      <x:c r="H71" s="4" t="s">
        <x:v>1409</x:v>
      </x:c>
      <x:c r="I71" s="4" t="s">
        <x:v>1887</x:v>
      </x:c>
      <x:c r="J71" s="4" t="s">
        <x:v>1826</x:v>
      </x:c>
      <x:c r="K71" s="4" t="s">
        <x:v>107</x:v>
      </x:c>
      <x:c r="L71" s="4" t="s">
        <x:v>394</x:v>
      </x:c>
      <x:c r="M71" s="4" t="s">
        <x:v>169</x:v>
      </x:c>
      <x:c r="N71" s="4" t="s">
        <x:v>169</x:v>
      </x:c>
      <x:c r="O71" s="4" t="str">
        <x:v>已取消</x:v>
      </x:c>
      <x:c r="P71" s="4" t="s">
        <x:v>171</x:v>
      </x:c>
      <x:c r="Q71" s="4" t="s">
        <x:v>1817</x:v>
      </x:c>
      <x:c r="R71" s="4" t="s">
        <x:v>1827</x:v>
      </x:c>
      <x:c r="S71" s="4" t="s">
        <x:v>1890</x:v>
      </x:c>
      <x:c r="T71" s="4" t="s">
        <x:v>1829</x:v>
      </x:c>
      <x:c r="U71" s="4" t="s">
        <x:v>383</x:v>
      </x:c>
      <x:c r="V71" s="4" t="s">
        <x:v>383</x:v>
      </x:c>
      <x:c r="W71" s="4" t="s">
        <x:v>172</x:v>
      </x:c>
      <x:c r="X71" s="4" t="s">
        <x:v>171</x:v>
      </x:c>
      <x:c r="Y71" s="4" t="s">
        <x:v>172</x:v>
      </x:c>
      <x:c r="Z71" s="4" t="s">
        <x:v>172</x:v>
      </x:c>
      <x:c r="AA71" s="4" t="s">
        <x:v>172</x:v>
      </x:c>
      <x:c r="AB71" s="4" t="s">
        <x:v>172</x:v>
      </x:c>
      <x:c r="AC71" s="4" t="s">
        <x:v>172</x:v>
      </x:c>
      <x:c r="AD71" s="4" t="str">
        <x:v>疑似连续调整</x:v>
      </x:c>
      <x:c r="AE71" s="4" t="s">
        <x:v>1830</x:v>
      </x:c>
      <x:c r="AF71" s="4" t="s">
        <x:v>1830</x:v>
      </x:c>
      <x:c r="AG71" s="4" t="str">
        <x:v>条件委托已取消；算法编号1000001833213621；创建时间2026-06-03 02:44:45；撤销时间2026-06-03 03:28:56；是否触发否；周期关联等级STRONG_CONTEXT；取消/过期原因无法确认（已完成为不适用）。</x:v>
      </x:c>
      <x:c r="AH71" s="4" t="s">
        <x:v>172</x:v>
      </x:c>
      <x:c r="AI71" s="4" t="str">
        <x:v>/Users/luodaluo/Desktop/30天复盘原始数据/补充证据_历史委托条件委托截图/05_安卓端取消与过期完整生命周期/01_已取消/Screenshot_20260722_213043.jpg</x:v>
      </x:c>
      <x:c r="AJ71" s="4" t="s">
        <x:v>2059</x:v>
      </x:c>
      <x:c r="AK71" s="4" t="s">
        <x:v>169</x:v>
      </x:c>
      <x:c r="AL71" s="4" t="s">
        <x:v>1832</x:v>
      </x:c>
      <x:c r="AM71" s="66" t="str">
        <x:v>1000001833213621</x:v>
      </x:c>
      <x:c r="AN71" t="str">
        <x:v>撤销</x:v>
      </x:c>
      <x:c r="AO71" t="str">
        <x:v>否</x:v>
      </x:c>
      <x:c r="AP71" s="67" t="n">
        <x:v>46175.81175925926</x:v>
      </x:c>
      <x:c r="AQ71" t="str">
        <x:v>STRONG_CONTEXT</x:v>
      </x:c>
      <x:c r="AR71" t="str">
        <x:v>/Users/luodaluo/Desktop/30天复盘原始数据/补充证据_历史委托条件委托截图/05_安卓端取消与过期完整生命周期/01_已取消/Screenshot_20260722_213043.jpg</x:v>
      </x:c>
    </x:row>
    <x:row r="72">
      <x:c r="A72" s="4" t="s">
        <x:v>71</x:v>
      </x:c>
      <x:c r="B72" s="4" t="s">
        <x:v>2060</x:v>
      </x:c>
      <x:c r="C72" s="4" t="s">
        <x:v>1824</x:v>
      </x:c>
      <x:c r="D72" s="4" t="s">
        <x:v>395</x:v>
      </x:c>
      <x:c r="E72" s="4" t="s">
        <x:v>395</x:v>
      </x:c>
      <x:c r="F72" s="65" t="n">
        <x:v>46175.81490740741</x:v>
      </x:c>
      <x:c r="G72" s="4" t="s">
        <x:v>1336</x:v>
      </x:c>
      <x:c r="H72" s="4" t="s">
        <x:v>1409</x:v>
      </x:c>
      <x:c r="I72" s="4" t="s">
        <x:v>1887</x:v>
      </x:c>
      <x:c r="J72" s="4" t="s">
        <x:v>1826</x:v>
      </x:c>
      <x:c r="K72" s="4" t="s">
        <x:v>107</x:v>
      </x:c>
      <x:c r="L72" s="4" t="s">
        <x:v>396</x:v>
      </x:c>
      <x:c r="M72" s="4" t="s">
        <x:v>383</x:v>
      </x:c>
      <x:c r="N72" s="4" t="s">
        <x:v>169</x:v>
      </x:c>
      <x:c r="O72" s="4" t="str">
        <x:v>已完成</x:v>
      </x:c>
      <x:c r="P72" s="4" t="s">
        <x:v>171</x:v>
      </x:c>
      <x:c r="Q72" s="4" t="s">
        <x:v>1817</x:v>
      </x:c>
      <x:c r="R72" s="4" t="s">
        <x:v>1827</x:v>
      </x:c>
      <x:c r="S72" s="4" t="s">
        <x:v>1890</x:v>
      </x:c>
      <x:c r="T72" s="4" t="s">
        <x:v>1829</x:v>
      </x:c>
      <x:c r="U72" s="4" t="s">
        <x:v>383</x:v>
      </x:c>
      <x:c r="V72" s="4" t="s">
        <x:v>383</x:v>
      </x:c>
      <x:c r="W72" s="4" t="s">
        <x:v>172</x:v>
      </x:c>
      <x:c r="X72" s="4" t="s">
        <x:v>171</x:v>
      </x:c>
      <x:c r="Y72" s="4" t="s">
        <x:v>172</x:v>
      </x:c>
      <x:c r="Z72" s="4" t="s">
        <x:v>172</x:v>
      </x:c>
      <x:c r="AA72" s="4" t="s">
        <x:v>172</x:v>
      </x:c>
      <x:c r="AB72" s="4" t="s">
        <x:v>172</x:v>
      </x:c>
      <x:c r="AC72" s="4" t="s">
        <x:v>172</x:v>
      </x:c>
      <x:c r="AD72" s="4" t="str">
        <x:v>可能无关</x:v>
      </x:c>
      <x:c r="AE72" s="4" t="s">
        <x:v>1820</x:v>
      </x:c>
      <x:c r="AF72" s="4" t="s">
        <x:v>1820</x:v>
      </x:c>
      <x:c r="AG72" s="4" t="str">
        <x:v>条件委托已完成；算法编号1000001833525080；创建时间2026-06-03 03:28:56；触发时间2026-06-03 03:33:28；是否触发是；周期关联等级DIRECT_ORDER；取消/过期原因无法确认（已完成为不适用）。</x:v>
      </x:c>
      <x:c r="AH72" s="4" t="s">
        <x:v>172</x:v>
      </x:c>
      <x:c r="AI72" s="4" t="str">
        <x:v>补充证据_历史委托条件委托截图/01_全部条件委托列表/截屏2026-07-19 06.05.43.png#行3</x:v>
      </x:c>
      <x:c r="AJ72" s="4" t="s">
        <x:v>2061</x:v>
      </x:c>
      <x:c r="AK72" s="4" t="s">
        <x:v>169</x:v>
      </x:c>
      <x:c r="AL72" s="4" t="s">
        <x:v>2062</x:v>
      </x:c>
      <x:c r="AM72" s="66" t="str">
        <x:v>1000001833525080</x:v>
      </x:c>
      <x:c r="AN72" t="str">
        <x:v>触发</x:v>
      </x:c>
      <x:c r="AO72" t="str">
        <x:v>是</x:v>
      </x:c>
      <x:c r="AP72" s="67" t="n">
        <x:v>46175.81490740741</x:v>
      </x:c>
      <x:c r="AQ72" t="str">
        <x:v>DIRECT_ORDER</x:v>
      </x:c>
      <x:c r="AR72" t="str">
        <x:v>补充证据_历史委托条件委托截图/01_全部条件委托列表/截屏2026-07-19 06.05.43.png#行3</x:v>
      </x:c>
    </x:row>
    <x:row r="73">
      <x:c r="A73" s="4" t="s">
        <x:v>71</x:v>
      </x:c>
      <x:c r="B73" s="4" t="s">
        <x:v>2063</x:v>
      </x:c>
      <x:c r="C73" s="4" t="s">
        <x:v>1824</x:v>
      </x:c>
      <x:c r="D73" s="4" t="s">
        <x:v>397</x:v>
      </x:c>
      <x:c r="E73" s="4" t="s">
        <x:v>397</x:v>
      </x:c>
      <x:c r="F73" s="65" t="s">
        <x:v>397</x:v>
      </x:c>
      <x:c r="G73" s="4" t="s">
        <x:v>1336</x:v>
      </x:c>
      <x:c r="H73" s="4" t="s">
        <x:v>1409</x:v>
      </x:c>
      <x:c r="I73" s="4" t="s">
        <x:v>1816</x:v>
      </x:c>
      <x:c r="J73" s="4" t="s">
        <x:v>240</x:v>
      </x:c>
      <x:c r="K73" s="4" t="s">
        <x:v>107</x:v>
      </x:c>
      <x:c r="L73" s="4" t="s">
        <x:v>107</x:v>
      </x:c>
      <x:c r="M73" s="4" t="s">
        <x:v>383</x:v>
      </x:c>
      <x:c r="N73" s="4" t="s">
        <x:v>383</x:v>
      </x:c>
      <x:c r="O73" s="4" t="s">
        <x:v>168</x:v>
      </x:c>
      <x:c r="P73" s="4" t="s">
        <x:v>1817</x:v>
      </x:c>
      <x:c r="Q73" s="4" t="s">
        <x:v>1817</x:v>
      </x:c>
      <x:c r="R73" s="4" t="s">
        <x:v>1818</x:v>
      </x:c>
      <x:c r="S73" s="4" t="s">
        <x:v>246</x:v>
      </x:c>
      <x:c r="T73" s="4" t="s">
        <x:v>1853</x:v>
      </x:c>
      <x:c r="U73" s="4" t="s">
        <x:v>383</x:v>
      </x:c>
      <x:c r="V73" s="4" t="s">
        <x:v>169</x:v>
      </x:c>
      <x:c r="W73" s="4" t="s">
        <x:v>171</x:v>
      </x:c>
      <x:c r="X73" s="4" t="s">
        <x:v>171</x:v>
      </x:c>
      <x:c r="Y73" s="4" t="s">
        <x:v>172</x:v>
      </x:c>
      <x:c r="Z73" s="4" t="s">
        <x:v>172</x:v>
      </x:c>
      <x:c r="AA73" s="4" t="s">
        <x:v>172</x:v>
      </x:c>
      <x:c r="AB73" s="4" t="s">
        <x:v>171</x:v>
      </x:c>
      <x:c r="AC73" s="4" t="s">
        <x:v>172</x:v>
      </x:c>
      <x:c r="AD73" s="4" t="s">
        <x:v>193</x:v>
      </x:c>
      <x:c r="AE73" s="4" t="s">
        <x:v>1830</x:v>
      </x:c>
      <x:c r="AF73" s="4" t="s">
        <x:v>1820</x:v>
      </x:c>
      <x:c r="AG73" s="4" t="s">
        <x:v>2064</x:v>
      </x:c>
      <x:c r="AH73" s="4" t="s">
        <x:v>172</x:v>
      </x:c>
      <x:c r="AI73" s="4" t="s">
        <x:v>1822</x:v>
      </x:c>
      <x:c r="AJ73" s="4" t="s">
        <x:v>1451</x:v>
      </x:c>
      <x:c r="AK73" s="4" t="s">
        <x:v>2065</x:v>
      </x:c>
      <x:c r="AL73" s="4" t="s">
        <x:v>1823</x:v>
      </x:c>
      <x:c r="AM73" s="66"/>
      <x:c r="AP73" s="67"/>
    </x:row>
    <x:row r="74">
      <x:c r="A74" s="4" t="s">
        <x:v>71</x:v>
      </x:c>
      <x:c r="B74" s="4" t="s">
        <x:v>2066</x:v>
      </x:c>
      <x:c r="C74" s="4" t="s">
        <x:v>1856</x:v>
      </x:c>
      <x:c r="D74" s="4" t="s">
        <x:v>397</x:v>
      </x:c>
      <x:c r="E74" s="4" t="s">
        <x:v>107</x:v>
      </x:c>
      <x:c r="F74" s="65" t="s">
        <x:v>107</x:v>
      </x:c>
      <x:c r="G74" s="4" t="s">
        <x:v>1336</x:v>
      </x:c>
      <x:c r="H74" s="4" t="s">
        <x:v>1409</x:v>
      </x:c>
      <x:c r="I74" s="4" t="s">
        <x:v>107</x:v>
      </x:c>
      <x:c r="J74" s="4" t="s">
        <x:v>107</x:v>
      </x:c>
      <x:c r="K74" s="4" t="s">
        <x:v>107</x:v>
      </x:c>
      <x:c r="L74" s="4" t="s">
        <x:v>107</x:v>
      </x:c>
      <x:c r="M74" s="4" t="s">
        <x:v>107</x:v>
      </x:c>
      <x:c r="N74" s="4" t="s">
        <x:v>107</x:v>
      </x:c>
      <x:c r="O74" s="4" t="s">
        <x:v>107</x:v>
      </x:c>
      <x:c r="P74" s="4" t="s">
        <x:v>107</x:v>
      </x:c>
      <x:c r="Q74" s="4" t="s">
        <x:v>107</x:v>
      </x:c>
      <x:c r="R74" s="4" t="s">
        <x:v>1857</x:v>
      </x:c>
      <x:c r="S74" s="4" t="s">
        <x:v>213</x:v>
      </x:c>
      <x:c r="T74" s="4" t="s">
        <x:v>1858</x:v>
      </x:c>
      <x:c r="U74" s="4" t="s">
        <x:v>107</x:v>
      </x:c>
      <x:c r="V74" s="4" t="s">
        <x:v>107</x:v>
      </x:c>
      <x:c r="W74" s="4" t="s">
        <x:v>172</x:v>
      </x:c>
      <x:c r="X74" s="4" t="s">
        <x:v>172</x:v>
      </x:c>
      <x:c r="Y74" s="4" t="s">
        <x:v>172</x:v>
      </x:c>
      <x:c r="Z74" s="4" t="s">
        <x:v>172</x:v>
      </x:c>
      <x:c r="AA74" s="4" t="s">
        <x:v>172</x:v>
      </x:c>
      <x:c r="AB74" s="4" t="s">
        <x:v>172</x:v>
      </x:c>
      <x:c r="AC74" s="4" t="s">
        <x:v>172</x:v>
      </x:c>
      <x:c r="AD74" s="4" t="s">
        <x:v>107</x:v>
      </x:c>
      <x:c r="AE74" s="4" t="s">
        <x:v>107</x:v>
      </x:c>
      <x:c r="AF74" s="4" t="s">
        <x:v>107</x:v>
      </x:c>
      <x:c r="AG74" s="4" t="s">
        <x:v>399</x:v>
      </x:c>
      <x:c r="AH74" s="4" t="s">
        <x:v>172</x:v>
      </x:c>
      <x:c r="AI74" s="4" t="s">
        <x:v>1859</x:v>
      </x:c>
      <x:c r="AJ74" s="4" t="s">
        <x:v>2067</x:v>
      </x:c>
      <x:c r="AK74" s="4" t="s">
        <x:v>169</x:v>
      </x:c>
      <x:c r="AL74" s="4" t="s">
        <x:v>1861</x:v>
      </x:c>
      <x:c r="AM74" s="66"/>
      <x:c r="AP74" s="67"/>
    </x:row>
    <x:row r="75">
      <x:c r="A75" s="4" t="s">
        <x:v>73</x:v>
      </x:c>
      <x:c r="B75" s="4" t="s">
        <x:v>200</x:v>
      </x:c>
      <x:c r="C75" s="4" t="s">
        <x:v>1814</x:v>
      </x:c>
      <x:c r="D75" s="4" t="s">
        <x:v>451</x:v>
      </x:c>
      <x:c r="E75" s="4" t="s">
        <x:v>451</x:v>
      </x:c>
      <x:c r="F75" s="65" t="s">
        <x:v>2068</x:v>
      </x:c>
      <x:c r="G75" s="4" t="s">
        <x:v>1336</x:v>
      </x:c>
      <x:c r="H75" s="4" t="s">
        <x:v>1409</x:v>
      </x:c>
      <x:c r="I75" s="4" t="s">
        <x:v>1834</x:v>
      </x:c>
      <x:c r="J75" s="4" t="s">
        <x:v>1835</x:v>
      </x:c>
      <x:c r="K75" s="4" t="s">
        <x:v>452</x:v>
      </x:c>
      <x:c r="L75" s="4" t="s">
        <x:v>169</x:v>
      </x:c>
      <x:c r="M75" s="4" t="s">
        <x:v>1466</x:v>
      </x:c>
      <x:c r="N75" s="4" t="s">
        <x:v>169</x:v>
      </x:c>
      <x:c r="O75" s="4" t="s">
        <x:v>187</x:v>
      </x:c>
      <x:c r="P75" s="4" t="s">
        <x:v>1817</x:v>
      </x:c>
      <x:c r="Q75" s="4" t="s">
        <x:v>1817</x:v>
      </x:c>
      <x:c r="R75" s="4" t="s">
        <x:v>1836</x:v>
      </x:c>
      <x:c r="S75" s="4" t="s">
        <x:v>251</x:v>
      </x:c>
      <x:c r="T75" s="4" t="s">
        <x:v>1837</x:v>
      </x:c>
      <x:c r="U75" s="4" t="s">
        <x:v>169</x:v>
      </x:c>
      <x:c r="V75" s="4" t="s">
        <x:v>169</x:v>
      </x:c>
      <x:c r="W75" s="4" t="s">
        <x:v>172</x:v>
      </x:c>
      <x:c r="X75" s="4" t="s">
        <x:v>171</x:v>
      </x:c>
      <x:c r="Y75" s="4" t="s">
        <x:v>172</x:v>
      </x:c>
      <x:c r="Z75" s="4" t="s">
        <x:v>172</x:v>
      </x:c>
      <x:c r="AA75" s="4" t="s">
        <x:v>172</x:v>
      </x:c>
      <x:c r="AB75" s="4" t="s">
        <x:v>172</x:v>
      </x:c>
      <x:c r="AC75" s="4" t="s">
        <x:v>172</x:v>
      </x:c>
      <x:c r="AD75" s="4" t="s">
        <x:v>188</x:v>
      </x:c>
      <x:c r="AE75" s="4" t="s">
        <x:v>1820</x:v>
      </x:c>
      <x:c r="AF75" s="4" t="s">
        <x:v>1830</x:v>
      </x:c>
      <x:c r="AG75" s="4" t="s">
        <x:v>1874</x:v>
      </x:c>
      <x:c r="AH75" s="4" t="s">
        <x:v>172</x:v>
      </x:c>
      <x:c r="AI75" s="4" t="s">
        <x:v>2069</x:v>
      </x:c>
      <x:c r="AJ75" s="4" t="s">
        <x:v>2070</x:v>
      </x:c>
      <x:c r="AK75" s="4" t="s">
        <x:v>169</x:v>
      </x:c>
      <x:c r="AL75" s="4" t="s">
        <x:v>1841</x:v>
      </x:c>
      <x:c r="AM75" s="66"/>
      <x:c r="AP75" s="67"/>
    </x:row>
    <x:row r="76">
      <x:c r="A76" s="4" t="s">
        <x:v>73</x:v>
      </x:c>
      <x:c r="B76" s="4" t="s">
        <x:v>1353</x:v>
      </x:c>
      <x:c r="C76" s="4" t="s">
        <x:v>1814</x:v>
      </x:c>
      <x:c r="D76" s="4" t="s">
        <x:v>453</x:v>
      </x:c>
      <x:c r="E76" s="4" t="s">
        <x:v>453</x:v>
      </x:c>
      <x:c r="F76" s="65" t="s">
        <x:v>2071</x:v>
      </x:c>
      <x:c r="G76" s="4" t="s">
        <x:v>1336</x:v>
      </x:c>
      <x:c r="H76" s="4" t="s">
        <x:v>1409</x:v>
      </x:c>
      <x:c r="I76" s="4" t="s">
        <x:v>1834</x:v>
      </x:c>
      <x:c r="J76" s="4" t="s">
        <x:v>1835</x:v>
      </x:c>
      <x:c r="K76" s="4" t="s">
        <x:v>454</x:v>
      </x:c>
      <x:c r="L76" s="4" t="s">
        <x:v>169</x:v>
      </x:c>
      <x:c r="M76" s="4" t="s">
        <x:v>2072</x:v>
      </x:c>
      <x:c r="N76" s="4" t="s">
        <x:v>169</x:v>
      </x:c>
      <x:c r="O76" s="4" t="s">
        <x:v>187</x:v>
      </x:c>
      <x:c r="P76" s="4" t="s">
        <x:v>1817</x:v>
      </x:c>
      <x:c r="Q76" s="4" t="s">
        <x:v>1817</x:v>
      </x:c>
      <x:c r="R76" s="4" t="s">
        <x:v>1836</x:v>
      </x:c>
      <x:c r="S76" s="4" t="s">
        <x:v>251</x:v>
      </x:c>
      <x:c r="T76" s="4" t="s">
        <x:v>1837</x:v>
      </x:c>
      <x:c r="U76" s="4" t="s">
        <x:v>169</x:v>
      </x:c>
      <x:c r="V76" s="4" t="s">
        <x:v>169</x:v>
      </x:c>
      <x:c r="W76" s="4" t="s">
        <x:v>172</x:v>
      </x:c>
      <x:c r="X76" s="4" t="s">
        <x:v>171</x:v>
      </x:c>
      <x:c r="Y76" s="4" t="s">
        <x:v>172</x:v>
      </x:c>
      <x:c r="Z76" s="4" t="s">
        <x:v>172</x:v>
      </x:c>
      <x:c r="AA76" s="4" t="s">
        <x:v>172</x:v>
      </x:c>
      <x:c r="AB76" s="4" t="s">
        <x:v>172</x:v>
      </x:c>
      <x:c r="AC76" s="4" t="s">
        <x:v>172</x:v>
      </x:c>
      <x:c r="AD76" s="4" t="s">
        <x:v>193</x:v>
      </x:c>
      <x:c r="AE76" s="4" t="s">
        <x:v>1830</x:v>
      </x:c>
      <x:c r="AF76" s="4" t="s">
        <x:v>1830</x:v>
      </x:c>
      <x:c r="AG76" s="4" t="s">
        <x:v>1874</x:v>
      </x:c>
      <x:c r="AH76" s="4" t="s">
        <x:v>172</x:v>
      </x:c>
      <x:c r="AI76" s="4" t="s">
        <x:v>2073</x:v>
      </x:c>
      <x:c r="AJ76" s="4" t="s">
        <x:v>2074</x:v>
      </x:c>
      <x:c r="AK76" s="4" t="s">
        <x:v>169</x:v>
      </x:c>
      <x:c r="AL76" s="4" t="s">
        <x:v>1841</x:v>
      </x:c>
      <x:c r="AM76" s="66"/>
      <x:c r="AP76" s="67"/>
    </x:row>
    <x:row r="77">
      <x:c r="A77" s="4" t="s">
        <x:v>73</x:v>
      </x:c>
      <x:c r="B77" s="4" t="s">
        <x:v>1466</x:v>
      </x:c>
      <x:c r="C77" s="4" t="s">
        <x:v>1814</x:v>
      </x:c>
      <x:c r="D77" s="4" t="s">
        <x:v>455</x:v>
      </x:c>
      <x:c r="E77" s="4" t="s">
        <x:v>455</x:v>
      </x:c>
      <x:c r="F77" s="65" t="s">
        <x:v>2075</x:v>
      </x:c>
      <x:c r="G77" s="4" t="s">
        <x:v>1336</x:v>
      </x:c>
      <x:c r="H77" s="4" t="s">
        <x:v>1409</x:v>
      </x:c>
      <x:c r="I77" s="4" t="s">
        <x:v>1834</x:v>
      </x:c>
      <x:c r="J77" s="4" t="s">
        <x:v>1835</x:v>
      </x:c>
      <x:c r="K77" s="4" t="s">
        <x:v>456</x:v>
      </x:c>
      <x:c r="L77" s="4" t="s">
        <x:v>169</x:v>
      </x:c>
      <x:c r="M77" s="4" t="s">
        <x:v>1466</x:v>
      </x:c>
      <x:c r="N77" s="4" t="s">
        <x:v>169</x:v>
      </x:c>
      <x:c r="O77" s="4" t="s">
        <x:v>187</x:v>
      </x:c>
      <x:c r="P77" s="4" t="s">
        <x:v>1817</x:v>
      </x:c>
      <x:c r="Q77" s="4" t="s">
        <x:v>1817</x:v>
      </x:c>
      <x:c r="R77" s="4" t="s">
        <x:v>1836</x:v>
      </x:c>
      <x:c r="S77" s="4" t="s">
        <x:v>251</x:v>
      </x:c>
      <x:c r="T77" s="4" t="s">
        <x:v>1837</x:v>
      </x:c>
      <x:c r="U77" s="4" t="s">
        <x:v>169</x:v>
      </x:c>
      <x:c r="V77" s="4" t="s">
        <x:v>169</x:v>
      </x:c>
      <x:c r="W77" s="4" t="s">
        <x:v>172</x:v>
      </x:c>
      <x:c r="X77" s="4" t="s">
        <x:v>171</x:v>
      </x:c>
      <x:c r="Y77" s="4" t="s">
        <x:v>172</x:v>
      </x:c>
      <x:c r="Z77" s="4" t="s">
        <x:v>172</x:v>
      </x:c>
      <x:c r="AA77" s="4" t="s">
        <x:v>172</x:v>
      </x:c>
      <x:c r="AB77" s="4" t="s">
        <x:v>172</x:v>
      </x:c>
      <x:c r="AC77" s="4" t="s">
        <x:v>172</x:v>
      </x:c>
      <x:c r="AD77" s="4" t="s">
        <x:v>193</x:v>
      </x:c>
      <x:c r="AE77" s="4" t="s">
        <x:v>1830</x:v>
      </x:c>
      <x:c r="AF77" s="4" t="s">
        <x:v>1830</x:v>
      </x:c>
      <x:c r="AG77" s="4" t="s">
        <x:v>1874</x:v>
      </x:c>
      <x:c r="AH77" s="4" t="s">
        <x:v>172</x:v>
      </x:c>
      <x:c r="AI77" s="4" t="s">
        <x:v>2076</x:v>
      </x:c>
      <x:c r="AJ77" s="4" t="s">
        <x:v>2077</x:v>
      </x:c>
      <x:c r="AK77" s="4" t="s">
        <x:v>169</x:v>
      </x:c>
      <x:c r="AL77" s="4" t="s">
        <x:v>1841</x:v>
      </x:c>
      <x:c r="AM77" s="66"/>
      <x:c r="AP77" s="67"/>
    </x:row>
    <x:row r="78">
      <x:c r="A78" s="4" t="s">
        <x:v>73</x:v>
      </x:c>
      <x:c r="B78" s="4" t="s">
        <x:v>218</x:v>
      </x:c>
      <x:c r="C78" s="4" t="s">
        <x:v>1814</x:v>
      </x:c>
      <x:c r="D78" s="4" t="s">
        <x:v>457</x:v>
      </x:c>
      <x:c r="E78" s="4" t="s">
        <x:v>2078</x:v>
      </x:c>
      <x:c r="F78" s="65" t="s">
        <x:v>457</x:v>
      </x:c>
      <x:c r="G78" s="4" t="s">
        <x:v>1336</x:v>
      </x:c>
      <x:c r="H78" s="4" t="s">
        <x:v>1409</x:v>
      </x:c>
      <x:c r="I78" s="4" t="s">
        <x:v>1852</x:v>
      </x:c>
      <x:c r="J78" s="4" t="s">
        <x:v>199</x:v>
      </x:c>
      <x:c r="K78" s="4" t="s">
        <x:v>458</x:v>
      </x:c>
      <x:c r="L78" s="4" t="s">
        <x:v>107</x:v>
      </x:c>
      <x:c r="M78" s="4" t="s">
        <x:v>459</x:v>
      </x:c>
      <x:c r="N78" s="4" t="s">
        <x:v>459</x:v>
      </x:c>
      <x:c r="O78" s="4" t="s">
        <x:v>168</x:v>
      </x:c>
      <x:c r="P78" s="4" t="s">
        <x:v>1817</x:v>
      </x:c>
      <x:c r="Q78" s="4" t="s">
        <x:v>1817</x:v>
      </x:c>
      <x:c r="R78" s="4" t="s">
        <x:v>1818</x:v>
      </x:c>
      <x:c r="S78" s="4" t="s">
        <x:v>259</x:v>
      </x:c>
      <x:c r="T78" s="4" t="s">
        <x:v>1819</x:v>
      </x:c>
      <x:c r="U78" s="4" t="s">
        <x:v>169</x:v>
      </x:c>
      <x:c r="V78" s="4" t="s">
        <x:v>459</x:v>
      </x:c>
      <x:c r="W78" s="4" t="s">
        <x:v>171</x:v>
      </x:c>
      <x:c r="X78" s="4" t="s">
        <x:v>171</x:v>
      </x:c>
      <x:c r="Y78" s="4" t="s">
        <x:v>171</x:v>
      </x:c>
      <x:c r="Z78" s="4" t="s">
        <x:v>172</x:v>
      </x:c>
      <x:c r="AA78" s="4" t="s">
        <x:v>172</x:v>
      </x:c>
      <x:c r="AB78" s="4" t="s">
        <x:v>172</x:v>
      </x:c>
      <x:c r="AC78" s="4" t="s">
        <x:v>172</x:v>
      </x:c>
      <x:c r="AD78" s="4" t="s">
        <x:v>16</x:v>
      </x:c>
      <x:c r="AE78" s="4" t="s">
        <x:v>1830</x:v>
      </x:c>
      <x:c r="AF78" s="4" t="s">
        <x:v>1820</x:v>
      </x:c>
      <x:c r="AG78" s="4" t="s">
        <x:v>2079</x:v>
      </x:c>
      <x:c r="AH78" s="4" t="s">
        <x:v>172</x:v>
      </x:c>
      <x:c r="AI78" s="4" t="s">
        <x:v>1822</x:v>
      </x:c>
      <x:c r="AJ78" s="4" t="s">
        <x:v>1506</x:v>
      </x:c>
      <x:c r="AK78" s="4" t="s">
        <x:v>1353</x:v>
      </x:c>
      <x:c r="AL78" s="4" t="s">
        <x:v>1823</x:v>
      </x:c>
      <x:c r="AM78" s="66"/>
      <x:c r="AP78" s="67"/>
    </x:row>
    <x:row r="79">
      <x:c r="A79" s="4" t="s">
        <x:v>73</x:v>
      </x:c>
      <x:c r="B79" s="4" t="s">
        <x:v>314</x:v>
      </x:c>
      <x:c r="C79" s="4" t="s">
        <x:v>1824</x:v>
      </x:c>
      <x:c r="D79" s="4" t="s">
        <x:v>461</x:v>
      </x:c>
      <x:c r="E79" s="4" t="s">
        <x:v>2080</x:v>
      </x:c>
      <x:c r="F79" s="65" t="s">
        <x:v>461</x:v>
      </x:c>
      <x:c r="G79" s="4" t="s">
        <x:v>1336</x:v>
      </x:c>
      <x:c r="H79" s="4" t="s">
        <x:v>1409</x:v>
      </x:c>
      <x:c r="I79" s="4" t="s">
        <x:v>1852</x:v>
      </x:c>
      <x:c r="J79" s="4" t="s">
        <x:v>199</x:v>
      </x:c>
      <x:c r="K79" s="4" t="s">
        <x:v>462</x:v>
      </x:c>
      <x:c r="L79" s="4" t="s">
        <x:v>107</x:v>
      </x:c>
      <x:c r="M79" s="4" t="s">
        <x:v>467</x:v>
      </x:c>
      <x:c r="N79" s="4" t="s">
        <x:v>467</x:v>
      </x:c>
      <x:c r="O79" s="4" t="s">
        <x:v>168</x:v>
      </x:c>
      <x:c r="P79" s="4" t="s">
        <x:v>1817</x:v>
      </x:c>
      <x:c r="Q79" s="4" t="s">
        <x:v>1817</x:v>
      </x:c>
      <x:c r="R79" s="4" t="s">
        <x:v>1818</x:v>
      </x:c>
      <x:c r="S79" s="4" t="s">
        <x:v>296</x:v>
      </x:c>
      <x:c r="T79" s="4" t="s">
        <x:v>1843</x:v>
      </x:c>
      <x:c r="U79" s="4" t="s">
        <x:v>459</x:v>
      </x:c>
      <x:c r="V79" s="4" t="s">
        <x:v>463</x:v>
      </x:c>
      <x:c r="W79" s="4" t="s">
        <x:v>171</x:v>
      </x:c>
      <x:c r="X79" s="4" t="s">
        <x:v>171</x:v>
      </x:c>
      <x:c r="Y79" s="4" t="s">
        <x:v>172</x:v>
      </x:c>
      <x:c r="Z79" s="4" t="s">
        <x:v>171</x:v>
      </x:c>
      <x:c r="AA79" s="4" t="s">
        <x:v>172</x:v>
      </x:c>
      <x:c r="AB79" s="4" t="s">
        <x:v>172</x:v>
      </x:c>
      <x:c r="AC79" s="4" t="s">
        <x:v>172</x:v>
      </x:c>
      <x:c r="AD79" s="4" t="s">
        <x:v>188</x:v>
      </x:c>
      <x:c r="AE79" s="4" t="s">
        <x:v>1820</x:v>
      </x:c>
      <x:c r="AF79" s="4" t="s">
        <x:v>1820</x:v>
      </x:c>
      <x:c r="AG79" s="4" t="s">
        <x:v>2081</x:v>
      </x:c>
      <x:c r="AH79" s="4" t="s">
        <x:v>172</x:v>
      </x:c>
      <x:c r="AI79" s="4" t="s">
        <x:v>1822</x:v>
      </x:c>
      <x:c r="AJ79" s="4" t="s">
        <x:v>2082</x:v>
      </x:c>
      <x:c r="AK79" s="4" t="s">
        <x:v>200</x:v>
      </x:c>
      <x:c r="AL79" s="4" t="s">
        <x:v>1823</x:v>
      </x:c>
      <x:c r="AM79" s="66"/>
      <x:c r="AP79" s="67"/>
    </x:row>
    <x:row r="80">
      <x:c r="A80" s="4" t="s">
        <x:v>73</x:v>
      </x:c>
      <x:c r="B80" s="4" t="s">
        <x:v>1573</x:v>
      </x:c>
      <x:c r="C80" s="4" t="s">
        <x:v>1824</x:v>
      </x:c>
      <x:c r="D80" s="4" t="s">
        <x:v>465</x:v>
      </x:c>
      <x:c r="E80" s="4" t="s">
        <x:v>2083</x:v>
      </x:c>
      <x:c r="F80" s="65" t="s">
        <x:v>465</x:v>
      </x:c>
      <x:c r="G80" s="4" t="s">
        <x:v>1336</x:v>
      </x:c>
      <x:c r="H80" s="4" t="s">
        <x:v>1409</x:v>
      </x:c>
      <x:c r="I80" s="4" t="s">
        <x:v>1816</x:v>
      </x:c>
      <x:c r="J80" s="4" t="s">
        <x:v>199</x:v>
      </x:c>
      <x:c r="K80" s="4" t="s">
        <x:v>466</x:v>
      </x:c>
      <x:c r="L80" s="4" t="s">
        <x:v>107</x:v>
      </x:c>
      <x:c r="M80" s="4" t="s">
        <x:v>459</x:v>
      </x:c>
      <x:c r="N80" s="4" t="s">
        <x:v>459</x:v>
      </x:c>
      <x:c r="O80" s="4" t="s">
        <x:v>168</x:v>
      </x:c>
      <x:c r="P80" s="4" t="s">
        <x:v>1817</x:v>
      </x:c>
      <x:c r="Q80" s="4" t="s">
        <x:v>1817</x:v>
      </x:c>
      <x:c r="R80" s="4" t="s">
        <x:v>1818</x:v>
      </x:c>
      <x:c r="S80" s="4" t="s">
        <x:v>312</x:v>
      </x:c>
      <x:c r="T80" s="4" t="s">
        <x:v>1950</x:v>
      </x:c>
      <x:c r="U80" s="4" t="s">
        <x:v>463</x:v>
      </x:c>
      <x:c r="V80" s="4" t="s">
        <x:v>467</x:v>
      </x:c>
      <x:c r="W80" s="4" t="s">
        <x:v>171</x:v>
      </x:c>
      <x:c r="X80" s="4" t="s">
        <x:v>171</x:v>
      </x:c>
      <x:c r="Y80" s="4" t="s">
        <x:v>172</x:v>
      </x:c>
      <x:c r="Z80" s="4" t="s">
        <x:v>172</x:v>
      </x:c>
      <x:c r="AA80" s="4" t="s">
        <x:v>171</x:v>
      </x:c>
      <x:c r="AB80" s="4" t="s">
        <x:v>172</x:v>
      </x:c>
      <x:c r="AC80" s="4" t="s">
        <x:v>172</x:v>
      </x:c>
      <x:c r="AD80" s="4" t="s">
        <x:v>195</x:v>
      </x:c>
      <x:c r="AE80" s="4" t="s">
        <x:v>1848</x:v>
      </x:c>
      <x:c r="AF80" s="4" t="s">
        <x:v>1820</x:v>
      </x:c>
      <x:c r="AG80" s="4" t="s">
        <x:v>2084</x:v>
      </x:c>
      <x:c r="AH80" s="4" t="s">
        <x:v>171</x:v>
      </x:c>
      <x:c r="AI80" s="4" t="s">
        <x:v>1822</x:v>
      </x:c>
      <x:c r="AJ80" s="4" t="s">
        <x:v>2085</x:v>
      </x:c>
      <x:c r="AK80" s="4" t="s">
        <x:v>200</x:v>
      </x:c>
      <x:c r="AL80" s="4" t="s">
        <x:v>1823</x:v>
      </x:c>
      <x:c r="AM80" s="66"/>
      <x:c r="AP80" s="67"/>
    </x:row>
    <x:row r="81">
      <x:c r="A81" s="4" t="s">
        <x:v>73</x:v>
      </x:c>
      <x:c r="B81" s="4" t="s">
        <x:v>330</x:v>
      </x:c>
      <x:c r="C81" s="4" t="s">
        <x:v>1824</x:v>
      </x:c>
      <x:c r="D81" s="4" t="s">
        <x:v>469</x:v>
      </x:c>
      <x:c r="E81" s="4" t="s">
        <x:v>2086</x:v>
      </x:c>
      <x:c r="F81" s="65" t="s">
        <x:v>469</x:v>
      </x:c>
      <x:c r="G81" s="4" t="s">
        <x:v>1336</x:v>
      </x:c>
      <x:c r="H81" s="4" t="s">
        <x:v>1409</x:v>
      </x:c>
      <x:c r="I81" s="4" t="s">
        <x:v>1852</x:v>
      </x:c>
      <x:c r="J81" s="4" t="s">
        <x:v>199</x:v>
      </x:c>
      <x:c r="K81" s="4" t="s">
        <x:v>470</x:v>
      </x:c>
      <x:c r="L81" s="4" t="s">
        <x:v>107</x:v>
      </x:c>
      <x:c r="M81" s="4" t="s">
        <x:v>467</x:v>
      </x:c>
      <x:c r="N81" s="4" t="s">
        <x:v>467</x:v>
      </x:c>
      <x:c r="O81" s="4" t="s">
        <x:v>168</x:v>
      </x:c>
      <x:c r="P81" s="4" t="s">
        <x:v>1817</x:v>
      </x:c>
      <x:c r="Q81" s="4" t="s">
        <x:v>1817</x:v>
      </x:c>
      <x:c r="R81" s="4" t="s">
        <x:v>1818</x:v>
      </x:c>
      <x:c r="S81" s="4" t="s">
        <x:v>296</x:v>
      </x:c>
      <x:c r="T81" s="4" t="s">
        <x:v>1843</x:v>
      </x:c>
      <x:c r="U81" s="4" t="s">
        <x:v>467</x:v>
      </x:c>
      <x:c r="V81" s="4" t="s">
        <x:v>459</x:v>
      </x:c>
      <x:c r="W81" s="4" t="s">
        <x:v>171</x:v>
      </x:c>
      <x:c r="X81" s="4" t="s">
        <x:v>171</x:v>
      </x:c>
      <x:c r="Y81" s="4" t="s">
        <x:v>172</x:v>
      </x:c>
      <x:c r="Z81" s="4" t="s">
        <x:v>171</x:v>
      </x:c>
      <x:c r="AA81" s="4" t="s">
        <x:v>172</x:v>
      </x:c>
      <x:c r="AB81" s="4" t="s">
        <x:v>172</x:v>
      </x:c>
      <x:c r="AC81" s="4" t="s">
        <x:v>172</x:v>
      </x:c>
      <x:c r="AD81" s="4" t="s">
        <x:v>195</x:v>
      </x:c>
      <x:c r="AE81" s="4" t="s">
        <x:v>1848</x:v>
      </x:c>
      <x:c r="AF81" s="4" t="s">
        <x:v>1820</x:v>
      </x:c>
      <x:c r="AG81" s="4" t="s">
        <x:v>2087</x:v>
      </x:c>
      <x:c r="AH81" s="4" t="s">
        <x:v>171</x:v>
      </x:c>
      <x:c r="AI81" s="4" t="s">
        <x:v>1822</x:v>
      </x:c>
      <x:c r="AJ81" s="4" t="s">
        <x:v>2088</x:v>
      </x:c>
      <x:c r="AK81" s="4" t="s">
        <x:v>200</x:v>
      </x:c>
      <x:c r="AL81" s="4" t="s">
        <x:v>1823</x:v>
      </x:c>
      <x:c r="AM81" s="66"/>
      <x:c r="AP81" s="67"/>
    </x:row>
    <x:row r="82">
      <x:c r="A82" s="4" t="s">
        <x:v>73</x:v>
      </x:c>
      <x:c r="B82" s="4" t="s">
        <x:v>229</x:v>
      </x:c>
      <x:c r="C82" s="4" t="s">
        <x:v>1824</x:v>
      </x:c>
      <x:c r="D82" s="4" t="s">
        <x:v>472</x:v>
      </x:c>
      <x:c r="E82" s="4" t="s">
        <x:v>2089</x:v>
      </x:c>
      <x:c r="F82" s="65" t="s">
        <x:v>472</x:v>
      </x:c>
      <x:c r="G82" s="4" t="s">
        <x:v>1336</x:v>
      </x:c>
      <x:c r="H82" s="4" t="s">
        <x:v>1409</x:v>
      </x:c>
      <x:c r="I82" s="4" t="s">
        <x:v>1852</x:v>
      </x:c>
      <x:c r="J82" s="4" t="s">
        <x:v>199</x:v>
      </x:c>
      <x:c r="K82" s="4" t="s">
        <x:v>473</x:v>
      </x:c>
      <x:c r="L82" s="4" t="s">
        <x:v>107</x:v>
      </x:c>
      <x:c r="M82" s="4" t="s">
        <x:v>467</x:v>
      </x:c>
      <x:c r="N82" s="4" t="s">
        <x:v>467</x:v>
      </x:c>
      <x:c r="O82" s="4" t="s">
        <x:v>168</x:v>
      </x:c>
      <x:c r="P82" s="4" t="s">
        <x:v>1817</x:v>
      </x:c>
      <x:c r="Q82" s="4" t="s">
        <x:v>1817</x:v>
      </x:c>
      <x:c r="R82" s="4" t="s">
        <x:v>1818</x:v>
      </x:c>
      <x:c r="S82" s="4" t="s">
        <x:v>296</x:v>
      </x:c>
      <x:c r="T82" s="4" t="s">
        <x:v>1843</x:v>
      </x:c>
      <x:c r="U82" s="4" t="s">
        <x:v>459</x:v>
      </x:c>
      <x:c r="V82" s="4" t="s">
        <x:v>463</x:v>
      </x:c>
      <x:c r="W82" s="4" t="s">
        <x:v>171</x:v>
      </x:c>
      <x:c r="X82" s="4" t="s">
        <x:v>171</x:v>
      </x:c>
      <x:c r="Y82" s="4" t="s">
        <x:v>172</x:v>
      </x:c>
      <x:c r="Z82" s="4" t="s">
        <x:v>171</x:v>
      </x:c>
      <x:c r="AA82" s="4" t="s">
        <x:v>172</x:v>
      </x:c>
      <x:c r="AB82" s="4" t="s">
        <x:v>172</x:v>
      </x:c>
      <x:c r="AC82" s="4" t="s">
        <x:v>172</x:v>
      </x:c>
      <x:c r="AD82" s="4" t="s">
        <x:v>195</x:v>
      </x:c>
      <x:c r="AE82" s="4" t="s">
        <x:v>1848</x:v>
      </x:c>
      <x:c r="AF82" s="4" t="s">
        <x:v>1820</x:v>
      </x:c>
      <x:c r="AG82" s="4" t="s">
        <x:v>2090</x:v>
      </x:c>
      <x:c r="AH82" s="4" t="s">
        <x:v>171</x:v>
      </x:c>
      <x:c r="AI82" s="4" t="s">
        <x:v>1822</x:v>
      </x:c>
      <x:c r="AJ82" s="4" t="s">
        <x:v>2091</x:v>
      </x:c>
      <x:c r="AK82" s="4" t="s">
        <x:v>200</x:v>
      </x:c>
      <x:c r="AL82" s="4" t="s">
        <x:v>1823</x:v>
      </x:c>
      <x:c r="AM82" s="66"/>
      <x:c r="AP82" s="67"/>
    </x:row>
    <x:row r="83">
      <x:c r="A83" s="4" t="s">
        <x:v>73</x:v>
      </x:c>
      <x:c r="B83" s="4" t="s">
        <x:v>298</x:v>
      </x:c>
      <x:c r="C83" s="4" t="s">
        <x:v>1824</x:v>
      </x:c>
      <x:c r="D83" s="4" t="s">
        <x:v>475</x:v>
      </x:c>
      <x:c r="E83" s="4" t="s">
        <x:v>475</x:v>
      </x:c>
      <x:c r="F83" s="65" t="n">
        <x:v>46178.62180555556</x:v>
      </x:c>
      <x:c r="G83" s="4" t="s">
        <x:v>1336</x:v>
      </x:c>
      <x:c r="H83" s="4" t="s">
        <x:v>1409</x:v>
      </x:c>
      <x:c r="I83" s="4" t="s">
        <x:v>1887</x:v>
      </x:c>
      <x:c r="J83" s="4" t="s">
        <x:v>1826</x:v>
      </x:c>
      <x:c r="K83" s="4" t="s">
        <x:v>107</x:v>
      </x:c>
      <x:c r="L83" s="4" t="s">
        <x:v>476</x:v>
      </x:c>
      <x:c r="M83" s="4" t="s">
        <x:v>463</x:v>
      </x:c>
      <x:c r="N83" s="4" t="s">
        <x:v>169</x:v>
      </x:c>
      <x:c r="O83" s="4" t="str">
        <x:v>已完成</x:v>
      </x:c>
      <x:c r="P83" s="4" t="s">
        <x:v>171</x:v>
      </x:c>
      <x:c r="Q83" s="4" t="s">
        <x:v>1817</x:v>
      </x:c>
      <x:c r="R83" s="4" t="s">
        <x:v>1827</x:v>
      </x:c>
      <x:c r="S83" s="4" t="s">
        <x:v>1890</x:v>
      </x:c>
      <x:c r="T83" s="4" t="s">
        <x:v>1829</x:v>
      </x:c>
      <x:c r="U83" s="4" t="s">
        <x:v>463</x:v>
      </x:c>
      <x:c r="V83" s="4" t="s">
        <x:v>463</x:v>
      </x:c>
      <x:c r="W83" s="4" t="s">
        <x:v>172</x:v>
      </x:c>
      <x:c r="X83" s="4" t="s">
        <x:v>171</x:v>
      </x:c>
      <x:c r="Y83" s="4" t="s">
        <x:v>172</x:v>
      </x:c>
      <x:c r="Z83" s="4" t="s">
        <x:v>172</x:v>
      </x:c>
      <x:c r="AA83" s="4" t="s">
        <x:v>172</x:v>
      </x:c>
      <x:c r="AB83" s="4" t="s">
        <x:v>172</x:v>
      </x:c>
      <x:c r="AC83" s="4" t="s">
        <x:v>172</x:v>
      </x:c>
      <x:c r="AD83" s="4" t="str">
        <x:v>相邻记录</x:v>
      </x:c>
      <x:c r="AE83" s="4" t="s">
        <x:v>1820</x:v>
      </x:c>
      <x:c r="AF83" s="4" t="s">
        <x:v>1820</x:v>
      </x:c>
      <x:c r="AG83" s="4" t="str">
        <x:v>条件委托已完成；算法编号1000001869832474；创建时间2026-06-05 22:50:05；触发时间2026-06-05 22:55:24；是否触发是；周期关联等级DIRECT_ORDER；取消/过期原因无法确认（已完成为不适用）。</x:v>
      </x:c>
      <x:c r="AH83" s="4" t="s">
        <x:v>172</x:v>
      </x:c>
      <x:c r="AI83" s="4" t="str">
        <x:v>补充证据_历史委托条件委托截图/01_全部条件委托列表/截屏2026-07-19 06.04.12.png#行5</x:v>
      </x:c>
      <x:c r="AJ83" s="4" t="s">
        <x:v>2092</x:v>
      </x:c>
      <x:c r="AK83" s="4" t="s">
        <x:v>169</x:v>
      </x:c>
      <x:c r="AL83" s="4" t="s">
        <x:v>2062</x:v>
      </x:c>
      <x:c r="AM83" s="66" t="str">
        <x:v>1000001869832474</x:v>
      </x:c>
      <x:c r="AN83" t="str">
        <x:v>触发</x:v>
      </x:c>
      <x:c r="AO83" t="str">
        <x:v>是</x:v>
      </x:c>
      <x:c r="AP83" s="67" t="n">
        <x:v>46178.62180555556</x:v>
      </x:c>
      <x:c r="AQ83" t="str">
        <x:v>DIRECT_ORDER</x:v>
      </x:c>
      <x:c r="AR83" t="str">
        <x:v>补充证据_历史委托条件委托截图/01_全部条件委托列表/截屏2026-07-19 06.04.12.png#行5</x:v>
      </x:c>
    </x:row>
    <x:row r="84">
      <x:c r="A84" s="4" t="s">
        <x:v>73</x:v>
      </x:c>
      <x:c r="B84" s="4" t="s">
        <x:v>632</x:v>
      </x:c>
      <x:c r="C84" s="4" t="s">
        <x:v>1824</x:v>
      </x:c>
      <x:c r="D84" s="4" t="s">
        <x:v>477</x:v>
      </x:c>
      <x:c r="E84" s="4" t="s">
        <x:v>477</x:v>
      </x:c>
      <x:c r="F84" s="65" t="s">
        <x:v>477</x:v>
      </x:c>
      <x:c r="G84" s="4" t="s">
        <x:v>1336</x:v>
      </x:c>
      <x:c r="H84" s="4" t="s">
        <x:v>1409</x:v>
      </x:c>
      <x:c r="I84" s="4" t="s">
        <x:v>1816</x:v>
      </x:c>
      <x:c r="J84" s="4" t="s">
        <x:v>240</x:v>
      </x:c>
      <x:c r="K84" s="4" t="s">
        <x:v>107</x:v>
      </x:c>
      <x:c r="L84" s="4" t="s">
        <x:v>107</x:v>
      </x:c>
      <x:c r="M84" s="4" t="s">
        <x:v>463</x:v>
      </x:c>
      <x:c r="N84" s="4" t="s">
        <x:v>463</x:v>
      </x:c>
      <x:c r="O84" s="4" t="s">
        <x:v>168</x:v>
      </x:c>
      <x:c r="P84" s="4" t="s">
        <x:v>1817</x:v>
      </x:c>
      <x:c r="Q84" s="4" t="s">
        <x:v>1817</x:v>
      </x:c>
      <x:c r="R84" s="4" t="s">
        <x:v>1818</x:v>
      </x:c>
      <x:c r="S84" s="4" t="s">
        <x:v>246</x:v>
      </x:c>
      <x:c r="T84" s="4" t="s">
        <x:v>1853</x:v>
      </x:c>
      <x:c r="U84" s="4" t="s">
        <x:v>463</x:v>
      </x:c>
      <x:c r="V84" s="4" t="s">
        <x:v>169</x:v>
      </x:c>
      <x:c r="W84" s="4" t="s">
        <x:v>171</x:v>
      </x:c>
      <x:c r="X84" s="4" t="s">
        <x:v>171</x:v>
      </x:c>
      <x:c r="Y84" s="4" t="s">
        <x:v>172</x:v>
      </x:c>
      <x:c r="Z84" s="4" t="s">
        <x:v>172</x:v>
      </x:c>
      <x:c r="AA84" s="4" t="s">
        <x:v>172</x:v>
      </x:c>
      <x:c r="AB84" s="4" t="s">
        <x:v>171</x:v>
      </x:c>
      <x:c r="AC84" s="4" t="s">
        <x:v>172</x:v>
      </x:c>
      <x:c r="AD84" s="4" t="s">
        <x:v>195</x:v>
      </x:c>
      <x:c r="AE84" s="4" t="s">
        <x:v>1848</x:v>
      </x:c>
      <x:c r="AF84" s="4" t="s">
        <x:v>1820</x:v>
      </x:c>
      <x:c r="AG84" s="4" t="s">
        <x:v>2093</x:v>
      </x:c>
      <x:c r="AH84" s="4" t="s">
        <x:v>171</x:v>
      </x:c>
      <x:c r="AI84" s="4" t="s">
        <x:v>1822</x:v>
      </x:c>
      <x:c r="AJ84" s="4" t="s">
        <x:v>1507</x:v>
      </x:c>
      <x:c r="AK84" s="4" t="s">
        <x:v>200</x:v>
      </x:c>
      <x:c r="AL84" s="4" t="s">
        <x:v>1823</x:v>
      </x:c>
      <x:c r="AM84" s="66"/>
      <x:c r="AP84" s="67"/>
    </x:row>
    <x:row r="85">
      <x:c r="A85" s="4" t="s">
        <x:v>73</x:v>
      </x:c>
      <x:c r="B85" s="4" t="s">
        <x:v>1607</x:v>
      </x:c>
      <x:c r="C85" s="4" t="s">
        <x:v>1856</x:v>
      </x:c>
      <x:c r="D85" s="4" t="s">
        <x:v>477</x:v>
      </x:c>
      <x:c r="E85" s="4" t="s">
        <x:v>107</x:v>
      </x:c>
      <x:c r="F85" s="65" t="s">
        <x:v>107</x:v>
      </x:c>
      <x:c r="G85" s="4" t="s">
        <x:v>1336</x:v>
      </x:c>
      <x:c r="H85" s="4" t="s">
        <x:v>1409</x:v>
      </x:c>
      <x:c r="I85" s="4" t="s">
        <x:v>107</x:v>
      </x:c>
      <x:c r="J85" s="4" t="s">
        <x:v>107</x:v>
      </x:c>
      <x:c r="K85" s="4" t="s">
        <x:v>107</x:v>
      </x:c>
      <x:c r="L85" s="4" t="s">
        <x:v>107</x:v>
      </x:c>
      <x:c r="M85" s="4" t="s">
        <x:v>107</x:v>
      </x:c>
      <x:c r="N85" s="4" t="s">
        <x:v>107</x:v>
      </x:c>
      <x:c r="O85" s="4" t="s">
        <x:v>107</x:v>
      </x:c>
      <x:c r="P85" s="4" t="s">
        <x:v>107</x:v>
      </x:c>
      <x:c r="Q85" s="4" t="s">
        <x:v>107</x:v>
      </x:c>
      <x:c r="R85" s="4" t="s">
        <x:v>1857</x:v>
      </x:c>
      <x:c r="S85" s="4" t="s">
        <x:v>213</x:v>
      </x:c>
      <x:c r="T85" s="4" t="s">
        <x:v>1858</x:v>
      </x:c>
      <x:c r="U85" s="4" t="s">
        <x:v>107</x:v>
      </x:c>
      <x:c r="V85" s="4" t="s">
        <x:v>107</x:v>
      </x:c>
      <x:c r="W85" s="4" t="s">
        <x:v>172</x:v>
      </x:c>
      <x:c r="X85" s="4" t="s">
        <x:v>172</x:v>
      </x:c>
      <x:c r="Y85" s="4" t="s">
        <x:v>172</x:v>
      </x:c>
      <x:c r="Z85" s="4" t="s">
        <x:v>172</x:v>
      </x:c>
      <x:c r="AA85" s="4" t="s">
        <x:v>172</x:v>
      </x:c>
      <x:c r="AB85" s="4" t="s">
        <x:v>172</x:v>
      </x:c>
      <x:c r="AC85" s="4" t="s">
        <x:v>172</x:v>
      </x:c>
      <x:c r="AD85" s="4" t="s">
        <x:v>107</x:v>
      </x:c>
      <x:c r="AE85" s="4" t="s">
        <x:v>107</x:v>
      </x:c>
      <x:c r="AF85" s="4" t="s">
        <x:v>107</x:v>
      </x:c>
      <x:c r="AG85" s="4" t="s">
        <x:v>479</x:v>
      </x:c>
      <x:c r="AH85" s="4" t="s">
        <x:v>172</x:v>
      </x:c>
      <x:c r="AI85" s="4" t="s">
        <x:v>1859</x:v>
      </x:c>
      <x:c r="AJ85" s="4" t="s">
        <x:v>2094</x:v>
      </x:c>
      <x:c r="AK85" s="4" t="s">
        <x:v>169</x:v>
      </x:c>
      <x:c r="AL85" s="4" t="s">
        <x:v>1861</x:v>
      </x:c>
      <x:c r="AM85" s="66"/>
      <x:c r="AP85" s="67"/>
    </x:row>
    <x:row r="86">
      <x:c r="A86" s="4" t="s">
        <x:v>75</x:v>
      </x:c>
      <x:c r="B86" s="4" t="s">
        <x:v>200</x:v>
      </x:c>
      <x:c r="C86" s="4" t="s">
        <x:v>1814</x:v>
      </x:c>
      <x:c r="D86" s="4" t="s">
        <x:v>555</x:v>
      </x:c>
      <x:c r="E86" s="4" t="s">
        <x:v>555</x:v>
      </x:c>
      <x:c r="F86" s="65" t="s">
        <x:v>2095</x:v>
      </x:c>
      <x:c r="G86" s="4" t="s">
        <x:v>1561</x:v>
      </x:c>
      <x:c r="H86" s="4" t="s">
        <x:v>1337</x:v>
      </x:c>
      <x:c r="I86" s="4" t="s">
        <x:v>1834</x:v>
      </x:c>
      <x:c r="J86" s="4" t="s">
        <x:v>1835</x:v>
      </x:c>
      <x:c r="K86" s="4" t="s">
        <x:v>556</x:v>
      </x:c>
      <x:c r="L86" s="4" t="s">
        <x:v>169</x:v>
      </x:c>
      <x:c r="M86" s="4" t="s">
        <x:v>563</x:v>
      </x:c>
      <x:c r="N86" s="4" t="s">
        <x:v>169</x:v>
      </x:c>
      <x:c r="O86" s="4" t="s">
        <x:v>187</x:v>
      </x:c>
      <x:c r="P86" s="4" t="s">
        <x:v>1817</x:v>
      </x:c>
      <x:c r="Q86" s="4" t="s">
        <x:v>1817</x:v>
      </x:c>
      <x:c r="R86" s="4" t="s">
        <x:v>1836</x:v>
      </x:c>
      <x:c r="S86" s="4" t="s">
        <x:v>14</x:v>
      </x:c>
      <x:c r="T86" s="4" t="s">
        <x:v>1837</x:v>
      </x:c>
      <x:c r="U86" s="4" t="s">
        <x:v>169</x:v>
      </x:c>
      <x:c r="V86" s="4" t="s">
        <x:v>169</x:v>
      </x:c>
      <x:c r="W86" s="4" t="s">
        <x:v>172</x:v>
      </x:c>
      <x:c r="X86" s="4" t="s">
        <x:v>171</x:v>
      </x:c>
      <x:c r="Y86" s="4" t="s">
        <x:v>172</x:v>
      </x:c>
      <x:c r="Z86" s="4" t="s">
        <x:v>172</x:v>
      </x:c>
      <x:c r="AA86" s="4" t="s">
        <x:v>172</x:v>
      </x:c>
      <x:c r="AB86" s="4" t="s">
        <x:v>172</x:v>
      </x:c>
      <x:c r="AC86" s="4" t="s">
        <x:v>172</x:v>
      </x:c>
      <x:c r="AD86" s="4" t="s">
        <x:v>188</x:v>
      </x:c>
      <x:c r="AE86" s="4" t="s">
        <x:v>1820</x:v>
      </x:c>
      <x:c r="AF86" s="4" t="s">
        <x:v>1830</x:v>
      </x:c>
      <x:c r="AG86" s="4" t="s">
        <x:v>1869</x:v>
      </x:c>
      <x:c r="AH86" s="4" t="s">
        <x:v>172</x:v>
      </x:c>
      <x:c r="AI86" s="4" t="s">
        <x:v>2096</x:v>
      </x:c>
      <x:c r="AJ86" s="4" t="s">
        <x:v>2097</x:v>
      </x:c>
      <x:c r="AK86" s="4" t="s">
        <x:v>169</x:v>
      </x:c>
      <x:c r="AL86" s="4" t="s">
        <x:v>1841</x:v>
      </x:c>
      <x:c r="AM86" s="66"/>
      <x:c r="AP86" s="67"/>
    </x:row>
    <x:row r="87">
      <x:c r="A87" s="4" t="s">
        <x:v>75</x:v>
      </x:c>
      <x:c r="B87" s="4" t="s">
        <x:v>1353</x:v>
      </x:c>
      <x:c r="C87" s="4" t="s">
        <x:v>1814</x:v>
      </x:c>
      <x:c r="D87" s="4" t="s">
        <x:v>557</x:v>
      </x:c>
      <x:c r="E87" s="4" t="s">
        <x:v>557</x:v>
      </x:c>
      <x:c r="F87" s="65" t="s">
        <x:v>2098</x:v>
      </x:c>
      <x:c r="G87" s="4" t="s">
        <x:v>1561</x:v>
      </x:c>
      <x:c r="H87" s="4" t="s">
        <x:v>1337</x:v>
      </x:c>
      <x:c r="I87" s="4" t="s">
        <x:v>1834</x:v>
      </x:c>
      <x:c r="J87" s="4" t="s">
        <x:v>1835</x:v>
      </x:c>
      <x:c r="K87" s="4" t="s">
        <x:v>558</x:v>
      </x:c>
      <x:c r="L87" s="4" t="s">
        <x:v>169</x:v>
      </x:c>
      <x:c r="M87" s="4" t="s">
        <x:v>563</x:v>
      </x:c>
      <x:c r="N87" s="4" t="s">
        <x:v>169</x:v>
      </x:c>
      <x:c r="O87" s="4" t="s">
        <x:v>187</x:v>
      </x:c>
      <x:c r="P87" s="4" t="s">
        <x:v>1817</x:v>
      </x:c>
      <x:c r="Q87" s="4" t="s">
        <x:v>1817</x:v>
      </x:c>
      <x:c r="R87" s="4" t="s">
        <x:v>1836</x:v>
      </x:c>
      <x:c r="S87" s="4" t="s">
        <x:v>14</x:v>
      </x:c>
      <x:c r="T87" s="4" t="s">
        <x:v>1837</x:v>
      </x:c>
      <x:c r="U87" s="4" t="s">
        <x:v>169</x:v>
      </x:c>
      <x:c r="V87" s="4" t="s">
        <x:v>169</x:v>
      </x:c>
      <x:c r="W87" s="4" t="s">
        <x:v>172</x:v>
      </x:c>
      <x:c r="X87" s="4" t="s">
        <x:v>171</x:v>
      </x:c>
      <x:c r="Y87" s="4" t="s">
        <x:v>172</x:v>
      </x:c>
      <x:c r="Z87" s="4" t="s">
        <x:v>172</x:v>
      </x:c>
      <x:c r="AA87" s="4" t="s">
        <x:v>172</x:v>
      </x:c>
      <x:c r="AB87" s="4" t="s">
        <x:v>172</x:v>
      </x:c>
      <x:c r="AC87" s="4" t="s">
        <x:v>172</x:v>
      </x:c>
      <x:c r="AD87" s="4" t="s">
        <x:v>193</x:v>
      </x:c>
      <x:c r="AE87" s="4" t="s">
        <x:v>1830</x:v>
      </x:c>
      <x:c r="AF87" s="4" t="s">
        <x:v>1830</x:v>
      </x:c>
      <x:c r="AG87" s="4" t="s">
        <x:v>1869</x:v>
      </x:c>
      <x:c r="AH87" s="4" t="s">
        <x:v>172</x:v>
      </x:c>
      <x:c r="AI87" s="4" t="s">
        <x:v>2099</x:v>
      </x:c>
      <x:c r="AJ87" s="4" t="s">
        <x:v>2100</x:v>
      </x:c>
      <x:c r="AK87" s="4" t="s">
        <x:v>169</x:v>
      </x:c>
      <x:c r="AL87" s="4" t="s">
        <x:v>1841</x:v>
      </x:c>
      <x:c r="AM87" s="66"/>
      <x:c r="AP87" s="67"/>
    </x:row>
    <x:row r="88">
      <x:c r="A88" s="4" t="s">
        <x:v>75</x:v>
      </x:c>
      <x:c r="B88" s="4" t="s">
        <x:v>1466</x:v>
      </x:c>
      <x:c r="C88" s="4" t="s">
        <x:v>1814</x:v>
      </x:c>
      <x:c r="D88" s="4" t="s">
        <x:v>559</x:v>
      </x:c>
      <x:c r="E88" s="4" t="s">
        <x:v>559</x:v>
      </x:c>
      <x:c r="F88" s="65" t="s">
        <x:v>2101</x:v>
      </x:c>
      <x:c r="G88" s="4" t="s">
        <x:v>1561</x:v>
      </x:c>
      <x:c r="H88" s="4" t="s">
        <x:v>1337</x:v>
      </x:c>
      <x:c r="I88" s="4" t="s">
        <x:v>1834</x:v>
      </x:c>
      <x:c r="J88" s="4" t="s">
        <x:v>1835</x:v>
      </x:c>
      <x:c r="K88" s="4" t="s">
        <x:v>560</x:v>
      </x:c>
      <x:c r="L88" s="4" t="s">
        <x:v>169</x:v>
      </x:c>
      <x:c r="M88" s="4" t="s">
        <x:v>563</x:v>
      </x:c>
      <x:c r="N88" s="4" t="s">
        <x:v>169</x:v>
      </x:c>
      <x:c r="O88" s="4" t="s">
        <x:v>187</x:v>
      </x:c>
      <x:c r="P88" s="4" t="s">
        <x:v>1817</x:v>
      </x:c>
      <x:c r="Q88" s="4" t="s">
        <x:v>1817</x:v>
      </x:c>
      <x:c r="R88" s="4" t="s">
        <x:v>1836</x:v>
      </x:c>
      <x:c r="S88" s="4" t="s">
        <x:v>14</x:v>
      </x:c>
      <x:c r="T88" s="4" t="s">
        <x:v>1837</x:v>
      </x:c>
      <x:c r="U88" s="4" t="s">
        <x:v>169</x:v>
      </x:c>
      <x:c r="V88" s="4" t="s">
        <x:v>169</x:v>
      </x:c>
      <x:c r="W88" s="4" t="s">
        <x:v>172</x:v>
      </x:c>
      <x:c r="X88" s="4" t="s">
        <x:v>171</x:v>
      </x:c>
      <x:c r="Y88" s="4" t="s">
        <x:v>172</x:v>
      </x:c>
      <x:c r="Z88" s="4" t="s">
        <x:v>172</x:v>
      </x:c>
      <x:c r="AA88" s="4" t="s">
        <x:v>172</x:v>
      </x:c>
      <x:c r="AB88" s="4" t="s">
        <x:v>172</x:v>
      </x:c>
      <x:c r="AC88" s="4" t="s">
        <x:v>172</x:v>
      </x:c>
      <x:c r="AD88" s="4" t="s">
        <x:v>193</x:v>
      </x:c>
      <x:c r="AE88" s="4" t="s">
        <x:v>1830</x:v>
      </x:c>
      <x:c r="AF88" s="4" t="s">
        <x:v>1830</x:v>
      </x:c>
      <x:c r="AG88" s="4" t="s">
        <x:v>1869</x:v>
      </x:c>
      <x:c r="AH88" s="4" t="s">
        <x:v>172</x:v>
      </x:c>
      <x:c r="AI88" s="4" t="s">
        <x:v>2102</x:v>
      </x:c>
      <x:c r="AJ88" s="4" t="s">
        <x:v>2103</x:v>
      </x:c>
      <x:c r="AK88" s="4" t="s">
        <x:v>169</x:v>
      </x:c>
      <x:c r="AL88" s="4" t="s">
        <x:v>1841</x:v>
      </x:c>
      <x:c r="AM88" s="66"/>
      <x:c r="AP88" s="67"/>
    </x:row>
    <x:row r="89">
      <x:c r="A89" s="4" t="s">
        <x:v>75</x:v>
      </x:c>
      <x:c r="B89" s="4" t="s">
        <x:v>218</x:v>
      </x:c>
      <x:c r="C89" s="4" t="s">
        <x:v>1814</x:v>
      </x:c>
      <x:c r="D89" s="4" t="s">
        <x:v>561</x:v>
      </x:c>
      <x:c r="E89" s="4" t="s">
        <x:v>2104</x:v>
      </x:c>
      <x:c r="F89" s="65" t="s">
        <x:v>561</x:v>
      </x:c>
      <x:c r="G89" s="4" t="s">
        <x:v>1561</x:v>
      </x:c>
      <x:c r="H89" s="4" t="s">
        <x:v>1337</x:v>
      </x:c>
      <x:c r="I89" s="4" t="s">
        <x:v>1816</x:v>
      </x:c>
      <x:c r="J89" s="4" t="s">
        <x:v>199</x:v>
      </x:c>
      <x:c r="K89" s="4" t="s">
        <x:v>562</x:v>
      </x:c>
      <x:c r="L89" s="4" t="s">
        <x:v>107</x:v>
      </x:c>
      <x:c r="M89" s="4" t="s">
        <x:v>563</x:v>
      </x:c>
      <x:c r="N89" s="4" t="s">
        <x:v>563</x:v>
      </x:c>
      <x:c r="O89" s="4" t="s">
        <x:v>168</x:v>
      </x:c>
      <x:c r="P89" s="4" t="s">
        <x:v>1817</x:v>
      </x:c>
      <x:c r="Q89" s="4" t="s">
        <x:v>1817</x:v>
      </x:c>
      <x:c r="R89" s="4" t="s">
        <x:v>1818</x:v>
      </x:c>
      <x:c r="S89" s="4" t="s">
        <x:v>198</x:v>
      </x:c>
      <x:c r="T89" s="4" t="s">
        <x:v>1819</x:v>
      </x:c>
      <x:c r="U89" s="4" t="s">
        <x:v>169</x:v>
      </x:c>
      <x:c r="V89" s="4" t="s">
        <x:v>563</x:v>
      </x:c>
      <x:c r="W89" s="4" t="s">
        <x:v>171</x:v>
      </x:c>
      <x:c r="X89" s="4" t="s">
        <x:v>171</x:v>
      </x:c>
      <x:c r="Y89" s="4" t="s">
        <x:v>171</x:v>
      </x:c>
      <x:c r="Z89" s="4" t="s">
        <x:v>172</x:v>
      </x:c>
      <x:c r="AA89" s="4" t="s">
        <x:v>172</x:v>
      </x:c>
      <x:c r="AB89" s="4" t="s">
        <x:v>172</x:v>
      </x:c>
      <x:c r="AC89" s="4" t="s">
        <x:v>172</x:v>
      </x:c>
      <x:c r="AD89" s="4" t="s">
        <x:v>193</x:v>
      </x:c>
      <x:c r="AE89" s="4" t="s">
        <x:v>1830</x:v>
      </x:c>
      <x:c r="AF89" s="4" t="s">
        <x:v>1820</x:v>
      </x:c>
      <x:c r="AG89" s="4" t="s">
        <x:v>2105</x:v>
      </x:c>
      <x:c r="AH89" s="4" t="s">
        <x:v>172</x:v>
      </x:c>
      <x:c r="AI89" s="4" t="s">
        <x:v>1822</x:v>
      </x:c>
      <x:c r="AJ89" s="4" t="s">
        <x:v>1563</x:v>
      </x:c>
      <x:c r="AK89" s="4" t="s">
        <x:v>298</x:v>
      </x:c>
      <x:c r="AL89" s="4" t="s">
        <x:v>1823</x:v>
      </x:c>
      <x:c r="AM89" s="66"/>
      <x:c r="AP89" s="67"/>
    </x:row>
    <x:row r="90">
      <x:c r="A90" s="4" t="s">
        <x:v>75</x:v>
      </x:c>
      <x:c r="B90" s="4" t="s">
        <x:v>314</x:v>
      </x:c>
      <x:c r="C90" s="4" t="s">
        <x:v>1824</x:v>
      </x:c>
      <x:c r="D90" s="4" t="s">
        <x:v>561</x:v>
      </x:c>
      <x:c r="E90" s="4" t="s">
        <x:v>561</x:v>
      </x:c>
      <x:c r="F90" s="65" t="n">
        <x:v>46191.57892361111</x:v>
      </x:c>
      <x:c r="G90" s="4" t="s">
        <x:v>1561</x:v>
      </x:c>
      <x:c r="H90" s="4" t="s">
        <x:v>1337</x:v>
      </x:c>
      <x:c r="I90" s="4" t="s">
        <x:v>1825</x:v>
      </x:c>
      <x:c r="J90" s="4" t="s">
        <x:v>203</x:v>
      </x:c>
      <x:c r="K90" s="4" t="s">
        <x:v>107</x:v>
      </x:c>
      <x:c r="L90" s="4" t="s">
        <x:v>565</x:v>
      </x:c>
      <x:c r="M90" s="4" t="s">
        <x:v>563</x:v>
      </x:c>
      <x:c r="N90" s="4" t="s">
        <x:v>169</x:v>
      </x:c>
      <x:c r="O90" s="4" t="str">
        <x:v>已取消</x:v>
      </x:c>
      <x:c r="P90" s="4" t="s">
        <x:v>171</x:v>
      </x:c>
      <x:c r="Q90" s="4" t="s">
        <x:v>1817</x:v>
      </x:c>
      <x:c r="R90" s="4" t="s">
        <x:v>1827</x:v>
      </x:c>
      <x:c r="S90" s="4" t="s">
        <x:v>2106</x:v>
      </x:c>
      <x:c r="T90" s="4" t="s">
        <x:v>1829</x:v>
      </x:c>
      <x:c r="U90" s="4" t="s">
        <x:v>563</x:v>
      </x:c>
      <x:c r="V90" s="4" t="s">
        <x:v>563</x:v>
      </x:c>
      <x:c r="W90" s="4" t="s">
        <x:v>172</x:v>
      </x:c>
      <x:c r="X90" s="4" t="s">
        <x:v>171</x:v>
      </x:c>
      <x:c r="Y90" s="4" t="s">
        <x:v>172</x:v>
      </x:c>
      <x:c r="Z90" s="4" t="s">
        <x:v>172</x:v>
      </x:c>
      <x:c r="AA90" s="4" t="s">
        <x:v>172</x:v>
      </x:c>
      <x:c r="AB90" s="4" t="s">
        <x:v>172</x:v>
      </x:c>
      <x:c r="AC90" s="4" t="s">
        <x:v>172</x:v>
      </x:c>
      <x:c r="AD90" s="4" t="str">
        <x:v>相邻记录</x:v>
      </x:c>
      <x:c r="AE90" s="4" t="s">
        <x:v>1848</x:v>
      </x:c>
      <x:c r="AF90" s="4" t="s">
        <x:v>1848</x:v>
      </x:c>
      <x:c r="AG90" s="4" t="str">
        <x:v>条件委托已取消；算法编号1000002004099293；创建时间2026-06-18 21:38:59；撤销时间2026-06-18 21:53:39；是否触发否；周期关联等级STRONG_CONTEXT；取消/过期原因无法确认（已完成为不适用）。</x:v>
      </x:c>
      <x:c r="AH90" s="4" t="s">
        <x:v>171</x:v>
      </x:c>
      <x:c r="AI90" s="4" t="str">
        <x:v>/Users/luodaluo/Desktop/30天复盘原始数据/补充证据_历史委托条件委托截图/05_安卓端取消与过期完整生命周期/01_已取消/Screenshot_20260722_222355.jpg</x:v>
      </x:c>
      <x:c r="AJ90" s="4" t="s">
        <x:v>2107</x:v>
      </x:c>
      <x:c r="AK90" s="4" t="s">
        <x:v>169</x:v>
      </x:c>
      <x:c r="AL90" s="4" t="s">
        <x:v>1977</x:v>
      </x:c>
      <x:c r="AM90" s="66" t="str">
        <x:v>1000002004099293</x:v>
      </x:c>
      <x:c r="AN90" t="str">
        <x:v>撤销</x:v>
      </x:c>
      <x:c r="AO90" t="str">
        <x:v>否</x:v>
      </x:c>
      <x:c r="AP90" s="67" t="n">
        <x:v>46191.57892361111</x:v>
      </x:c>
      <x:c r="AQ90" t="str">
        <x:v>STRONG_CONTEXT</x:v>
      </x:c>
      <x:c r="AR90" t="str">
        <x:v>/Users/luodaluo/Desktop/30天复盘原始数据/补充证据_历史委托条件委托截图/05_安卓端取消与过期完整生命周期/01_已取消/Screenshot_20260722_222355.jpg</x:v>
      </x:c>
    </x:row>
    <x:row r="91">
      <x:c r="A91" s="4" t="s">
        <x:v>75</x:v>
      </x:c>
      <x:c r="B91" s="4" t="s">
        <x:v>1573</x:v>
      </x:c>
      <x:c r="C91" s="4" t="s">
        <x:v>1824</x:v>
      </x:c>
      <x:c r="D91" s="4" t="s">
        <x:v>566</x:v>
      </x:c>
      <x:c r="E91" s="4" t="s">
        <x:v>566</x:v>
      </x:c>
      <x:c r="F91" s="65" t="s">
        <x:v>2108</x:v>
      </x:c>
      <x:c r="G91" s="4" t="s">
        <x:v>1561</x:v>
      </x:c>
      <x:c r="H91" s="4" t="s">
        <x:v>1337</x:v>
      </x:c>
      <x:c r="I91" s="4" t="s">
        <x:v>1847</x:v>
      </x:c>
      <x:c r="J91" s="4" t="s">
        <x:v>1835</x:v>
      </x:c>
      <x:c r="K91" s="4" t="s">
        <x:v>567</x:v>
      </x:c>
      <x:c r="L91" s="4" t="s">
        <x:v>169</x:v>
      </x:c>
      <x:c r="M91" s="4" t="s">
        <x:v>563</x:v>
      </x:c>
      <x:c r="N91" s="4" t="s">
        <x:v>169</x:v>
      </x:c>
      <x:c r="O91" s="4" t="s">
        <x:v>187</x:v>
      </x:c>
      <x:c r="P91" s="4" t="s">
        <x:v>1817</x:v>
      </x:c>
      <x:c r="Q91" s="4" t="s">
        <x:v>1817</x:v>
      </x:c>
      <x:c r="R91" s="4" t="s">
        <x:v>1836</x:v>
      </x:c>
      <x:c r="S91" s="4" t="s">
        <x:v>234</x:v>
      </x:c>
      <x:c r="T91" s="4" t="s">
        <x:v>1837</x:v>
      </x:c>
      <x:c r="U91" s="4" t="s">
        <x:v>563</x:v>
      </x:c>
      <x:c r="V91" s="4" t="s">
        <x:v>563</x:v>
      </x:c>
      <x:c r="W91" s="4" t="s">
        <x:v>172</x:v>
      </x:c>
      <x:c r="X91" s="4" t="s">
        <x:v>171</x:v>
      </x:c>
      <x:c r="Y91" s="4" t="s">
        <x:v>172</x:v>
      </x:c>
      <x:c r="Z91" s="4" t="s">
        <x:v>172</x:v>
      </x:c>
      <x:c r="AA91" s="4" t="s">
        <x:v>172</x:v>
      </x:c>
      <x:c r="AB91" s="4" t="s">
        <x:v>172</x:v>
      </x:c>
      <x:c r="AC91" s="4" t="s">
        <x:v>172</x:v>
      </x:c>
      <x:c r="AD91" s="4" t="s">
        <x:v>188</x:v>
      </x:c>
      <x:c r="AE91" s="4" t="s">
        <x:v>1820</x:v>
      </x:c>
      <x:c r="AF91" s="4" t="s">
        <x:v>1830</x:v>
      </x:c>
      <x:c r="AG91" s="4" t="s">
        <x:v>2109</x:v>
      </x:c>
      <x:c r="AH91" s="4" t="s">
        <x:v>172</x:v>
      </x:c>
      <x:c r="AI91" s="4" t="s">
        <x:v>2110</x:v>
      </x:c>
      <x:c r="AJ91" s="4" t="s">
        <x:v>2111</x:v>
      </x:c>
      <x:c r="AK91" s="4" t="s">
        <x:v>169</x:v>
      </x:c>
      <x:c r="AL91" s="4" t="s">
        <x:v>1841</x:v>
      </x:c>
      <x:c r="AM91" s="66"/>
      <x:c r="AP91" s="67"/>
    </x:row>
    <x:row r="92">
      <x:c r="A92" s="4" t="s">
        <x:v>75</x:v>
      </x:c>
      <x:c r="B92" s="4" t="s">
        <x:v>330</x:v>
      </x:c>
      <x:c r="C92" s="4" t="s">
        <x:v>1824</x:v>
      </x:c>
      <x:c r="D92" s="4" t="s">
        <x:v>569</x:v>
      </x:c>
      <x:c r="E92" s="4" t="s">
        <x:v>2112</x:v>
      </x:c>
      <x:c r="F92" s="65" t="s">
        <x:v>2113</x:v>
      </x:c>
      <x:c r="G92" s="4" t="s">
        <x:v>1561</x:v>
      </x:c>
      <x:c r="H92" s="4" t="s">
        <x:v>1337</x:v>
      </x:c>
      <x:c r="I92" s="4" t="s">
        <x:v>1816</x:v>
      </x:c>
      <x:c r="J92" s="4" t="s">
        <x:v>199</x:v>
      </x:c>
      <x:c r="K92" s="4" t="s">
        <x:v>570</x:v>
      </x:c>
      <x:c r="L92" s="4" t="s">
        <x:v>107</x:v>
      </x:c>
      <x:c r="M92" s="4" t="s">
        <x:v>563</x:v>
      </x:c>
      <x:c r="N92" s="4" t="s">
        <x:v>563</x:v>
      </x:c>
      <x:c r="O92" s="4" t="s">
        <x:v>168</x:v>
      </x:c>
      <x:c r="P92" s="4" t="s">
        <x:v>1817</x:v>
      </x:c>
      <x:c r="Q92" s="4" t="s">
        <x:v>1817</x:v>
      </x:c>
      <x:c r="R92" s="4" t="s">
        <x:v>1818</x:v>
      </x:c>
      <x:c r="S92" s="4" t="s">
        <x:v>227</x:v>
      </x:c>
      <x:c r="T92" s="4" t="s">
        <x:v>1843</x:v>
      </x:c>
      <x:c r="U92" s="4" t="s">
        <x:v>563</x:v>
      </x:c>
      <x:c r="V92" s="4" t="s">
        <x:v>571</x:v>
      </x:c>
      <x:c r="W92" s="4" t="s">
        <x:v>171</x:v>
      </x:c>
      <x:c r="X92" s="4" t="s">
        <x:v>171</x:v>
      </x:c>
      <x:c r="Y92" s="4" t="s">
        <x:v>172</x:v>
      </x:c>
      <x:c r="Z92" s="4" t="s">
        <x:v>171</x:v>
      </x:c>
      <x:c r="AA92" s="4" t="s">
        <x:v>172</x:v>
      </x:c>
      <x:c r="AB92" s="4" t="s">
        <x:v>172</x:v>
      </x:c>
      <x:c r="AC92" s="4" t="s">
        <x:v>172</x:v>
      </x:c>
      <x:c r="AD92" s="4" t="s">
        <x:v>195</x:v>
      </x:c>
      <x:c r="AE92" s="4" t="s">
        <x:v>1848</x:v>
      </x:c>
      <x:c r="AF92" s="4" t="s">
        <x:v>1820</x:v>
      </x:c>
      <x:c r="AG92" s="4" t="s">
        <x:v>2114</x:v>
      </x:c>
      <x:c r="AH92" s="4" t="s">
        <x:v>171</x:v>
      </x:c>
      <x:c r="AI92" s="4" t="s">
        <x:v>1822</x:v>
      </x:c>
      <x:c r="AJ92" s="4" t="s">
        <x:v>2115</x:v>
      </x:c>
      <x:c r="AK92" s="4" t="s">
        <x:v>1911</x:v>
      </x:c>
      <x:c r="AL92" s="4" t="s">
        <x:v>1823</x:v>
      </x:c>
      <x:c r="AM92" s="66"/>
      <x:c r="AP92" s="67"/>
    </x:row>
    <x:row r="93">
      <x:c r="A93" s="4" t="s">
        <x:v>75</x:v>
      </x:c>
      <x:c r="B93" s="4" t="s">
        <x:v>229</x:v>
      </x:c>
      <x:c r="C93" s="4" t="s">
        <x:v>1824</x:v>
      </x:c>
      <x:c r="D93" s="4" t="s">
        <x:v>573</x:v>
      </x:c>
      <x:c r="E93" s="4" t="s">
        <x:v>573</x:v>
      </x:c>
      <x:c r="F93" s="65" t="n">
        <x:v>46191.74497685185</x:v>
      </x:c>
      <x:c r="G93" s="4" t="s">
        <x:v>1561</x:v>
      </x:c>
      <x:c r="H93" s="4" t="s">
        <x:v>1337</x:v>
      </x:c>
      <x:c r="I93" s="4" t="s">
        <x:v>1825</x:v>
      </x:c>
      <x:c r="J93" s="4" t="s">
        <x:v>1826</x:v>
      </x:c>
      <x:c r="K93" s="4" t="s">
        <x:v>107</x:v>
      </x:c>
      <x:c r="L93" s="4" t="s">
        <x:v>574</x:v>
      </x:c>
      <x:c r="M93" s="4" t="s">
        <x:v>169</x:v>
      </x:c>
      <x:c r="N93" s="4" t="s">
        <x:v>169</x:v>
      </x:c>
      <x:c r="O93" s="4" t="str">
        <x:v>已取消</x:v>
      </x:c>
      <x:c r="P93" s="4" t="s">
        <x:v>171</x:v>
      </x:c>
      <x:c r="Q93" s="4" t="s">
        <x:v>1817</x:v>
      </x:c>
      <x:c r="R93" s="4" t="s">
        <x:v>1827</x:v>
      </x:c>
      <x:c r="S93" s="4" t="s">
        <x:v>1828</x:v>
      </x:c>
      <x:c r="T93" s="4" t="s">
        <x:v>1829</x:v>
      </x:c>
      <x:c r="U93" s="4" t="s">
        <x:v>571</x:v>
      </x:c>
      <x:c r="V93" s="4" t="s">
        <x:v>571</x:v>
      </x:c>
      <x:c r="W93" s="4" t="s">
        <x:v>172</x:v>
      </x:c>
      <x:c r="X93" s="4" t="s">
        <x:v>171</x:v>
      </x:c>
      <x:c r="Y93" s="4" t="s">
        <x:v>172</x:v>
      </x:c>
      <x:c r="Z93" s="4" t="s">
        <x:v>172</x:v>
      </x:c>
      <x:c r="AA93" s="4" t="s">
        <x:v>172</x:v>
      </x:c>
      <x:c r="AB93" s="4" t="s">
        <x:v>172</x:v>
      </x:c>
      <x:c r="AC93" s="4" t="s">
        <x:v>172</x:v>
      </x:c>
      <x:c r="AD93" s="4" t="str">
        <x:v>疑似连续调整</x:v>
      </x:c>
      <x:c r="AE93" s="4" t="s">
        <x:v>1830</x:v>
      </x:c>
      <x:c r="AF93" s="4" t="s">
        <x:v>1830</x:v>
      </x:c>
      <x:c r="AG93" s="4" t="str">
        <x:v>条件委托已取消；算法编号1000002004308210；创建时间2026-06-18 22:01:24；撤销时间2026-06-19 01:52:46；是否触发否；周期关联等级STRONG_CONTEXT；取消/过期原因无法确认（已完成为不适用）。</x:v>
      </x:c>
      <x:c r="AH93" s="4" t="s">
        <x:v>172</x:v>
      </x:c>
      <x:c r="AI93" s="4" t="str">
        <x:v>/Users/luodaluo/Desktop/30天复盘原始数据/补充证据_历史委托条件委托截图/05_安卓端取消与过期完整生命周期/01_已取消/Screenshot_20260722_222419.jpg</x:v>
      </x:c>
      <x:c r="AJ93" s="4" t="s">
        <x:v>2116</x:v>
      </x:c>
      <x:c r="AK93" s="4" t="s">
        <x:v>169</x:v>
      </x:c>
      <x:c r="AL93" s="4" t="s">
        <x:v>1832</x:v>
      </x:c>
      <x:c r="AM93" s="66" t="str">
        <x:v>1000002004308210</x:v>
      </x:c>
      <x:c r="AN93" t="str">
        <x:v>撤销</x:v>
      </x:c>
      <x:c r="AO93" t="str">
        <x:v>否</x:v>
      </x:c>
      <x:c r="AP93" s="67" t="n">
        <x:v>46191.74497685185</x:v>
      </x:c>
      <x:c r="AQ93" t="str">
        <x:v>STRONG_CONTEXT</x:v>
      </x:c>
      <x:c r="AR93" t="str">
        <x:v>/Users/luodaluo/Desktop/30天复盘原始数据/补充证据_历史委托条件委托截图/05_安卓端取消与过期完整生命周期/01_已取消/Screenshot_20260722_222419.jpg</x:v>
      </x:c>
    </x:row>
    <x:row r="94">
      <x:c r="A94" s="4" t="s">
        <x:v>75</x:v>
      </x:c>
      <x:c r="B94" s="4" t="s">
        <x:v>298</x:v>
      </x:c>
      <x:c r="C94" s="4" t="s">
        <x:v>1824</x:v>
      </x:c>
      <x:c r="D94" s="4" t="s">
        <x:v>575</x:v>
      </x:c>
      <x:c r="E94" s="4" t="s">
        <x:v>575</x:v>
      </x:c>
      <x:c r="F94" s="65" t="s">
        <x:v>581</x:v>
      </x:c>
      <x:c r="G94" s="4" t="s">
        <x:v>1561</x:v>
      </x:c>
      <x:c r="H94" s="4" t="s">
        <x:v>1337</x:v>
      </x:c>
      <x:c r="I94" s="4" t="s">
        <x:v>1847</x:v>
      </x:c>
      <x:c r="J94" s="4" t="s">
        <x:v>1835</x:v>
      </x:c>
      <x:c r="K94" s="4" t="s">
        <x:v>576</x:v>
      </x:c>
      <x:c r="L94" s="4" t="s">
        <x:v>169</x:v>
      </x:c>
      <x:c r="M94" s="4" t="s">
        <x:v>571</x:v>
      </x:c>
      <x:c r="N94" s="4" t="s">
        <x:v>169</x:v>
      </x:c>
      <x:c r="O94" s="4" t="s">
        <x:v>236</x:v>
      </x:c>
      <x:c r="P94" s="4" t="s">
        <x:v>1817</x:v>
      </x:c>
      <x:c r="Q94" s="4" t="s">
        <x:v>1817</x:v>
      </x:c>
      <x:c r="R94" s="4" t="s">
        <x:v>1836</x:v>
      </x:c>
      <x:c r="S94" s="4" t="s">
        <x:v>234</x:v>
      </x:c>
      <x:c r="T94" s="4" t="s">
        <x:v>1837</x:v>
      </x:c>
      <x:c r="U94" s="4" t="s">
        <x:v>571</x:v>
      </x:c>
      <x:c r="V94" s="4" t="s">
        <x:v>571</x:v>
      </x:c>
      <x:c r="W94" s="4" t="s">
        <x:v>172</x:v>
      </x:c>
      <x:c r="X94" s="4" t="s">
        <x:v>171</x:v>
      </x:c>
      <x:c r="Y94" s="4" t="s">
        <x:v>172</x:v>
      </x:c>
      <x:c r="Z94" s="4" t="s">
        <x:v>172</x:v>
      </x:c>
      <x:c r="AA94" s="4" t="s">
        <x:v>172</x:v>
      </x:c>
      <x:c r="AB94" s="4" t="s">
        <x:v>172</x:v>
      </x:c>
      <x:c r="AC94" s="4" t="s">
        <x:v>172</x:v>
      </x:c>
      <x:c r="AD94" s="4" t="s">
        <x:v>195</x:v>
      </x:c>
      <x:c r="AE94" s="4" t="s">
        <x:v>1848</x:v>
      </x:c>
      <x:c r="AF94" s="4" t="s">
        <x:v>1830</x:v>
      </x:c>
      <x:c r="AG94" s="4" t="s">
        <x:v>2117</x:v>
      </x:c>
      <x:c r="AH94" s="4" t="s">
        <x:v>171</x:v>
      </x:c>
      <x:c r="AI94" s="4" t="s">
        <x:v>2118</x:v>
      </x:c>
      <x:c r="AJ94" s="4" t="s">
        <x:v>2119</x:v>
      </x:c>
      <x:c r="AK94" s="4" t="s">
        <x:v>169</x:v>
      </x:c>
      <x:c r="AL94" s="4" t="s">
        <x:v>1841</x:v>
      </x:c>
      <x:c r="AM94" s="66"/>
      <x:c r="AP94" s="67"/>
    </x:row>
    <x:row r="95">
      <x:c r="A95" s="4" t="s">
        <x:v>75</x:v>
      </x:c>
      <x:c r="B95" s="4" t="s">
        <x:v>632</x:v>
      </x:c>
      <x:c r="C95" s="4" t="s">
        <x:v>1824</x:v>
      </x:c>
      <x:c r="D95" s="4" t="s">
        <x:v>578</x:v>
      </x:c>
      <x:c r="E95" s="4" t="s">
        <x:v>578</x:v>
      </x:c>
      <x:c r="F95" s="65" t="s">
        <x:v>2120</x:v>
      </x:c>
      <x:c r="G95" s="4" t="s">
        <x:v>1561</x:v>
      </x:c>
      <x:c r="H95" s="4" t="s">
        <x:v>1337</x:v>
      </x:c>
      <x:c r="I95" s="4" t="s">
        <x:v>1834</x:v>
      </x:c>
      <x:c r="J95" s="4" t="s">
        <x:v>1835</x:v>
      </x:c>
      <x:c r="K95" s="4" t="s">
        <x:v>579</x:v>
      </x:c>
      <x:c r="L95" s="4" t="s">
        <x:v>169</x:v>
      </x:c>
      <x:c r="M95" s="4" t="s">
        <x:v>563</x:v>
      </x:c>
      <x:c r="N95" s="4" t="s">
        <x:v>169</x:v>
      </x:c>
      <x:c r="O95" s="4" t="s">
        <x:v>187</x:v>
      </x:c>
      <x:c r="P95" s="4" t="s">
        <x:v>1817</x:v>
      </x:c>
      <x:c r="Q95" s="4" t="s">
        <x:v>1817</x:v>
      </x:c>
      <x:c r="R95" s="4" t="s">
        <x:v>1836</x:v>
      </x:c>
      <x:c r="S95" s="4" t="s">
        <x:v>223</x:v>
      </x:c>
      <x:c r="T95" s="4" t="s">
        <x:v>1837</x:v>
      </x:c>
      <x:c r="U95" s="4" t="s">
        <x:v>571</x:v>
      </x:c>
      <x:c r="V95" s="4" t="s">
        <x:v>571</x:v>
      </x:c>
      <x:c r="W95" s="4" t="s">
        <x:v>172</x:v>
      </x:c>
      <x:c r="X95" s="4" t="s">
        <x:v>171</x:v>
      </x:c>
      <x:c r="Y95" s="4" t="s">
        <x:v>172</x:v>
      </x:c>
      <x:c r="Z95" s="4" t="s">
        <x:v>172</x:v>
      </x:c>
      <x:c r="AA95" s="4" t="s">
        <x:v>172</x:v>
      </x:c>
      <x:c r="AB95" s="4" t="s">
        <x:v>172</x:v>
      </x:c>
      <x:c r="AC95" s="4" t="s">
        <x:v>172</x:v>
      </x:c>
      <x:c r="AD95" s="4" t="s">
        <x:v>195</x:v>
      </x:c>
      <x:c r="AE95" s="4" t="s">
        <x:v>1848</x:v>
      </x:c>
      <x:c r="AF95" s="4" t="s">
        <x:v>1830</x:v>
      </x:c>
      <x:c r="AG95" s="4" t="s">
        <x:v>2121</x:v>
      </x:c>
      <x:c r="AH95" s="4" t="s">
        <x:v>171</x:v>
      </x:c>
      <x:c r="AI95" s="4" t="s">
        <x:v>2122</x:v>
      </x:c>
      <x:c r="AJ95" s="4" t="s">
        <x:v>2123</x:v>
      </x:c>
      <x:c r="AK95" s="4" t="s">
        <x:v>169</x:v>
      </x:c>
      <x:c r="AL95" s="4" t="s">
        <x:v>1841</x:v>
      </x:c>
      <x:c r="AM95" s="66"/>
      <x:c r="AP95" s="67"/>
    </x:row>
    <x:row r="96">
      <x:c r="A96" s="4" t="s">
        <x:v>75</x:v>
      </x:c>
      <x:c r="B96" s="4" t="s">
        <x:v>1607</x:v>
      </x:c>
      <x:c r="C96" s="4" t="s">
        <x:v>1824</x:v>
      </x:c>
      <x:c r="D96" s="4" t="s">
        <x:v>581</x:v>
      </x:c>
      <x:c r="E96" s="4" t="s">
        <x:v>581</x:v>
      </x:c>
      <x:c r="F96" s="65" t="s">
        <x:v>2124</x:v>
      </x:c>
      <x:c r="G96" s="4" t="s">
        <x:v>1561</x:v>
      </x:c>
      <x:c r="H96" s="4" t="s">
        <x:v>1337</x:v>
      </x:c>
      <x:c r="I96" s="4" t="s">
        <x:v>1847</x:v>
      </x:c>
      <x:c r="J96" s="4" t="s">
        <x:v>1835</x:v>
      </x:c>
      <x:c r="K96" s="4" t="s">
        <x:v>582</x:v>
      </x:c>
      <x:c r="L96" s="4" t="s">
        <x:v>169</x:v>
      </x:c>
      <x:c r="M96" s="4" t="s">
        <x:v>571</x:v>
      </x:c>
      <x:c r="N96" s="4" t="s">
        <x:v>169</x:v>
      </x:c>
      <x:c r="O96" s="4" t="s">
        <x:v>187</x:v>
      </x:c>
      <x:c r="P96" s="4" t="s">
        <x:v>1817</x:v>
      </x:c>
      <x:c r="Q96" s="4" t="s">
        <x:v>1817</x:v>
      </x:c>
      <x:c r="R96" s="4" t="s">
        <x:v>1836</x:v>
      </x:c>
      <x:c r="S96" s="4" t="s">
        <x:v>234</x:v>
      </x:c>
      <x:c r="T96" s="4" t="s">
        <x:v>1837</x:v>
      </x:c>
      <x:c r="U96" s="4" t="s">
        <x:v>571</x:v>
      </x:c>
      <x:c r="V96" s="4" t="s">
        <x:v>571</x:v>
      </x:c>
      <x:c r="W96" s="4" t="s">
        <x:v>172</x:v>
      </x:c>
      <x:c r="X96" s="4" t="s">
        <x:v>171</x:v>
      </x:c>
      <x:c r="Y96" s="4" t="s">
        <x:v>172</x:v>
      </x:c>
      <x:c r="Z96" s="4" t="s">
        <x:v>172</x:v>
      </x:c>
      <x:c r="AA96" s="4" t="s">
        <x:v>172</x:v>
      </x:c>
      <x:c r="AB96" s="4" t="s">
        <x:v>172</x:v>
      </x:c>
      <x:c r="AC96" s="4" t="s">
        <x:v>172</x:v>
      </x:c>
      <x:c r="AD96" s="4" t="s">
        <x:v>195</x:v>
      </x:c>
      <x:c r="AE96" s="4" t="s">
        <x:v>1848</x:v>
      </x:c>
      <x:c r="AF96" s="4" t="s">
        <x:v>1830</x:v>
      </x:c>
      <x:c r="AG96" s="4" t="s">
        <x:v>2117</x:v>
      </x:c>
      <x:c r="AH96" s="4" t="s">
        <x:v>171</x:v>
      </x:c>
      <x:c r="AI96" s="4" t="s">
        <x:v>2125</x:v>
      </x:c>
      <x:c r="AJ96" s="4" t="s">
        <x:v>2126</x:v>
      </x:c>
      <x:c r="AK96" s="4" t="s">
        <x:v>169</x:v>
      </x:c>
      <x:c r="AL96" s="4" t="s">
        <x:v>1841</x:v>
      </x:c>
      <x:c r="AM96" s="66"/>
      <x:c r="AP96" s="67"/>
    </x:row>
    <x:row r="97">
      <x:c r="A97" s="4" t="s">
        <x:v>75</x:v>
      </x:c>
      <x:c r="B97" s="4" t="s">
        <x:v>358</x:v>
      </x:c>
      <x:c r="C97" s="4" t="s">
        <x:v>1824</x:v>
      </x:c>
      <x:c r="D97" s="4" t="s">
        <x:v>584</x:v>
      </x:c>
      <x:c r="E97" s="4" t="s">
        <x:v>584</x:v>
      </x:c>
      <x:c r="F97" s="65" t="s">
        <x:v>2127</x:v>
      </x:c>
      <x:c r="G97" s="4" t="s">
        <x:v>1561</x:v>
      </x:c>
      <x:c r="H97" s="4" t="s">
        <x:v>1337</x:v>
      </x:c>
      <x:c r="I97" s="4" t="s">
        <x:v>1847</x:v>
      </x:c>
      <x:c r="J97" s="4" t="s">
        <x:v>1835</x:v>
      </x:c>
      <x:c r="K97" s="4" t="s">
        <x:v>585</x:v>
      </x:c>
      <x:c r="L97" s="4" t="s">
        <x:v>169</x:v>
      </x:c>
      <x:c r="M97" s="4" t="s">
        <x:v>571</x:v>
      </x:c>
      <x:c r="N97" s="4" t="s">
        <x:v>169</x:v>
      </x:c>
      <x:c r="O97" s="4" t="s">
        <x:v>187</x:v>
      </x:c>
      <x:c r="P97" s="4" t="s">
        <x:v>1817</x:v>
      </x:c>
      <x:c r="Q97" s="4" t="s">
        <x:v>1817</x:v>
      </x:c>
      <x:c r="R97" s="4" t="s">
        <x:v>1836</x:v>
      </x:c>
      <x:c r="S97" s="4" t="s">
        <x:v>234</x:v>
      </x:c>
      <x:c r="T97" s="4" t="s">
        <x:v>1837</x:v>
      </x:c>
      <x:c r="U97" s="4" t="s">
        <x:v>571</x:v>
      </x:c>
      <x:c r="V97" s="4" t="s">
        <x:v>571</x:v>
      </x:c>
      <x:c r="W97" s="4" t="s">
        <x:v>172</x:v>
      </x:c>
      <x:c r="X97" s="4" t="s">
        <x:v>171</x:v>
      </x:c>
      <x:c r="Y97" s="4" t="s">
        <x:v>172</x:v>
      </x:c>
      <x:c r="Z97" s="4" t="s">
        <x:v>172</x:v>
      </x:c>
      <x:c r="AA97" s="4" t="s">
        <x:v>172</x:v>
      </x:c>
      <x:c r="AB97" s="4" t="s">
        <x:v>172</x:v>
      </x:c>
      <x:c r="AC97" s="4" t="s">
        <x:v>172</x:v>
      </x:c>
      <x:c r="AD97" s="4" t="s">
        <x:v>193</x:v>
      </x:c>
      <x:c r="AE97" s="4" t="s">
        <x:v>1830</x:v>
      </x:c>
      <x:c r="AF97" s="4" t="s">
        <x:v>1830</x:v>
      </x:c>
      <x:c r="AG97" s="4" t="s">
        <x:v>2117</x:v>
      </x:c>
      <x:c r="AH97" s="4" t="s">
        <x:v>172</x:v>
      </x:c>
      <x:c r="AI97" s="4" t="s">
        <x:v>2128</x:v>
      </x:c>
      <x:c r="AJ97" s="4" t="s">
        <x:v>2129</x:v>
      </x:c>
      <x:c r="AK97" s="4" t="s">
        <x:v>169</x:v>
      </x:c>
      <x:c r="AL97" s="4" t="s">
        <x:v>1841</x:v>
      </x:c>
      <x:c r="AM97" s="66"/>
      <x:c r="AP97" s="67"/>
    </x:row>
    <x:row r="98">
      <x:c r="A98" s="4" t="s">
        <x:v>75</x:v>
      </x:c>
      <x:c r="B98" s="4" t="s">
        <x:v>1465</x:v>
      </x:c>
      <x:c r="C98" s="4" t="s">
        <x:v>1824</x:v>
      </x:c>
      <x:c r="D98" s="4" t="s">
        <x:v>587</x:v>
      </x:c>
      <x:c r="E98" s="4" t="s">
        <x:v>587</x:v>
      </x:c>
      <x:c r="F98" s="65" t="s">
        <x:v>2130</x:v>
      </x:c>
      <x:c r="G98" s="4" t="s">
        <x:v>1561</x:v>
      </x:c>
      <x:c r="H98" s="4" t="s">
        <x:v>1337</x:v>
      </x:c>
      <x:c r="I98" s="4" t="s">
        <x:v>1847</x:v>
      </x:c>
      <x:c r="J98" s="4" t="s">
        <x:v>1835</x:v>
      </x:c>
      <x:c r="K98" s="4" t="s">
        <x:v>588</x:v>
      </x:c>
      <x:c r="L98" s="4" t="s">
        <x:v>169</x:v>
      </x:c>
      <x:c r="M98" s="4" t="s">
        <x:v>571</x:v>
      </x:c>
      <x:c r="N98" s="4" t="s">
        <x:v>169</x:v>
      </x:c>
      <x:c r="O98" s="4" t="s">
        <x:v>187</x:v>
      </x:c>
      <x:c r="P98" s="4" t="s">
        <x:v>1817</x:v>
      </x:c>
      <x:c r="Q98" s="4" t="s">
        <x:v>1817</x:v>
      </x:c>
      <x:c r="R98" s="4" t="s">
        <x:v>1836</x:v>
      </x:c>
      <x:c r="S98" s="4" t="s">
        <x:v>234</x:v>
      </x:c>
      <x:c r="T98" s="4" t="s">
        <x:v>1837</x:v>
      </x:c>
      <x:c r="U98" s="4" t="s">
        <x:v>571</x:v>
      </x:c>
      <x:c r="V98" s="4" t="s">
        <x:v>571</x:v>
      </x:c>
      <x:c r="W98" s="4" t="s">
        <x:v>172</x:v>
      </x:c>
      <x:c r="X98" s="4" t="s">
        <x:v>171</x:v>
      </x:c>
      <x:c r="Y98" s="4" t="s">
        <x:v>172</x:v>
      </x:c>
      <x:c r="Z98" s="4" t="s">
        <x:v>172</x:v>
      </x:c>
      <x:c r="AA98" s="4" t="s">
        <x:v>172</x:v>
      </x:c>
      <x:c r="AB98" s="4" t="s">
        <x:v>172</x:v>
      </x:c>
      <x:c r="AC98" s="4" t="s">
        <x:v>172</x:v>
      </x:c>
      <x:c r="AD98" s="4" t="s">
        <x:v>193</x:v>
      </x:c>
      <x:c r="AE98" s="4" t="s">
        <x:v>1830</x:v>
      </x:c>
      <x:c r="AF98" s="4" t="s">
        <x:v>1830</x:v>
      </x:c>
      <x:c r="AG98" s="4" t="s">
        <x:v>2117</x:v>
      </x:c>
      <x:c r="AH98" s="4" t="s">
        <x:v>172</x:v>
      </x:c>
      <x:c r="AI98" s="4" t="s">
        <x:v>2131</x:v>
      </x:c>
      <x:c r="AJ98" s="4" t="s">
        <x:v>2132</x:v>
      </x:c>
      <x:c r="AK98" s="4" t="s">
        <x:v>169</x:v>
      </x:c>
      <x:c r="AL98" s="4" t="s">
        <x:v>1841</x:v>
      </x:c>
      <x:c r="AM98" s="66"/>
      <x:c r="AP98" s="67"/>
    </x:row>
    <x:row r="99">
      <x:c r="A99" s="4" t="s">
        <x:v>75</x:v>
      </x:c>
      <x:c r="B99" s="4" t="s">
        <x:v>1464</x:v>
      </x:c>
      <x:c r="C99" s="4" t="s">
        <x:v>1824</x:v>
      </x:c>
      <x:c r="D99" s="4" t="s">
        <x:v>589</x:v>
      </x:c>
      <x:c r="E99" s="4" t="s">
        <x:v>589</x:v>
      </x:c>
      <x:c r="F99" s="65" t="s">
        <x:v>2133</x:v>
      </x:c>
      <x:c r="G99" s="4" t="s">
        <x:v>1561</x:v>
      </x:c>
      <x:c r="H99" s="4" t="s">
        <x:v>1337</x:v>
      </x:c>
      <x:c r="I99" s="4" t="s">
        <x:v>1834</x:v>
      </x:c>
      <x:c r="J99" s="4" t="s">
        <x:v>1835</x:v>
      </x:c>
      <x:c r="K99" s="4" t="s">
        <x:v>590</x:v>
      </x:c>
      <x:c r="L99" s="4" t="s">
        <x:v>169</x:v>
      </x:c>
      <x:c r="M99" s="4" t="s">
        <x:v>2134</x:v>
      </x:c>
      <x:c r="N99" s="4" t="s">
        <x:v>169</x:v>
      </x:c>
      <x:c r="O99" s="4" t="s">
        <x:v>187</x:v>
      </x:c>
      <x:c r="P99" s="4" t="s">
        <x:v>1817</x:v>
      </x:c>
      <x:c r="Q99" s="4" t="s">
        <x:v>1817</x:v>
      </x:c>
      <x:c r="R99" s="4" t="s">
        <x:v>1836</x:v>
      </x:c>
      <x:c r="S99" s="4" t="s">
        <x:v>223</x:v>
      </x:c>
      <x:c r="T99" s="4" t="s">
        <x:v>1837</x:v>
      </x:c>
      <x:c r="U99" s="4" t="s">
        <x:v>571</x:v>
      </x:c>
      <x:c r="V99" s="4" t="s">
        <x:v>571</x:v>
      </x:c>
      <x:c r="W99" s="4" t="s">
        <x:v>172</x:v>
      </x:c>
      <x:c r="X99" s="4" t="s">
        <x:v>171</x:v>
      </x:c>
      <x:c r="Y99" s="4" t="s">
        <x:v>172</x:v>
      </x:c>
      <x:c r="Z99" s="4" t="s">
        <x:v>172</x:v>
      </x:c>
      <x:c r="AA99" s="4" t="s">
        <x:v>172</x:v>
      </x:c>
      <x:c r="AB99" s="4" t="s">
        <x:v>172</x:v>
      </x:c>
      <x:c r="AC99" s="4" t="s">
        <x:v>172</x:v>
      </x:c>
      <x:c r="AD99" s="4" t="s">
        <x:v>195</x:v>
      </x:c>
      <x:c r="AE99" s="4" t="s">
        <x:v>1848</x:v>
      </x:c>
      <x:c r="AF99" s="4" t="s">
        <x:v>1830</x:v>
      </x:c>
      <x:c r="AG99" s="4" t="s">
        <x:v>2121</x:v>
      </x:c>
      <x:c r="AH99" s="4" t="s">
        <x:v>171</x:v>
      </x:c>
      <x:c r="AI99" s="4" t="s">
        <x:v>2135</x:v>
      </x:c>
      <x:c r="AJ99" s="4" t="s">
        <x:v>2136</x:v>
      </x:c>
      <x:c r="AK99" s="4" t="s">
        <x:v>169</x:v>
      </x:c>
      <x:c r="AL99" s="4" t="s">
        <x:v>1841</x:v>
      </x:c>
      <x:c r="AM99" s="66"/>
      <x:c r="AP99" s="67"/>
    </x:row>
    <x:row r="100">
      <x:c r="A100" s="4" t="s">
        <x:v>75</x:v>
      </x:c>
      <x:c r="B100" s="4" t="s">
        <x:v>638</x:v>
      </x:c>
      <x:c r="C100" s="4" t="s">
        <x:v>1824</x:v>
      </x:c>
      <x:c r="D100" s="4" t="s">
        <x:v>591</x:v>
      </x:c>
      <x:c r="E100" s="4" t="s">
        <x:v>591</x:v>
      </x:c>
      <x:c r="F100" s="65" t="n">
        <x:v>46191.68375</x:v>
      </x:c>
      <x:c r="G100" s="4" t="s">
        <x:v>1561</x:v>
      </x:c>
      <x:c r="H100" s="4" t="s">
        <x:v>1337</x:v>
      </x:c>
      <x:c r="I100" s="4" t="s">
        <x:v>1825</x:v>
      </x:c>
      <x:c r="J100" s="4" t="s">
        <x:v>203</x:v>
      </x:c>
      <x:c r="K100" s="4" t="s">
        <x:v>107</x:v>
      </x:c>
      <x:c r="L100" s="4" t="s">
        <x:v>592</x:v>
      </x:c>
      <x:c r="M100" s="4" t="s">
        <x:v>169</x:v>
      </x:c>
      <x:c r="N100" s="4" t="s">
        <x:v>169</x:v>
      </x:c>
      <x:c r="O100" s="4" t="str">
        <x:v>已取消</x:v>
      </x:c>
      <x:c r="P100" s="4" t="s">
        <x:v>171</x:v>
      </x:c>
      <x:c r="Q100" s="4" t="s">
        <x:v>1817</x:v>
      </x:c>
      <x:c r="R100" s="4" t="s">
        <x:v>1827</x:v>
      </x:c>
      <x:c r="S100" s="4" t="s">
        <x:v>2106</x:v>
      </x:c>
      <x:c r="T100" s="4" t="s">
        <x:v>1829</x:v>
      </x:c>
      <x:c r="U100" s="4" t="s">
        <x:v>571</x:v>
      </x:c>
      <x:c r="V100" s="4" t="s">
        <x:v>571</x:v>
      </x:c>
      <x:c r="W100" s="4" t="s">
        <x:v>172</x:v>
      </x:c>
      <x:c r="X100" s="4" t="s">
        <x:v>171</x:v>
      </x:c>
      <x:c r="Y100" s="4" t="s">
        <x:v>172</x:v>
      </x:c>
      <x:c r="Z100" s="4" t="s">
        <x:v>172</x:v>
      </x:c>
      <x:c r="AA100" s="4" t="s">
        <x:v>172</x:v>
      </x:c>
      <x:c r="AB100" s="4" t="s">
        <x:v>172</x:v>
      </x:c>
      <x:c r="AC100" s="4" t="s">
        <x:v>172</x:v>
      </x:c>
      <x:c r="AD100" s="4" t="str">
        <x:v>相邻记录</x:v>
      </x:c>
      <x:c r="AE100" s="4" t="s">
        <x:v>1830</x:v>
      </x:c>
      <x:c r="AF100" s="4" t="s">
        <x:v>1830</x:v>
      </x:c>
      <x:c r="AG100" s="4" t="str">
        <x:v>条件委托已取消；算法编号1000002004958122；创建时间2026-06-18 23:15:30；撤销时间2026-06-19 00:24:36；是否触发否；周期关联等级STRONG_CONTEXT；取消/过期原因无法确认（已完成为不适用）。</x:v>
      </x:c>
      <x:c r="AH100" s="4" t="s">
        <x:v>172</x:v>
      </x:c>
      <x:c r="AI100" s="4" t="str">
        <x:v>/Users/luodaluo/Desktop/30天复盘原始数据/补充证据_历史委托条件委托截图/05_安卓端取消与过期完整生命周期/01_已取消/Screenshot_20260722_222424.jpg</x:v>
      </x:c>
      <x:c r="AJ100" s="4" t="s">
        <x:v>2137</x:v>
      </x:c>
      <x:c r="AK100" s="4" t="s">
        <x:v>169</x:v>
      </x:c>
      <x:c r="AL100" s="4" t="s">
        <x:v>1832</x:v>
      </x:c>
      <x:c r="AM100" s="66" t="str">
        <x:v>1000002004958122</x:v>
      </x:c>
      <x:c r="AN100" t="str">
        <x:v>撤销</x:v>
      </x:c>
      <x:c r="AO100" t="str">
        <x:v>否</x:v>
      </x:c>
      <x:c r="AP100" s="67" t="n">
        <x:v>46191.68375</x:v>
      </x:c>
      <x:c r="AQ100" t="str">
        <x:v>STRONG_CONTEXT</x:v>
      </x:c>
      <x:c r="AR100" t="str">
        <x:v>/Users/luodaluo/Desktop/30天复盘原始数据/补充证据_历史委托条件委托截图/05_安卓端取消与过期完整生命周期/01_已取消/Screenshot_20260722_222424.jpg</x:v>
      </x:c>
    </x:row>
    <x:row r="101">
      <x:c r="A101" s="4" t="s">
        <x:v>75</x:v>
      </x:c>
      <x:c r="B101" s="4" t="s">
        <x:v>1911</x:v>
      </x:c>
      <x:c r="C101" s="4" t="s">
        <x:v>1824</x:v>
      </x:c>
      <x:c r="D101" s="4" t="s">
        <x:v>593</x:v>
      </x:c>
      <x:c r="E101" s="4" t="s">
        <x:v>593</x:v>
      </x:c>
      <x:c r="F101" s="65" t="s">
        <x:v>2138</x:v>
      </x:c>
      <x:c r="G101" s="4" t="s">
        <x:v>1561</x:v>
      </x:c>
      <x:c r="H101" s="4" t="s">
        <x:v>1337</x:v>
      </x:c>
      <x:c r="I101" s="4" t="s">
        <x:v>1834</x:v>
      </x:c>
      <x:c r="J101" s="4" t="s">
        <x:v>1835</x:v>
      </x:c>
      <x:c r="K101" s="4" t="s">
        <x:v>594</x:v>
      </x:c>
      <x:c r="L101" s="4" t="s">
        <x:v>169</x:v>
      </x:c>
      <x:c r="M101" s="4" t="s">
        <x:v>2139</x:v>
      </x:c>
      <x:c r="N101" s="4" t="s">
        <x:v>169</x:v>
      </x:c>
      <x:c r="O101" s="4" t="s">
        <x:v>187</x:v>
      </x:c>
      <x:c r="P101" s="4" t="s">
        <x:v>1817</x:v>
      </x:c>
      <x:c r="Q101" s="4" t="s">
        <x:v>1817</x:v>
      </x:c>
      <x:c r="R101" s="4" t="s">
        <x:v>1836</x:v>
      </x:c>
      <x:c r="S101" s="4" t="s">
        <x:v>223</x:v>
      </x:c>
      <x:c r="T101" s="4" t="s">
        <x:v>1837</x:v>
      </x:c>
      <x:c r="U101" s="4" t="s">
        <x:v>571</x:v>
      </x:c>
      <x:c r="V101" s="4" t="s">
        <x:v>571</x:v>
      </x:c>
      <x:c r="W101" s="4" t="s">
        <x:v>172</x:v>
      </x:c>
      <x:c r="X101" s="4" t="s">
        <x:v>171</x:v>
      </x:c>
      <x:c r="Y101" s="4" t="s">
        <x:v>172</x:v>
      </x:c>
      <x:c r="Z101" s="4" t="s">
        <x:v>172</x:v>
      </x:c>
      <x:c r="AA101" s="4" t="s">
        <x:v>172</x:v>
      </x:c>
      <x:c r="AB101" s="4" t="s">
        <x:v>172</x:v>
      </x:c>
      <x:c r="AC101" s="4" t="s">
        <x:v>172</x:v>
      </x:c>
      <x:c r="AD101" s="4" t="s">
        <x:v>193</x:v>
      </x:c>
      <x:c r="AE101" s="4" t="s">
        <x:v>1830</x:v>
      </x:c>
      <x:c r="AF101" s="4" t="s">
        <x:v>1830</x:v>
      </x:c>
      <x:c r="AG101" s="4" t="s">
        <x:v>2121</x:v>
      </x:c>
      <x:c r="AH101" s="4" t="s">
        <x:v>172</x:v>
      </x:c>
      <x:c r="AI101" s="4" t="s">
        <x:v>2140</x:v>
      </x:c>
      <x:c r="AJ101" s="4" t="s">
        <x:v>2141</x:v>
      </x:c>
      <x:c r="AK101" s="4" t="s">
        <x:v>169</x:v>
      </x:c>
      <x:c r="AL101" s="4" t="s">
        <x:v>1841</x:v>
      </x:c>
      <x:c r="AM101" s="66"/>
      <x:c r="AP101" s="67"/>
    </x:row>
    <x:row r="102">
      <x:c r="A102" s="4" t="s">
        <x:v>75</x:v>
      </x:c>
      <x:c r="B102" s="4" t="s">
        <x:v>373</x:v>
      </x:c>
      <x:c r="C102" s="4" t="s">
        <x:v>1824</x:v>
      </x:c>
      <x:c r="D102" s="4" t="s">
        <x:v>596</x:v>
      </x:c>
      <x:c r="E102" s="4" t="s">
        <x:v>596</x:v>
      </x:c>
      <x:c r="F102" s="65" t="s">
        <x:v>597</x:v>
      </x:c>
      <x:c r="G102" s="4" t="s">
        <x:v>1561</x:v>
      </x:c>
      <x:c r="H102" s="4" t="s">
        <x:v>1337</x:v>
      </x:c>
      <x:c r="I102" s="4" t="s">
        <x:v>1847</x:v>
      </x:c>
      <x:c r="J102" s="4" t="s">
        <x:v>1835</x:v>
      </x:c>
      <x:c r="K102" s="4" t="s">
        <x:v>585</x:v>
      </x:c>
      <x:c r="L102" s="4" t="s">
        <x:v>169</x:v>
      </x:c>
      <x:c r="M102" s="4" t="s">
        <x:v>571</x:v>
      </x:c>
      <x:c r="N102" s="4" t="s">
        <x:v>169</x:v>
      </x:c>
      <x:c r="O102" s="4" t="s">
        <x:v>236</x:v>
      </x:c>
      <x:c r="P102" s="4" t="s">
        <x:v>1817</x:v>
      </x:c>
      <x:c r="Q102" s="4" t="s">
        <x:v>1817</x:v>
      </x:c>
      <x:c r="R102" s="4" t="s">
        <x:v>1836</x:v>
      </x:c>
      <x:c r="S102" s="4" t="s">
        <x:v>234</x:v>
      </x:c>
      <x:c r="T102" s="4" t="s">
        <x:v>1837</x:v>
      </x:c>
      <x:c r="U102" s="4" t="s">
        <x:v>571</x:v>
      </x:c>
      <x:c r="V102" s="4" t="s">
        <x:v>571</x:v>
      </x:c>
      <x:c r="W102" s="4" t="s">
        <x:v>172</x:v>
      </x:c>
      <x:c r="X102" s="4" t="s">
        <x:v>171</x:v>
      </x:c>
      <x:c r="Y102" s="4" t="s">
        <x:v>172</x:v>
      </x:c>
      <x:c r="Z102" s="4" t="s">
        <x:v>172</x:v>
      </x:c>
      <x:c r="AA102" s="4" t="s">
        <x:v>172</x:v>
      </x:c>
      <x:c r="AB102" s="4" t="s">
        <x:v>172</x:v>
      </x:c>
      <x:c r="AC102" s="4" t="s">
        <x:v>172</x:v>
      </x:c>
      <x:c r="AD102" s="4" t="s">
        <x:v>195</x:v>
      </x:c>
      <x:c r="AE102" s="4" t="s">
        <x:v>1848</x:v>
      </x:c>
      <x:c r="AF102" s="4" t="s">
        <x:v>1830</x:v>
      </x:c>
      <x:c r="AG102" s="4" t="s">
        <x:v>2117</x:v>
      </x:c>
      <x:c r="AH102" s="4" t="s">
        <x:v>171</x:v>
      </x:c>
      <x:c r="AI102" s="4" t="s">
        <x:v>2142</x:v>
      </x:c>
      <x:c r="AJ102" s="4" t="s">
        <x:v>2143</x:v>
      </x:c>
      <x:c r="AK102" s="4" t="s">
        <x:v>169</x:v>
      </x:c>
      <x:c r="AL102" s="4" t="s">
        <x:v>1841</x:v>
      </x:c>
      <x:c r="AM102" s="66"/>
      <x:c r="AP102" s="67"/>
    </x:row>
    <x:row r="103">
      <x:c r="A103" s="4" t="s">
        <x:v>75</x:v>
      </x:c>
      <x:c r="B103" s="4" t="s">
        <x:v>1918</x:v>
      </x:c>
      <x:c r="C103" s="4" t="s">
        <x:v>1824</x:v>
      </x:c>
      <x:c r="D103" s="4" t="s">
        <x:v>597</x:v>
      </x:c>
      <x:c r="E103" s="4" t="s">
        <x:v>597</x:v>
      </x:c>
      <x:c r="F103" s="65" t="s">
        <x:v>2144</x:v>
      </x:c>
      <x:c r="G103" s="4" t="s">
        <x:v>1561</x:v>
      </x:c>
      <x:c r="H103" s="4" t="s">
        <x:v>1337</x:v>
      </x:c>
      <x:c r="I103" s="4" t="s">
        <x:v>1847</x:v>
      </x:c>
      <x:c r="J103" s="4" t="s">
        <x:v>1835</x:v>
      </x:c>
      <x:c r="K103" s="4" t="s">
        <x:v>598</x:v>
      </x:c>
      <x:c r="L103" s="4" t="s">
        <x:v>169</x:v>
      </x:c>
      <x:c r="M103" s="4" t="s">
        <x:v>571</x:v>
      </x:c>
      <x:c r="N103" s="4" t="s">
        <x:v>169</x:v>
      </x:c>
      <x:c r="O103" s="4" t="s">
        <x:v>187</x:v>
      </x:c>
      <x:c r="P103" s="4" t="s">
        <x:v>1817</x:v>
      </x:c>
      <x:c r="Q103" s="4" t="s">
        <x:v>1817</x:v>
      </x:c>
      <x:c r="R103" s="4" t="s">
        <x:v>1836</x:v>
      </x:c>
      <x:c r="S103" s="4" t="s">
        <x:v>234</x:v>
      </x:c>
      <x:c r="T103" s="4" t="s">
        <x:v>1837</x:v>
      </x:c>
      <x:c r="U103" s="4" t="s">
        <x:v>571</x:v>
      </x:c>
      <x:c r="V103" s="4" t="s">
        <x:v>571</x:v>
      </x:c>
      <x:c r="W103" s="4" t="s">
        <x:v>172</x:v>
      </x:c>
      <x:c r="X103" s="4" t="s">
        <x:v>171</x:v>
      </x:c>
      <x:c r="Y103" s="4" t="s">
        <x:v>172</x:v>
      </x:c>
      <x:c r="Z103" s="4" t="s">
        <x:v>172</x:v>
      </x:c>
      <x:c r="AA103" s="4" t="s">
        <x:v>172</x:v>
      </x:c>
      <x:c r="AB103" s="4" t="s">
        <x:v>172</x:v>
      </x:c>
      <x:c r="AC103" s="4" t="s">
        <x:v>172</x:v>
      </x:c>
      <x:c r="AD103" s="4" t="s">
        <x:v>193</x:v>
      </x:c>
      <x:c r="AE103" s="4" t="s">
        <x:v>1830</x:v>
      </x:c>
      <x:c r="AF103" s="4" t="s">
        <x:v>1830</x:v>
      </x:c>
      <x:c r="AG103" s="4" t="s">
        <x:v>2117</x:v>
      </x:c>
      <x:c r="AH103" s="4" t="s">
        <x:v>172</x:v>
      </x:c>
      <x:c r="AI103" s="4" t="s">
        <x:v>2145</x:v>
      </x:c>
      <x:c r="AJ103" s="4" t="s">
        <x:v>2146</x:v>
      </x:c>
      <x:c r="AK103" s="4" t="s">
        <x:v>169</x:v>
      </x:c>
      <x:c r="AL103" s="4" t="s">
        <x:v>1841</x:v>
      </x:c>
      <x:c r="AM103" s="66"/>
      <x:c r="AP103" s="67"/>
    </x:row>
    <x:row r="104">
      <x:c r="A104" s="4" t="s">
        <x:v>75</x:v>
      </x:c>
      <x:c r="B104" s="4" t="s">
        <x:v>1721</x:v>
      </x:c>
      <x:c r="C104" s="4" t="s">
        <x:v>1824</x:v>
      </x:c>
      <x:c r="D104" s="4" t="s">
        <x:v>599</x:v>
      </x:c>
      <x:c r="E104" s="4" t="s">
        <x:v>599</x:v>
      </x:c>
      <x:c r="F104" s="65" t="n">
        <x:v>46191.759097222224</x:v>
      </x:c>
      <x:c r="G104" s="4" t="s">
        <x:v>1561</x:v>
      </x:c>
      <x:c r="H104" s="4" t="s">
        <x:v>1337</x:v>
      </x:c>
      <x:c r="I104" s="4" t="s">
        <x:v>1825</x:v>
      </x:c>
      <x:c r="J104" s="4" t="s">
        <x:v>203</x:v>
      </x:c>
      <x:c r="K104" s="4" t="s">
        <x:v>107</x:v>
      </x:c>
      <x:c r="L104" s="4" t="s">
        <x:v>598</x:v>
      </x:c>
      <x:c r="M104" s="4" t="s">
        <x:v>169</x:v>
      </x:c>
      <x:c r="N104" s="4" t="s">
        <x:v>169</x:v>
      </x:c>
      <x:c r="O104" s="4" t="str">
        <x:v>已过期</x:v>
      </x:c>
      <x:c r="P104" s="4" t="s">
        <x:v>171</x:v>
      </x:c>
      <x:c r="Q104" s="4" t="s">
        <x:v>1817</x:v>
      </x:c>
      <x:c r="R104" s="4" t="s">
        <x:v>1827</x:v>
      </x:c>
      <x:c r="S104" s="4" t="s">
        <x:v>2106</x:v>
      </x:c>
      <x:c r="T104" s="4" t="s">
        <x:v>1829</x:v>
      </x:c>
      <x:c r="U104" s="4" t="s">
        <x:v>571</x:v>
      </x:c>
      <x:c r="V104" s="4" t="s">
        <x:v>571</x:v>
      </x:c>
      <x:c r="W104" s="4" t="s">
        <x:v>172</x:v>
      </x:c>
      <x:c r="X104" s="4" t="s">
        <x:v>171</x:v>
      </x:c>
      <x:c r="Y104" s="4" t="s">
        <x:v>172</x:v>
      </x:c>
      <x:c r="Z104" s="4" t="s">
        <x:v>172</x:v>
      </x:c>
      <x:c r="AA104" s="4" t="s">
        <x:v>172</x:v>
      </x:c>
      <x:c r="AB104" s="4" t="s">
        <x:v>172</x:v>
      </x:c>
      <x:c r="AC104" s="4" t="s">
        <x:v>172</x:v>
      </x:c>
      <x:c r="AD104" s="4" t="str">
        <x:v>疑似连续调整</x:v>
      </x:c>
      <x:c r="AE104" s="4" t="s">
        <x:v>1830</x:v>
      </x:c>
      <x:c r="AF104" s="4" t="s">
        <x:v>1830</x:v>
      </x:c>
      <x:c r="AG104" s="4" t="str">
        <x:v>条件委托已过期；算法编号1000002005798922；创建时间2026-06-19 00:29:36；过期时间2026-06-19 02:13:06；是否触发否；周期关联等级STRONG_CONTEXT；取消/过期原因无法确认（已完成为不适用）。</x:v>
      </x:c>
      <x:c r="AH104" s="4" t="s">
        <x:v>172</x:v>
      </x:c>
      <x:c r="AI104" s="4" t="str">
        <x:v>/Users/luodaluo/Desktop/30天复盘原始数据/补充证据_历史委托条件委托截图/05_安卓端取消与过期完整生命周期/02_已过期/Screenshot_20260722_201759.jpg</x:v>
      </x:c>
      <x:c r="AJ104" s="4" t="s">
        <x:v>2147</x:v>
      </x:c>
      <x:c r="AK104" s="4" t="s">
        <x:v>169</x:v>
      </x:c>
      <x:c r="AL104" s="4" t="s">
        <x:v>1832</x:v>
      </x:c>
      <x:c r="AM104" s="66" t="str">
        <x:v>1000002005798922</x:v>
      </x:c>
      <x:c r="AN104" t="str">
        <x:v>过期</x:v>
      </x:c>
      <x:c r="AO104" t="str">
        <x:v>否</x:v>
      </x:c>
      <x:c r="AP104" s="67" t="n">
        <x:v>46191.759097222224</x:v>
      </x:c>
      <x:c r="AQ104" t="str">
        <x:v>STRONG_CONTEXT</x:v>
      </x:c>
      <x:c r="AR104" t="str">
        <x:v>/Users/luodaluo/Desktop/30天复盘原始数据/补充证据_历史委托条件委托截图/05_安卓端取消与过期完整生命周期/02_已过期/Screenshot_20260722_201759.jpg</x:v>
      </x:c>
    </x:row>
    <x:row r="105">
      <x:c r="A105" s="4" t="s">
        <x:v>75</x:v>
      </x:c>
      <x:c r="B105" s="4" t="s">
        <x:v>1720</x:v>
      </x:c>
      <x:c r="C105" s="4" t="s">
        <x:v>1824</x:v>
      </x:c>
      <x:c r="D105" s="4" t="s">
        <x:v>600</x:v>
      </x:c>
      <x:c r="E105" s="4" t="s">
        <x:v>600</x:v>
      </x:c>
      <x:c r="F105" s="65" t="s">
        <x:v>2148</x:v>
      </x:c>
      <x:c r="G105" s="4" t="s">
        <x:v>1561</x:v>
      </x:c>
      <x:c r="H105" s="4" t="s">
        <x:v>1337</x:v>
      </x:c>
      <x:c r="I105" s="4" t="s">
        <x:v>1834</x:v>
      </x:c>
      <x:c r="J105" s="4" t="s">
        <x:v>1835</x:v>
      </x:c>
      <x:c r="K105" s="4" t="s">
        <x:v>601</x:v>
      </x:c>
      <x:c r="L105" s="4" t="s">
        <x:v>169</x:v>
      </x:c>
      <x:c r="M105" s="4" t="s">
        <x:v>2149</x:v>
      </x:c>
      <x:c r="N105" s="4" t="s">
        <x:v>169</x:v>
      </x:c>
      <x:c r="O105" s="4" t="s">
        <x:v>187</x:v>
      </x:c>
      <x:c r="P105" s="4" t="s">
        <x:v>1817</x:v>
      </x:c>
      <x:c r="Q105" s="4" t="s">
        <x:v>1817</x:v>
      </x:c>
      <x:c r="R105" s="4" t="s">
        <x:v>1836</x:v>
      </x:c>
      <x:c r="S105" s="4" t="s">
        <x:v>223</x:v>
      </x:c>
      <x:c r="T105" s="4" t="s">
        <x:v>1837</x:v>
      </x:c>
      <x:c r="U105" s="4" t="s">
        <x:v>571</x:v>
      </x:c>
      <x:c r="V105" s="4" t="s">
        <x:v>571</x:v>
      </x:c>
      <x:c r="W105" s="4" t="s">
        <x:v>172</x:v>
      </x:c>
      <x:c r="X105" s="4" t="s">
        <x:v>171</x:v>
      </x:c>
      <x:c r="Y105" s="4" t="s">
        <x:v>172</x:v>
      </x:c>
      <x:c r="Z105" s="4" t="s">
        <x:v>172</x:v>
      </x:c>
      <x:c r="AA105" s="4" t="s">
        <x:v>172</x:v>
      </x:c>
      <x:c r="AB105" s="4" t="s">
        <x:v>172</x:v>
      </x:c>
      <x:c r="AC105" s="4" t="s">
        <x:v>172</x:v>
      </x:c>
      <x:c r="AD105" s="4" t="s">
        <x:v>195</x:v>
      </x:c>
      <x:c r="AE105" s="4" t="s">
        <x:v>1848</x:v>
      </x:c>
      <x:c r="AF105" s="4" t="s">
        <x:v>1830</x:v>
      </x:c>
      <x:c r="AG105" s="4" t="s">
        <x:v>2121</x:v>
      </x:c>
      <x:c r="AH105" s="4" t="s">
        <x:v>171</x:v>
      </x:c>
      <x:c r="AI105" s="4" t="s">
        <x:v>2150</x:v>
      </x:c>
      <x:c r="AJ105" s="4" t="s">
        <x:v>2151</x:v>
      </x:c>
      <x:c r="AK105" s="4" t="s">
        <x:v>169</x:v>
      </x:c>
      <x:c r="AL105" s="4" t="s">
        <x:v>1841</x:v>
      </x:c>
      <x:c r="AM105" s="66"/>
      <x:c r="AP105" s="67"/>
    </x:row>
    <x:row r="106">
      <x:c r="A106" s="4" t="s">
        <x:v>75</x:v>
      </x:c>
      <x:c r="B106" s="4" t="s">
        <x:v>1927</x:v>
      </x:c>
      <x:c r="C106" s="4" t="s">
        <x:v>1824</x:v>
      </x:c>
      <x:c r="D106" s="4" t="s">
        <x:v>602</x:v>
      </x:c>
      <x:c r="E106" s="4" t="s">
        <x:v>602</x:v>
      </x:c>
      <x:c r="F106" s="65" t="s">
        <x:v>2152</x:v>
      </x:c>
      <x:c r="G106" s="4" t="s">
        <x:v>1561</x:v>
      </x:c>
      <x:c r="H106" s="4" t="s">
        <x:v>1337</x:v>
      </x:c>
      <x:c r="I106" s="4" t="s">
        <x:v>1834</x:v>
      </x:c>
      <x:c r="J106" s="4" t="s">
        <x:v>1835</x:v>
      </x:c>
      <x:c r="K106" s="4" t="s">
        <x:v>603</x:v>
      </x:c>
      <x:c r="L106" s="4" t="s">
        <x:v>169</x:v>
      </x:c>
      <x:c r="M106" s="4" t="s">
        <x:v>2153</x:v>
      </x:c>
      <x:c r="N106" s="4" t="s">
        <x:v>169</x:v>
      </x:c>
      <x:c r="O106" s="4" t="s">
        <x:v>187</x:v>
      </x:c>
      <x:c r="P106" s="4" t="s">
        <x:v>1817</x:v>
      </x:c>
      <x:c r="Q106" s="4" t="s">
        <x:v>1817</x:v>
      </x:c>
      <x:c r="R106" s="4" t="s">
        <x:v>1836</x:v>
      </x:c>
      <x:c r="S106" s="4" t="s">
        <x:v>223</x:v>
      </x:c>
      <x:c r="T106" s="4" t="s">
        <x:v>1837</x:v>
      </x:c>
      <x:c r="U106" s="4" t="s">
        <x:v>571</x:v>
      </x:c>
      <x:c r="V106" s="4" t="s">
        <x:v>571</x:v>
      </x:c>
      <x:c r="W106" s="4" t="s">
        <x:v>172</x:v>
      </x:c>
      <x:c r="X106" s="4" t="s">
        <x:v>171</x:v>
      </x:c>
      <x:c r="Y106" s="4" t="s">
        <x:v>172</x:v>
      </x:c>
      <x:c r="Z106" s="4" t="s">
        <x:v>172</x:v>
      </x:c>
      <x:c r="AA106" s="4" t="s">
        <x:v>172</x:v>
      </x:c>
      <x:c r="AB106" s="4" t="s">
        <x:v>172</x:v>
      </x:c>
      <x:c r="AC106" s="4" t="s">
        <x:v>172</x:v>
      </x:c>
      <x:c r="AD106" s="4" t="s">
        <x:v>193</x:v>
      </x:c>
      <x:c r="AE106" s="4" t="s">
        <x:v>1830</x:v>
      </x:c>
      <x:c r="AF106" s="4" t="s">
        <x:v>1830</x:v>
      </x:c>
      <x:c r="AG106" s="4" t="s">
        <x:v>2121</x:v>
      </x:c>
      <x:c r="AH106" s="4" t="s">
        <x:v>172</x:v>
      </x:c>
      <x:c r="AI106" s="4" t="s">
        <x:v>2154</x:v>
      </x:c>
      <x:c r="AJ106" s="4" t="s">
        <x:v>2155</x:v>
      </x:c>
      <x:c r="AK106" s="4" t="s">
        <x:v>169</x:v>
      </x:c>
      <x:c r="AL106" s="4" t="s">
        <x:v>1841</x:v>
      </x:c>
      <x:c r="AM106" s="66"/>
      <x:c r="AP106" s="67"/>
    </x:row>
    <x:row r="107">
      <x:c r="A107" s="4" t="s">
        <x:v>75</x:v>
      </x:c>
      <x:c r="B107" s="4" t="s">
        <x:v>1855</x:v>
      </x:c>
      <x:c r="C107" s="4" t="s">
        <x:v>1824</x:v>
      </x:c>
      <x:c r="D107" s="4" t="s">
        <x:v>604</x:v>
      </x:c>
      <x:c r="E107" s="4" t="s">
        <x:v>604</x:v>
      </x:c>
      <x:c r="F107" s="65" t="s">
        <x:v>2156</x:v>
      </x:c>
      <x:c r="G107" s="4" t="s">
        <x:v>1561</x:v>
      </x:c>
      <x:c r="H107" s="4" t="s">
        <x:v>1337</x:v>
      </x:c>
      <x:c r="I107" s="4" t="s">
        <x:v>1834</x:v>
      </x:c>
      <x:c r="J107" s="4" t="s">
        <x:v>1835</x:v>
      </x:c>
      <x:c r="K107" s="4" t="s">
        <x:v>605</x:v>
      </x:c>
      <x:c r="L107" s="4" t="s">
        <x:v>169</x:v>
      </x:c>
      <x:c r="M107" s="4" t="s">
        <x:v>2157</x:v>
      </x:c>
      <x:c r="N107" s="4" t="s">
        <x:v>169</x:v>
      </x:c>
      <x:c r="O107" s="4" t="s">
        <x:v>187</x:v>
      </x:c>
      <x:c r="P107" s="4" t="s">
        <x:v>1817</x:v>
      </x:c>
      <x:c r="Q107" s="4" t="s">
        <x:v>1817</x:v>
      </x:c>
      <x:c r="R107" s="4" t="s">
        <x:v>1836</x:v>
      </x:c>
      <x:c r="S107" s="4" t="s">
        <x:v>223</x:v>
      </x:c>
      <x:c r="T107" s="4" t="s">
        <x:v>1837</x:v>
      </x:c>
      <x:c r="U107" s="4" t="s">
        <x:v>571</x:v>
      </x:c>
      <x:c r="V107" s="4" t="s">
        <x:v>571</x:v>
      </x:c>
      <x:c r="W107" s="4" t="s">
        <x:v>172</x:v>
      </x:c>
      <x:c r="X107" s="4" t="s">
        <x:v>171</x:v>
      </x:c>
      <x:c r="Y107" s="4" t="s">
        <x:v>172</x:v>
      </x:c>
      <x:c r="Z107" s="4" t="s">
        <x:v>172</x:v>
      </x:c>
      <x:c r="AA107" s="4" t="s">
        <x:v>172</x:v>
      </x:c>
      <x:c r="AB107" s="4" t="s">
        <x:v>172</x:v>
      </x:c>
      <x:c r="AC107" s="4" t="s">
        <x:v>172</x:v>
      </x:c>
      <x:c r="AD107" s="4" t="s">
        <x:v>193</x:v>
      </x:c>
      <x:c r="AE107" s="4" t="s">
        <x:v>1830</x:v>
      </x:c>
      <x:c r="AF107" s="4" t="s">
        <x:v>1830</x:v>
      </x:c>
      <x:c r="AG107" s="4" t="s">
        <x:v>2121</x:v>
      </x:c>
      <x:c r="AH107" s="4" t="s">
        <x:v>172</x:v>
      </x:c>
      <x:c r="AI107" s="4" t="s">
        <x:v>2158</x:v>
      </x:c>
      <x:c r="AJ107" s="4" t="s">
        <x:v>2159</x:v>
      </x:c>
      <x:c r="AK107" s="4" t="s">
        <x:v>169</x:v>
      </x:c>
      <x:c r="AL107" s="4" t="s">
        <x:v>1841</x:v>
      </x:c>
      <x:c r="AM107" s="66"/>
      <x:c r="AP107" s="67"/>
    </x:row>
    <x:row r="108">
      <x:c r="A108" s="4" t="s">
        <x:v>75</x:v>
      </x:c>
      <x:c r="B108" s="4" t="s">
        <x:v>1501</x:v>
      </x:c>
      <x:c r="C108" s="4" t="s">
        <x:v>1824</x:v>
      </x:c>
      <x:c r="D108" s="4" t="s">
        <x:v>606</x:v>
      </x:c>
      <x:c r="E108" s="4" t="s">
        <x:v>606</x:v>
      </x:c>
      <x:c r="F108" s="65" t="s">
        <x:v>2160</x:v>
      </x:c>
      <x:c r="G108" s="4" t="s">
        <x:v>1561</x:v>
      </x:c>
      <x:c r="H108" s="4" t="s">
        <x:v>1337</x:v>
      </x:c>
      <x:c r="I108" s="4" t="s">
        <x:v>1847</x:v>
      </x:c>
      <x:c r="J108" s="4" t="s">
        <x:v>1835</x:v>
      </x:c>
      <x:c r="K108" s="4" t="s">
        <x:v>607</x:v>
      </x:c>
      <x:c r="L108" s="4" t="s">
        <x:v>169</x:v>
      </x:c>
      <x:c r="M108" s="4" t="s">
        <x:v>571</x:v>
      </x:c>
      <x:c r="N108" s="4" t="s">
        <x:v>169</x:v>
      </x:c>
      <x:c r="O108" s="4" t="s">
        <x:v>187</x:v>
      </x:c>
      <x:c r="P108" s="4" t="s">
        <x:v>1817</x:v>
      </x:c>
      <x:c r="Q108" s="4" t="s">
        <x:v>1817</x:v>
      </x:c>
      <x:c r="R108" s="4" t="s">
        <x:v>1836</x:v>
      </x:c>
      <x:c r="S108" s="4" t="s">
        <x:v>234</x:v>
      </x:c>
      <x:c r="T108" s="4" t="s">
        <x:v>1837</x:v>
      </x:c>
      <x:c r="U108" s="4" t="s">
        <x:v>571</x:v>
      </x:c>
      <x:c r="V108" s="4" t="s">
        <x:v>571</x:v>
      </x:c>
      <x:c r="W108" s="4" t="s">
        <x:v>172</x:v>
      </x:c>
      <x:c r="X108" s="4" t="s">
        <x:v>171</x:v>
      </x:c>
      <x:c r="Y108" s="4" t="s">
        <x:v>172</x:v>
      </x:c>
      <x:c r="Z108" s="4" t="s">
        <x:v>172</x:v>
      </x:c>
      <x:c r="AA108" s="4" t="s">
        <x:v>172</x:v>
      </x:c>
      <x:c r="AB108" s="4" t="s">
        <x:v>172</x:v>
      </x:c>
      <x:c r="AC108" s="4" t="s">
        <x:v>172</x:v>
      </x:c>
      <x:c r="AD108" s="4" t="s">
        <x:v>195</x:v>
      </x:c>
      <x:c r="AE108" s="4" t="s">
        <x:v>1848</x:v>
      </x:c>
      <x:c r="AF108" s="4" t="s">
        <x:v>1830</x:v>
      </x:c>
      <x:c r="AG108" s="4" t="s">
        <x:v>2117</x:v>
      </x:c>
      <x:c r="AH108" s="4" t="s">
        <x:v>171</x:v>
      </x:c>
      <x:c r="AI108" s="4" t="s">
        <x:v>2161</x:v>
      </x:c>
      <x:c r="AJ108" s="4" t="s">
        <x:v>2162</x:v>
      </x:c>
      <x:c r="AK108" s="4" t="s">
        <x:v>169</x:v>
      </x:c>
      <x:c r="AL108" s="4" t="s">
        <x:v>1841</x:v>
      </x:c>
      <x:c r="AM108" s="66"/>
      <x:c r="AP108" s="67"/>
    </x:row>
    <x:row r="109">
      <x:c r="A109" s="4" t="s">
        <x:v>75</x:v>
      </x:c>
      <x:c r="B109" s="4" t="s">
        <x:v>1935</x:v>
      </x:c>
      <x:c r="C109" s="4" t="s">
        <x:v>1824</x:v>
      </x:c>
      <x:c r="D109" s="4" t="s">
        <x:v>608</x:v>
      </x:c>
      <x:c r="E109" s="4" t="s">
        <x:v>608</x:v>
      </x:c>
      <x:c r="F109" s="65" t="n">
        <x:v>46191.74543981482</x:v>
      </x:c>
      <x:c r="G109" s="4" t="s">
        <x:v>1561</x:v>
      </x:c>
      <x:c r="H109" s="4" t="s">
        <x:v>1337</x:v>
      </x:c>
      <x:c r="I109" s="4" t="s">
        <x:v>1825</x:v>
      </x:c>
      <x:c r="J109" s="4" t="s">
        <x:v>1826</x:v>
      </x:c>
      <x:c r="K109" s="4" t="s">
        <x:v>107</x:v>
      </x:c>
      <x:c r="L109" s="4" t="s">
        <x:v>609</x:v>
      </x:c>
      <x:c r="M109" s="4" t="s">
        <x:v>169</x:v>
      </x:c>
      <x:c r="N109" s="4" t="s">
        <x:v>169</x:v>
      </x:c>
      <x:c r="O109" s="4" t="str">
        <x:v>已取消</x:v>
      </x:c>
      <x:c r="P109" s="4" t="s">
        <x:v>171</x:v>
      </x:c>
      <x:c r="Q109" s="4" t="s">
        <x:v>1817</x:v>
      </x:c>
      <x:c r="R109" s="4" t="s">
        <x:v>1827</x:v>
      </x:c>
      <x:c r="S109" s="4" t="s">
        <x:v>1828</x:v>
      </x:c>
      <x:c r="T109" s="4" t="s">
        <x:v>1829</x:v>
      </x:c>
      <x:c r="U109" s="4" t="s">
        <x:v>571</x:v>
      </x:c>
      <x:c r="V109" s="4" t="s">
        <x:v>571</x:v>
      </x:c>
      <x:c r="W109" s="4" t="s">
        <x:v>172</x:v>
      </x:c>
      <x:c r="X109" s="4" t="s">
        <x:v>171</x:v>
      </x:c>
      <x:c r="Y109" s="4" t="s">
        <x:v>172</x:v>
      </x:c>
      <x:c r="Z109" s="4" t="s">
        <x:v>172</x:v>
      </x:c>
      <x:c r="AA109" s="4" t="s">
        <x:v>172</x:v>
      </x:c>
      <x:c r="AB109" s="4" t="s">
        <x:v>172</x:v>
      </x:c>
      <x:c r="AC109" s="4" t="s">
        <x:v>172</x:v>
      </x:c>
      <x:c r="AD109" s="4" t="str">
        <x:v>疑似连续调整</x:v>
      </x:c>
      <x:c r="AE109" s="4" t="s">
        <x:v>1830</x:v>
      </x:c>
      <x:c r="AF109" s="4" t="s">
        <x:v>1830</x:v>
      </x:c>
      <x:c r="AG109" s="4" t="str">
        <x:v>条件委托已取消；算法编号1000002006559867；创建时间2026-06-19 01:52:47；撤销时间2026-06-19 01:53:26；是否触发否；周期关联等级STRONG_CONTEXT；取消/过期原因无法确认（已完成为不适用）。</x:v>
      </x:c>
      <x:c r="AH109" s="4" t="s">
        <x:v>172</x:v>
      </x:c>
      <x:c r="AI109" s="4" t="str">
        <x:v>/Users/luodaluo/Desktop/30天复盘原始数据/补充证据_历史委托条件委托截图/05_安卓端取消与过期完整生命周期/01_已取消/Screenshot_20260722_222833.jpg</x:v>
      </x:c>
      <x:c r="AJ109" s="4" t="s">
        <x:v>2163</x:v>
      </x:c>
      <x:c r="AK109" s="4" t="s">
        <x:v>169</x:v>
      </x:c>
      <x:c r="AL109" s="4" t="s">
        <x:v>1832</x:v>
      </x:c>
      <x:c r="AM109" s="66" t="str">
        <x:v>1000002006559867</x:v>
      </x:c>
      <x:c r="AN109" t="str">
        <x:v>撤销</x:v>
      </x:c>
      <x:c r="AO109" t="str">
        <x:v>否</x:v>
      </x:c>
      <x:c r="AP109" s="67" t="n">
        <x:v>46191.74543981482</x:v>
      </x:c>
      <x:c r="AQ109" t="str">
        <x:v>STRONG_CONTEXT</x:v>
      </x:c>
      <x:c r="AR109" t="str">
        <x:v>/Users/luodaluo/Desktop/30天复盘原始数据/补充证据_历史委托条件委托截图/05_安卓端取消与过期完整生命周期/01_已取消/Screenshot_20260722_222833.jpg</x:v>
      </x:c>
    </x:row>
    <x:row r="110">
      <x:c r="A110" s="4" t="s">
        <x:v>75</x:v>
      </x:c>
      <x:c r="B110" s="4" t="s">
        <x:v>1937</x:v>
      </x:c>
      <x:c r="C110" s="4" t="s">
        <x:v>1824</x:v>
      </x:c>
      <x:c r="D110" s="4" t="s">
        <x:v>610</x:v>
      </x:c>
      <x:c r="E110" s="4" t="s">
        <x:v>610</x:v>
      </x:c>
      <x:c r="F110" s="65" t="n">
        <x:v>46191.759097222224</x:v>
      </x:c>
      <x:c r="G110" s="4" t="s">
        <x:v>1561</x:v>
      </x:c>
      <x:c r="H110" s="4" t="s">
        <x:v>1337</x:v>
      </x:c>
      <x:c r="I110" s="4" t="s">
        <x:v>1825</x:v>
      </x:c>
      <x:c r="J110" s="4" t="s">
        <x:v>1826</x:v>
      </x:c>
      <x:c r="K110" s="4" t="s">
        <x:v>107</x:v>
      </x:c>
      <x:c r="L110" s="4" t="s">
        <x:v>611</x:v>
      </x:c>
      <x:c r="M110" s="4" t="s">
        <x:v>571</x:v>
      </x:c>
      <x:c r="N110" s="4" t="s">
        <x:v>169</x:v>
      </x:c>
      <x:c r="O110" s="4" t="str">
        <x:v>已完成</x:v>
      </x:c>
      <x:c r="P110" s="4" t="s">
        <x:v>171</x:v>
      </x:c>
      <x:c r="Q110" s="4" t="s">
        <x:v>1817</x:v>
      </x:c>
      <x:c r="R110" s="4" t="s">
        <x:v>1827</x:v>
      </x:c>
      <x:c r="S110" s="4" t="s">
        <x:v>1828</x:v>
      </x:c>
      <x:c r="T110" s="4" t="s">
        <x:v>1829</x:v>
      </x:c>
      <x:c r="U110" s="4" t="s">
        <x:v>571</x:v>
      </x:c>
      <x:c r="V110" s="4" t="s">
        <x:v>571</x:v>
      </x:c>
      <x:c r="W110" s="4" t="s">
        <x:v>172</x:v>
      </x:c>
      <x:c r="X110" s="4" t="s">
        <x:v>171</x:v>
      </x:c>
      <x:c r="Y110" s="4" t="s">
        <x:v>172</x:v>
      </x:c>
      <x:c r="Z110" s="4" t="s">
        <x:v>172</x:v>
      </x:c>
      <x:c r="AA110" s="4" t="s">
        <x:v>172</x:v>
      </x:c>
      <x:c r="AB110" s="4" t="s">
        <x:v>172</x:v>
      </x:c>
      <x:c r="AC110" s="4" t="s">
        <x:v>172</x:v>
      </x:c>
      <x:c r="AD110" s="4" t="str">
        <x:v>可能无关</x:v>
      </x:c>
      <x:c r="AE110" s="4" t="s">
        <x:v>1820</x:v>
      </x:c>
      <x:c r="AF110" s="4" t="s">
        <x:v>1820</x:v>
      </x:c>
      <x:c r="AG110" s="4" t="str">
        <x:v>条件委托已完成；算法编号1000002006565079；创建时间2026-06-19 01:53:26；触发时间2026-06-19 02:13:06；是否触发是；周期关联等级DIRECT_ORDER；取消/过期原因无法确认（已完成为不适用）。</x:v>
      </x:c>
      <x:c r="AH110" s="4" t="s">
        <x:v>172</x:v>
      </x:c>
      <x:c r="AI110" s="4" t="str">
        <x:v>补充证据_历史委托条件委托截图/01_全部条件委托列表/截屏2026-07-19 06.00.18.png#行6</x:v>
      </x:c>
      <x:c r="AJ110" s="4" t="s">
        <x:v>2164</x:v>
      </x:c>
      <x:c r="AK110" s="4" t="s">
        <x:v>169</x:v>
      </x:c>
      <x:c r="AL110" s="4" t="s">
        <x:v>2062</x:v>
      </x:c>
      <x:c r="AM110" s="66" t="str">
        <x:v>1000002006565079</x:v>
      </x:c>
      <x:c r="AN110" t="str">
        <x:v>触发</x:v>
      </x:c>
      <x:c r="AO110" t="str">
        <x:v>是</x:v>
      </x:c>
      <x:c r="AP110" s="67" t="n">
        <x:v>46191.759097222224</x:v>
      </x:c>
      <x:c r="AQ110" t="str">
        <x:v>DIRECT_ORDER</x:v>
      </x:c>
      <x:c r="AR110" t="str">
        <x:v>补充证据_历史委托条件委托截图/01_全部条件委托列表/截屏2026-07-19 06.00.18.png#行6</x:v>
      </x:c>
    </x:row>
    <x:row r="111">
      <x:c r="A111" s="4" t="s">
        <x:v>75</x:v>
      </x:c>
      <x:c r="B111" s="4" t="s">
        <x:v>1939</x:v>
      </x:c>
      <x:c r="C111" s="4" t="s">
        <x:v>1824</x:v>
      </x:c>
      <x:c r="D111" s="4" t="s">
        <x:v>612</x:v>
      </x:c>
      <x:c r="E111" s="4" t="s">
        <x:v>612</x:v>
      </x:c>
      <x:c r="F111" s="65" t="s">
        <x:v>615</x:v>
      </x:c>
      <x:c r="G111" s="4" t="s">
        <x:v>1561</x:v>
      </x:c>
      <x:c r="H111" s="4" t="s">
        <x:v>1337</x:v>
      </x:c>
      <x:c r="I111" s="4" t="s">
        <x:v>1847</x:v>
      </x:c>
      <x:c r="J111" s="4" t="s">
        <x:v>1835</x:v>
      </x:c>
      <x:c r="K111" s="4" t="s">
        <x:v>613</x:v>
      </x:c>
      <x:c r="L111" s="4" t="s">
        <x:v>169</x:v>
      </x:c>
      <x:c r="M111" s="4" t="s">
        <x:v>571</x:v>
      </x:c>
      <x:c r="N111" s="4" t="s">
        <x:v>169</x:v>
      </x:c>
      <x:c r="O111" s="4" t="s">
        <x:v>236</x:v>
      </x:c>
      <x:c r="P111" s="4" t="s">
        <x:v>1817</x:v>
      </x:c>
      <x:c r="Q111" s="4" t="s">
        <x:v>1817</x:v>
      </x:c>
      <x:c r="R111" s="4" t="s">
        <x:v>1836</x:v>
      </x:c>
      <x:c r="S111" s="4" t="s">
        <x:v>234</x:v>
      </x:c>
      <x:c r="T111" s="4" t="s">
        <x:v>1837</x:v>
      </x:c>
      <x:c r="U111" s="4" t="s">
        <x:v>571</x:v>
      </x:c>
      <x:c r="V111" s="4" t="s">
        <x:v>571</x:v>
      </x:c>
      <x:c r="W111" s="4" t="s">
        <x:v>172</x:v>
      </x:c>
      <x:c r="X111" s="4" t="s">
        <x:v>171</x:v>
      </x:c>
      <x:c r="Y111" s="4" t="s">
        <x:v>172</x:v>
      </x:c>
      <x:c r="Z111" s="4" t="s">
        <x:v>172</x:v>
      </x:c>
      <x:c r="AA111" s="4" t="s">
        <x:v>172</x:v>
      </x:c>
      <x:c r="AB111" s="4" t="s">
        <x:v>172</x:v>
      </x:c>
      <x:c r="AC111" s="4" t="s">
        <x:v>172</x:v>
      </x:c>
      <x:c r="AD111" s="4" t="s">
        <x:v>193</x:v>
      </x:c>
      <x:c r="AE111" s="4" t="s">
        <x:v>1830</x:v>
      </x:c>
      <x:c r="AF111" s="4" t="s">
        <x:v>1830</x:v>
      </x:c>
      <x:c r="AG111" s="4" t="s">
        <x:v>2117</x:v>
      </x:c>
      <x:c r="AH111" s="4" t="s">
        <x:v>172</x:v>
      </x:c>
      <x:c r="AI111" s="4" t="s">
        <x:v>2165</x:v>
      </x:c>
      <x:c r="AJ111" s="4" t="s">
        <x:v>2166</x:v>
      </x:c>
      <x:c r="AK111" s="4" t="s">
        <x:v>169</x:v>
      </x:c>
      <x:c r="AL111" s="4" t="s">
        <x:v>1841</x:v>
      </x:c>
      <x:c r="AM111" s="66"/>
      <x:c r="AP111" s="67"/>
    </x:row>
    <x:row r="112">
      <x:c r="A112" s="4" t="s">
        <x:v>75</x:v>
      </x:c>
      <x:c r="B112" s="4" t="s">
        <x:v>1944</x:v>
      </x:c>
      <x:c r="C112" s="4" t="s">
        <x:v>1824</x:v>
      </x:c>
      <x:c r="D112" s="4" t="s">
        <x:v>615</x:v>
      </x:c>
      <x:c r="E112" s="4" t="s">
        <x:v>615</x:v>
      </x:c>
      <x:c r="F112" s="65" t="s">
        <x:v>615</x:v>
      </x:c>
      <x:c r="G112" s="4" t="s">
        <x:v>1561</x:v>
      </x:c>
      <x:c r="H112" s="4" t="s">
        <x:v>1337</x:v>
      </x:c>
      <x:c r="I112" s="4" t="s">
        <x:v>1852</x:v>
      </x:c>
      <x:c r="J112" s="4" t="s">
        <x:v>240</x:v>
      </x:c>
      <x:c r="K112" s="4" t="s">
        <x:v>107</x:v>
      </x:c>
      <x:c r="L112" s="4" t="s">
        <x:v>107</x:v>
      </x:c>
      <x:c r="M112" s="4" t="s">
        <x:v>571</x:v>
      </x:c>
      <x:c r="N112" s="4" t="s">
        <x:v>571</x:v>
      </x:c>
      <x:c r="O112" s="4" t="s">
        <x:v>168</x:v>
      </x:c>
      <x:c r="P112" s="4" t="s">
        <x:v>1817</x:v>
      </x:c>
      <x:c r="Q112" s="4" t="s">
        <x:v>1817</x:v>
      </x:c>
      <x:c r="R112" s="4" t="s">
        <x:v>1818</x:v>
      </x:c>
      <x:c r="S112" s="4" t="s">
        <x:v>239</x:v>
      </x:c>
      <x:c r="T112" s="4" t="s">
        <x:v>1853</x:v>
      </x:c>
      <x:c r="U112" s="4" t="s">
        <x:v>571</x:v>
      </x:c>
      <x:c r="V112" s="4" t="s">
        <x:v>169</x:v>
      </x:c>
      <x:c r="W112" s="4" t="s">
        <x:v>171</x:v>
      </x:c>
      <x:c r="X112" s="4" t="s">
        <x:v>171</x:v>
      </x:c>
      <x:c r="Y112" s="4" t="s">
        <x:v>172</x:v>
      </x:c>
      <x:c r="Z112" s="4" t="s">
        <x:v>172</x:v>
      </x:c>
      <x:c r="AA112" s="4" t="s">
        <x:v>172</x:v>
      </x:c>
      <x:c r="AB112" s="4" t="s">
        <x:v>171</x:v>
      </x:c>
      <x:c r="AC112" s="4" t="s">
        <x:v>172</x:v>
      </x:c>
      <x:c r="AD112" s="4" t="s">
        <x:v>193</x:v>
      </x:c>
      <x:c r="AE112" s="4" t="s">
        <x:v>1830</x:v>
      </x:c>
      <x:c r="AF112" s="4" t="s">
        <x:v>1820</x:v>
      </x:c>
      <x:c r="AG112" s="4" t="s">
        <x:v>2167</x:v>
      </x:c>
      <x:c r="AH112" s="4" t="s">
        <x:v>172</x:v>
      </x:c>
      <x:c r="AI112" s="4" t="s">
        <x:v>1822</x:v>
      </x:c>
      <x:c r="AJ112" s="4" t="s">
        <x:v>1564</x:v>
      </x:c>
      <x:c r="AK112" s="4" t="s">
        <x:v>2168</x:v>
      </x:c>
      <x:c r="AL112" s="4" t="s">
        <x:v>1823</x:v>
      </x:c>
      <x:c r="AM112" s="66"/>
      <x:c r="AP112" s="67"/>
    </x:row>
    <x:row r="113">
      <x:c r="A113" s="4" t="s">
        <x:v>75</x:v>
      </x:c>
      <x:c r="B113" s="4" t="s">
        <x:v>1946</x:v>
      </x:c>
      <x:c r="C113" s="4" t="s">
        <x:v>1856</x:v>
      </x:c>
      <x:c r="D113" s="4" t="s">
        <x:v>615</x:v>
      </x:c>
      <x:c r="E113" s="4" t="s">
        <x:v>107</x:v>
      </x:c>
      <x:c r="F113" s="65" t="s">
        <x:v>107</x:v>
      </x:c>
      <x:c r="G113" s="4" t="s">
        <x:v>1561</x:v>
      </x:c>
      <x:c r="H113" s="4" t="s">
        <x:v>1337</x:v>
      </x:c>
      <x:c r="I113" s="4" t="s">
        <x:v>107</x:v>
      </x:c>
      <x:c r="J113" s="4" t="s">
        <x:v>107</x:v>
      </x:c>
      <x:c r="K113" s="4" t="s">
        <x:v>107</x:v>
      </x:c>
      <x:c r="L113" s="4" t="s">
        <x:v>107</x:v>
      </x:c>
      <x:c r="M113" s="4" t="s">
        <x:v>107</x:v>
      </x:c>
      <x:c r="N113" s="4" t="s">
        <x:v>107</x:v>
      </x:c>
      <x:c r="O113" s="4" t="s">
        <x:v>107</x:v>
      </x:c>
      <x:c r="P113" s="4" t="s">
        <x:v>107</x:v>
      </x:c>
      <x:c r="Q113" s="4" t="s">
        <x:v>107</x:v>
      </x:c>
      <x:c r="R113" s="4" t="s">
        <x:v>1857</x:v>
      </x:c>
      <x:c r="S113" s="4" t="s">
        <x:v>213</x:v>
      </x:c>
      <x:c r="T113" s="4" t="s">
        <x:v>1858</x:v>
      </x:c>
      <x:c r="U113" s="4" t="s">
        <x:v>107</x:v>
      </x:c>
      <x:c r="V113" s="4" t="s">
        <x:v>107</x:v>
      </x:c>
      <x:c r="W113" s="4" t="s">
        <x:v>172</x:v>
      </x:c>
      <x:c r="X113" s="4" t="s">
        <x:v>172</x:v>
      </x:c>
      <x:c r="Y113" s="4" t="s">
        <x:v>172</x:v>
      </x:c>
      <x:c r="Z113" s="4" t="s">
        <x:v>172</x:v>
      </x:c>
      <x:c r="AA113" s="4" t="s">
        <x:v>172</x:v>
      </x:c>
      <x:c r="AB113" s="4" t="s">
        <x:v>172</x:v>
      </x:c>
      <x:c r="AC113" s="4" t="s">
        <x:v>172</x:v>
      </x:c>
      <x:c r="AD113" s="4" t="s">
        <x:v>107</x:v>
      </x:c>
      <x:c r="AE113" s="4" t="s">
        <x:v>107</x:v>
      </x:c>
      <x:c r="AF113" s="4" t="s">
        <x:v>107</x:v>
      </x:c>
      <x:c r="AG113" s="4" t="s">
        <x:v>617</x:v>
      </x:c>
      <x:c r="AH113" s="4" t="s">
        <x:v>172</x:v>
      </x:c>
      <x:c r="AI113" s="4" t="s">
        <x:v>1859</x:v>
      </x:c>
      <x:c r="AJ113" s="4" t="s">
        <x:v>2169</x:v>
      </x:c>
      <x:c r="AK113" s="4" t="s">
        <x:v>169</x:v>
      </x:c>
      <x:c r="AL113" s="4" t="s">
        <x:v>1861</x:v>
      </x:c>
      <x:c r="AM113" s="66"/>
      <x:c r="AP113" s="67"/>
    </x:row>
    <x:row r="114">
      <x:c r="A114" s="4" t="s">
        <x:v>76</x:v>
      </x:c>
      <x:c r="B114" s="4" t="s">
        <x:v>200</x:v>
      </x:c>
      <x:c r="C114" s="4" t="s">
        <x:v>1814</x:v>
      </x:c>
      <x:c r="D114" s="4" t="s">
        <x:v>618</x:v>
      </x:c>
      <x:c r="E114" s="4" t="s">
        <x:v>618</x:v>
      </x:c>
      <x:c r="F114" s="65" t="s">
        <x:v>2170</x:v>
      </x:c>
      <x:c r="G114" s="4" t="s">
        <x:v>1336</x:v>
      </x:c>
      <x:c r="H114" s="4" t="s">
        <x:v>1337</x:v>
      </x:c>
      <x:c r="I114" s="4" t="s">
        <x:v>1834</x:v>
      </x:c>
      <x:c r="J114" s="4" t="s">
        <x:v>1835</x:v>
      </x:c>
      <x:c r="K114" s="4" t="s">
        <x:v>619</x:v>
      </x:c>
      <x:c r="L114" s="4" t="s">
        <x:v>169</x:v>
      </x:c>
      <x:c r="M114" s="4" t="s">
        <x:v>314</x:v>
      </x:c>
      <x:c r="N114" s="4" t="s">
        <x:v>169</x:v>
      </x:c>
      <x:c r="O114" s="4" t="s">
        <x:v>187</x:v>
      </x:c>
      <x:c r="P114" s="4" t="s">
        <x:v>1817</x:v>
      </x:c>
      <x:c r="Q114" s="4" t="s">
        <x:v>1817</x:v>
      </x:c>
      <x:c r="R114" s="4" t="s">
        <x:v>1836</x:v>
      </x:c>
      <x:c r="S114" s="4" t="s">
        <x:v>14</x:v>
      </x:c>
      <x:c r="T114" s="4" t="s">
        <x:v>1837</x:v>
      </x:c>
      <x:c r="U114" s="4" t="s">
        <x:v>169</x:v>
      </x:c>
      <x:c r="V114" s="4" t="s">
        <x:v>169</x:v>
      </x:c>
      <x:c r="W114" s="4" t="s">
        <x:v>172</x:v>
      </x:c>
      <x:c r="X114" s="4" t="s">
        <x:v>171</x:v>
      </x:c>
      <x:c r="Y114" s="4" t="s">
        <x:v>172</x:v>
      </x:c>
      <x:c r="Z114" s="4" t="s">
        <x:v>172</x:v>
      </x:c>
      <x:c r="AA114" s="4" t="s">
        <x:v>172</x:v>
      </x:c>
      <x:c r="AB114" s="4" t="s">
        <x:v>172</x:v>
      </x:c>
      <x:c r="AC114" s="4" t="s">
        <x:v>172</x:v>
      </x:c>
      <x:c r="AD114" s="4" t="s">
        <x:v>188</x:v>
      </x:c>
      <x:c r="AE114" s="4" t="s">
        <x:v>1820</x:v>
      </x:c>
      <x:c r="AF114" s="4" t="s">
        <x:v>1830</x:v>
      </x:c>
      <x:c r="AG114" s="4" t="s">
        <x:v>1869</x:v>
      </x:c>
      <x:c r="AH114" s="4" t="s">
        <x:v>172</x:v>
      </x:c>
      <x:c r="AI114" s="4" t="s">
        <x:v>2171</x:v>
      </x:c>
      <x:c r="AJ114" s="4" t="s">
        <x:v>2172</x:v>
      </x:c>
      <x:c r="AK114" s="4" t="s">
        <x:v>169</x:v>
      </x:c>
      <x:c r="AL114" s="4" t="s">
        <x:v>1841</x:v>
      </x:c>
      <x:c r="AM114" s="66"/>
      <x:c r="AP114" s="67"/>
    </x:row>
    <x:row r="115">
      <x:c r="A115" s="4" t="s">
        <x:v>76</x:v>
      </x:c>
      <x:c r="B115" s="4" t="s">
        <x:v>1353</x:v>
      </x:c>
      <x:c r="C115" s="4" t="s">
        <x:v>1814</x:v>
      </x:c>
      <x:c r="D115" s="4" t="s">
        <x:v>620</x:v>
      </x:c>
      <x:c r="E115" s="4" t="s">
        <x:v>620</x:v>
      </x:c>
      <x:c r="F115" s="65" t="s">
        <x:v>2173</x:v>
      </x:c>
      <x:c r="G115" s="4" t="s">
        <x:v>1336</x:v>
      </x:c>
      <x:c r="H115" s="4" t="s">
        <x:v>1337</x:v>
      </x:c>
      <x:c r="I115" s="4" t="s">
        <x:v>1834</x:v>
      </x:c>
      <x:c r="J115" s="4" t="s">
        <x:v>1835</x:v>
      </x:c>
      <x:c r="K115" s="4" t="s">
        <x:v>621</x:v>
      </x:c>
      <x:c r="L115" s="4" t="s">
        <x:v>169</x:v>
      </x:c>
      <x:c r="M115" s="4" t="s">
        <x:v>229</x:v>
      </x:c>
      <x:c r="N115" s="4" t="s">
        <x:v>169</x:v>
      </x:c>
      <x:c r="O115" s="4" t="s">
        <x:v>187</x:v>
      </x:c>
      <x:c r="P115" s="4" t="s">
        <x:v>1817</x:v>
      </x:c>
      <x:c r="Q115" s="4" t="s">
        <x:v>1817</x:v>
      </x:c>
      <x:c r="R115" s="4" t="s">
        <x:v>1836</x:v>
      </x:c>
      <x:c r="S115" s="4" t="s">
        <x:v>14</x:v>
      </x:c>
      <x:c r="T115" s="4" t="s">
        <x:v>1837</x:v>
      </x:c>
      <x:c r="U115" s="4" t="s">
        <x:v>169</x:v>
      </x:c>
      <x:c r="V115" s="4" t="s">
        <x:v>169</x:v>
      </x:c>
      <x:c r="W115" s="4" t="s">
        <x:v>172</x:v>
      </x:c>
      <x:c r="X115" s="4" t="s">
        <x:v>171</x:v>
      </x:c>
      <x:c r="Y115" s="4" t="s">
        <x:v>172</x:v>
      </x:c>
      <x:c r="Z115" s="4" t="s">
        <x:v>172</x:v>
      </x:c>
      <x:c r="AA115" s="4" t="s">
        <x:v>172</x:v>
      </x:c>
      <x:c r="AB115" s="4" t="s">
        <x:v>172</x:v>
      </x:c>
      <x:c r="AC115" s="4" t="s">
        <x:v>172</x:v>
      </x:c>
      <x:c r="AD115" s="4" t="s">
        <x:v>193</x:v>
      </x:c>
      <x:c r="AE115" s="4" t="s">
        <x:v>1830</x:v>
      </x:c>
      <x:c r="AF115" s="4" t="s">
        <x:v>1830</x:v>
      </x:c>
      <x:c r="AG115" s="4" t="s">
        <x:v>1869</x:v>
      </x:c>
      <x:c r="AH115" s="4" t="s">
        <x:v>172</x:v>
      </x:c>
      <x:c r="AI115" s="4" t="s">
        <x:v>2174</x:v>
      </x:c>
      <x:c r="AJ115" s="4" t="s">
        <x:v>2175</x:v>
      </x:c>
      <x:c r="AK115" s="4" t="s">
        <x:v>169</x:v>
      </x:c>
      <x:c r="AL115" s="4" t="s">
        <x:v>1841</x:v>
      </x:c>
      <x:c r="AM115" s="66"/>
      <x:c r="AP115" s="67"/>
    </x:row>
    <x:row r="116">
      <x:c r="A116" s="4" t="s">
        <x:v>76</x:v>
      </x:c>
      <x:c r="B116" s="4" t="s">
        <x:v>1466</x:v>
      </x:c>
      <x:c r="C116" s="4" t="s">
        <x:v>1814</x:v>
      </x:c>
      <x:c r="D116" s="4" t="s">
        <x:v>622</x:v>
      </x:c>
      <x:c r="E116" s="4" t="s">
        <x:v>622</x:v>
      </x:c>
      <x:c r="F116" s="65" t="s">
        <x:v>2176</x:v>
      </x:c>
      <x:c r="G116" s="4" t="s">
        <x:v>1336</x:v>
      </x:c>
      <x:c r="H116" s="4" t="s">
        <x:v>1337</x:v>
      </x:c>
      <x:c r="I116" s="4" t="s">
        <x:v>1834</x:v>
      </x:c>
      <x:c r="J116" s="4" t="s">
        <x:v>1835</x:v>
      </x:c>
      <x:c r="K116" s="4" t="s">
        <x:v>623</x:v>
      </x:c>
      <x:c r="L116" s="4" t="s">
        <x:v>169</x:v>
      </x:c>
      <x:c r="M116" s="4" t="s">
        <x:v>314</x:v>
      </x:c>
      <x:c r="N116" s="4" t="s">
        <x:v>169</x:v>
      </x:c>
      <x:c r="O116" s="4" t="s">
        <x:v>187</x:v>
      </x:c>
      <x:c r="P116" s="4" t="s">
        <x:v>1817</x:v>
      </x:c>
      <x:c r="Q116" s="4" t="s">
        <x:v>1817</x:v>
      </x:c>
      <x:c r="R116" s="4" t="s">
        <x:v>1836</x:v>
      </x:c>
      <x:c r="S116" s="4" t="s">
        <x:v>14</x:v>
      </x:c>
      <x:c r="T116" s="4" t="s">
        <x:v>1837</x:v>
      </x:c>
      <x:c r="U116" s="4" t="s">
        <x:v>169</x:v>
      </x:c>
      <x:c r="V116" s="4" t="s">
        <x:v>169</x:v>
      </x:c>
      <x:c r="W116" s="4" t="s">
        <x:v>172</x:v>
      </x:c>
      <x:c r="X116" s="4" t="s">
        <x:v>171</x:v>
      </x:c>
      <x:c r="Y116" s="4" t="s">
        <x:v>172</x:v>
      </x:c>
      <x:c r="Z116" s="4" t="s">
        <x:v>172</x:v>
      </x:c>
      <x:c r="AA116" s="4" t="s">
        <x:v>172</x:v>
      </x:c>
      <x:c r="AB116" s="4" t="s">
        <x:v>172</x:v>
      </x:c>
      <x:c r="AC116" s="4" t="s">
        <x:v>172</x:v>
      </x:c>
      <x:c r="AD116" s="4" t="s">
        <x:v>193</x:v>
      </x:c>
      <x:c r="AE116" s="4" t="s">
        <x:v>1830</x:v>
      </x:c>
      <x:c r="AF116" s="4" t="s">
        <x:v>1830</x:v>
      </x:c>
      <x:c r="AG116" s="4" t="s">
        <x:v>1869</x:v>
      </x:c>
      <x:c r="AH116" s="4" t="s">
        <x:v>172</x:v>
      </x:c>
      <x:c r="AI116" s="4" t="s">
        <x:v>2177</x:v>
      </x:c>
      <x:c r="AJ116" s="4" t="s">
        <x:v>2178</x:v>
      </x:c>
      <x:c r="AK116" s="4" t="s">
        <x:v>169</x:v>
      </x:c>
      <x:c r="AL116" s="4" t="s">
        <x:v>1841</x:v>
      </x:c>
      <x:c r="AM116" s="66"/>
      <x:c r="AP116" s="67"/>
    </x:row>
    <x:row r="117">
      <x:c r="A117" s="4" t="s">
        <x:v>76</x:v>
      </x:c>
      <x:c r="B117" s="4" t="s">
        <x:v>218</x:v>
      </x:c>
      <x:c r="C117" s="4" t="s">
        <x:v>1814</x:v>
      </x:c>
      <x:c r="D117" s="4" t="s">
        <x:v>624</x:v>
      </x:c>
      <x:c r="E117" s="4" t="s">
        <x:v>624</x:v>
      </x:c>
      <x:c r="F117" s="65" t="s">
        <x:v>2179</x:v>
      </x:c>
      <x:c r="G117" s="4" t="s">
        <x:v>1336</x:v>
      </x:c>
      <x:c r="H117" s="4" t="s">
        <x:v>1337</x:v>
      </x:c>
      <x:c r="I117" s="4" t="s">
        <x:v>1834</x:v>
      </x:c>
      <x:c r="J117" s="4" t="s">
        <x:v>1835</x:v>
      </x:c>
      <x:c r="K117" s="4" t="s">
        <x:v>623</x:v>
      </x:c>
      <x:c r="L117" s="4" t="s">
        <x:v>169</x:v>
      </x:c>
      <x:c r="M117" s="4" t="s">
        <x:v>314</x:v>
      </x:c>
      <x:c r="N117" s="4" t="s">
        <x:v>169</x:v>
      </x:c>
      <x:c r="O117" s="4" t="s">
        <x:v>187</x:v>
      </x:c>
      <x:c r="P117" s="4" t="s">
        <x:v>1817</x:v>
      </x:c>
      <x:c r="Q117" s="4" t="s">
        <x:v>1817</x:v>
      </x:c>
      <x:c r="R117" s="4" t="s">
        <x:v>1836</x:v>
      </x:c>
      <x:c r="S117" s="4" t="s">
        <x:v>14</x:v>
      </x:c>
      <x:c r="T117" s="4" t="s">
        <x:v>1837</x:v>
      </x:c>
      <x:c r="U117" s="4" t="s">
        <x:v>169</x:v>
      </x:c>
      <x:c r="V117" s="4" t="s">
        <x:v>169</x:v>
      </x:c>
      <x:c r="W117" s="4" t="s">
        <x:v>172</x:v>
      </x:c>
      <x:c r="X117" s="4" t="s">
        <x:v>171</x:v>
      </x:c>
      <x:c r="Y117" s="4" t="s">
        <x:v>172</x:v>
      </x:c>
      <x:c r="Z117" s="4" t="s">
        <x:v>172</x:v>
      </x:c>
      <x:c r="AA117" s="4" t="s">
        <x:v>172</x:v>
      </x:c>
      <x:c r="AB117" s="4" t="s">
        <x:v>172</x:v>
      </x:c>
      <x:c r="AC117" s="4" t="s">
        <x:v>172</x:v>
      </x:c>
      <x:c r="AD117" s="4" t="s">
        <x:v>195</x:v>
      </x:c>
      <x:c r="AE117" s="4" t="s">
        <x:v>1848</x:v>
      </x:c>
      <x:c r="AF117" s="4" t="s">
        <x:v>1830</x:v>
      </x:c>
      <x:c r="AG117" s="4" t="s">
        <x:v>1869</x:v>
      </x:c>
      <x:c r="AH117" s="4" t="s">
        <x:v>171</x:v>
      </x:c>
      <x:c r="AI117" s="4" t="s">
        <x:v>2180</x:v>
      </x:c>
      <x:c r="AJ117" s="4" t="s">
        <x:v>2181</x:v>
      </x:c>
      <x:c r="AK117" s="4" t="s">
        <x:v>169</x:v>
      </x:c>
      <x:c r="AL117" s="4" t="s">
        <x:v>1841</x:v>
      </x:c>
      <x:c r="AM117" s="66"/>
      <x:c r="AP117" s="67"/>
    </x:row>
    <x:row r="118">
      <x:c r="A118" s="4" t="s">
        <x:v>76</x:v>
      </x:c>
      <x:c r="B118" s="4" t="s">
        <x:v>314</x:v>
      </x:c>
      <x:c r="C118" s="4" t="s">
        <x:v>1814</x:v>
      </x:c>
      <x:c r="D118" s="4" t="s">
        <x:v>625</x:v>
      </x:c>
      <x:c r="E118" s="4" t="s">
        <x:v>625</x:v>
      </x:c>
      <x:c r="F118" s="65" t="s">
        <x:v>2182</x:v>
      </x:c>
      <x:c r="G118" s="4" t="s">
        <x:v>1336</x:v>
      </x:c>
      <x:c r="H118" s="4" t="s">
        <x:v>1337</x:v>
      </x:c>
      <x:c r="I118" s="4" t="s">
        <x:v>1834</x:v>
      </x:c>
      <x:c r="J118" s="4" t="s">
        <x:v>1835</x:v>
      </x:c>
      <x:c r="K118" s="4" t="s">
        <x:v>626</x:v>
      </x:c>
      <x:c r="L118" s="4" t="s">
        <x:v>169</x:v>
      </x:c>
      <x:c r="M118" s="4" t="s">
        <x:v>632</x:v>
      </x:c>
      <x:c r="N118" s="4" t="s">
        <x:v>169</x:v>
      </x:c>
      <x:c r="O118" s="4" t="s">
        <x:v>187</x:v>
      </x:c>
      <x:c r="P118" s="4" t="s">
        <x:v>1817</x:v>
      </x:c>
      <x:c r="Q118" s="4" t="s">
        <x:v>1817</x:v>
      </x:c>
      <x:c r="R118" s="4" t="s">
        <x:v>1836</x:v>
      </x:c>
      <x:c r="S118" s="4" t="s">
        <x:v>14</x:v>
      </x:c>
      <x:c r="T118" s="4" t="s">
        <x:v>1837</x:v>
      </x:c>
      <x:c r="U118" s="4" t="s">
        <x:v>169</x:v>
      </x:c>
      <x:c r="V118" s="4" t="s">
        <x:v>169</x:v>
      </x:c>
      <x:c r="W118" s="4" t="s">
        <x:v>172</x:v>
      </x:c>
      <x:c r="X118" s="4" t="s">
        <x:v>171</x:v>
      </x:c>
      <x:c r="Y118" s="4" t="s">
        <x:v>172</x:v>
      </x:c>
      <x:c r="Z118" s="4" t="s">
        <x:v>172</x:v>
      </x:c>
      <x:c r="AA118" s="4" t="s">
        <x:v>172</x:v>
      </x:c>
      <x:c r="AB118" s="4" t="s">
        <x:v>172</x:v>
      </x:c>
      <x:c r="AC118" s="4" t="s">
        <x:v>172</x:v>
      </x:c>
      <x:c r="AD118" s="4" t="s">
        <x:v>193</x:v>
      </x:c>
      <x:c r="AE118" s="4" t="s">
        <x:v>1830</x:v>
      </x:c>
      <x:c r="AF118" s="4" t="s">
        <x:v>1830</x:v>
      </x:c>
      <x:c r="AG118" s="4" t="s">
        <x:v>1869</x:v>
      </x:c>
      <x:c r="AH118" s="4" t="s">
        <x:v>172</x:v>
      </x:c>
      <x:c r="AI118" s="4" t="s">
        <x:v>2183</x:v>
      </x:c>
      <x:c r="AJ118" s="4" t="s">
        <x:v>2184</x:v>
      </x:c>
      <x:c r="AK118" s="4" t="s">
        <x:v>169</x:v>
      </x:c>
      <x:c r="AL118" s="4" t="s">
        <x:v>1841</x:v>
      </x:c>
      <x:c r="AM118" s="66"/>
      <x:c r="AP118" s="67"/>
    </x:row>
    <x:row r="119">
      <x:c r="A119" s="4" t="s">
        <x:v>76</x:v>
      </x:c>
      <x:c r="B119" s="4" t="s">
        <x:v>1573</x:v>
      </x:c>
      <x:c r="C119" s="4" t="s">
        <x:v>1814</x:v>
      </x:c>
      <x:c r="D119" s="4" t="s">
        <x:v>627</x:v>
      </x:c>
      <x:c r="E119" s="4" t="s">
        <x:v>627</x:v>
      </x:c>
      <x:c r="F119" s="65" t="s">
        <x:v>2185</x:v>
      </x:c>
      <x:c r="G119" s="4" t="s">
        <x:v>1336</x:v>
      </x:c>
      <x:c r="H119" s="4" t="s">
        <x:v>1337</x:v>
      </x:c>
      <x:c r="I119" s="4" t="s">
        <x:v>1834</x:v>
      </x:c>
      <x:c r="J119" s="4" t="s">
        <x:v>1835</x:v>
      </x:c>
      <x:c r="K119" s="4" t="s">
        <x:v>628</x:v>
      </x:c>
      <x:c r="L119" s="4" t="s">
        <x:v>169</x:v>
      </x:c>
      <x:c r="M119" s="4" t="s">
        <x:v>632</x:v>
      </x:c>
      <x:c r="N119" s="4" t="s">
        <x:v>169</x:v>
      </x:c>
      <x:c r="O119" s="4" t="s">
        <x:v>187</x:v>
      </x:c>
      <x:c r="P119" s="4" t="s">
        <x:v>1817</x:v>
      </x:c>
      <x:c r="Q119" s="4" t="s">
        <x:v>1817</x:v>
      </x:c>
      <x:c r="R119" s="4" t="s">
        <x:v>1836</x:v>
      </x:c>
      <x:c r="S119" s="4" t="s">
        <x:v>14</x:v>
      </x:c>
      <x:c r="T119" s="4" t="s">
        <x:v>1837</x:v>
      </x:c>
      <x:c r="U119" s="4" t="s">
        <x:v>169</x:v>
      </x:c>
      <x:c r="V119" s="4" t="s">
        <x:v>169</x:v>
      </x:c>
      <x:c r="W119" s="4" t="s">
        <x:v>172</x:v>
      </x:c>
      <x:c r="X119" s="4" t="s">
        <x:v>171</x:v>
      </x:c>
      <x:c r="Y119" s="4" t="s">
        <x:v>172</x:v>
      </x:c>
      <x:c r="Z119" s="4" t="s">
        <x:v>172</x:v>
      </x:c>
      <x:c r="AA119" s="4" t="s">
        <x:v>172</x:v>
      </x:c>
      <x:c r="AB119" s="4" t="s">
        <x:v>172</x:v>
      </x:c>
      <x:c r="AC119" s="4" t="s">
        <x:v>172</x:v>
      </x:c>
      <x:c r="AD119" s="4" t="s">
        <x:v>193</x:v>
      </x:c>
      <x:c r="AE119" s="4" t="s">
        <x:v>1830</x:v>
      </x:c>
      <x:c r="AF119" s="4" t="s">
        <x:v>1830</x:v>
      </x:c>
      <x:c r="AG119" s="4" t="s">
        <x:v>1869</x:v>
      </x:c>
      <x:c r="AH119" s="4" t="s">
        <x:v>172</x:v>
      </x:c>
      <x:c r="AI119" s="4" t="s">
        <x:v>2186</x:v>
      </x:c>
      <x:c r="AJ119" s="4" t="s">
        <x:v>2187</x:v>
      </x:c>
      <x:c r="AK119" s="4" t="s">
        <x:v>169</x:v>
      </x:c>
      <x:c r="AL119" s="4" t="s">
        <x:v>1841</x:v>
      </x:c>
      <x:c r="AM119" s="66"/>
      <x:c r="AP119" s="67"/>
    </x:row>
    <x:row r="120">
      <x:c r="A120" s="4" t="s">
        <x:v>76</x:v>
      </x:c>
      <x:c r="B120" s="4" t="s">
        <x:v>330</x:v>
      </x:c>
      <x:c r="C120" s="4" t="s">
        <x:v>1814</x:v>
      </x:c>
      <x:c r="D120" s="4" t="s">
        <x:v>629</x:v>
      </x:c>
      <x:c r="E120" s="4" t="s">
        <x:v>629</x:v>
      </x:c>
      <x:c r="F120" s="65" t="s">
        <x:v>2188</x:v>
      </x:c>
      <x:c r="G120" s="4" t="s">
        <x:v>1336</x:v>
      </x:c>
      <x:c r="H120" s="4" t="s">
        <x:v>1337</x:v>
      </x:c>
      <x:c r="I120" s="4" t="s">
        <x:v>1834</x:v>
      </x:c>
      <x:c r="J120" s="4" t="s">
        <x:v>1835</x:v>
      </x:c>
      <x:c r="K120" s="4" t="s">
        <x:v>628</x:v>
      </x:c>
      <x:c r="L120" s="4" t="s">
        <x:v>169</x:v>
      </x:c>
      <x:c r="M120" s="4" t="s">
        <x:v>632</x:v>
      </x:c>
      <x:c r="N120" s="4" t="s">
        <x:v>169</x:v>
      </x:c>
      <x:c r="O120" s="4" t="s">
        <x:v>187</x:v>
      </x:c>
      <x:c r="P120" s="4" t="s">
        <x:v>1817</x:v>
      </x:c>
      <x:c r="Q120" s="4" t="s">
        <x:v>1817</x:v>
      </x:c>
      <x:c r="R120" s="4" t="s">
        <x:v>1836</x:v>
      </x:c>
      <x:c r="S120" s="4" t="s">
        <x:v>14</x:v>
      </x:c>
      <x:c r="T120" s="4" t="s">
        <x:v>1837</x:v>
      </x:c>
      <x:c r="U120" s="4" t="s">
        <x:v>169</x:v>
      </x:c>
      <x:c r="V120" s="4" t="s">
        <x:v>169</x:v>
      </x:c>
      <x:c r="W120" s="4" t="s">
        <x:v>172</x:v>
      </x:c>
      <x:c r="X120" s="4" t="s">
        <x:v>171</x:v>
      </x:c>
      <x:c r="Y120" s="4" t="s">
        <x:v>172</x:v>
      </x:c>
      <x:c r="Z120" s="4" t="s">
        <x:v>172</x:v>
      </x:c>
      <x:c r="AA120" s="4" t="s">
        <x:v>172</x:v>
      </x:c>
      <x:c r="AB120" s="4" t="s">
        <x:v>172</x:v>
      </x:c>
      <x:c r="AC120" s="4" t="s">
        <x:v>172</x:v>
      </x:c>
      <x:c r="AD120" s="4" t="s">
        <x:v>195</x:v>
      </x:c>
      <x:c r="AE120" s="4" t="s">
        <x:v>1848</x:v>
      </x:c>
      <x:c r="AF120" s="4" t="s">
        <x:v>1830</x:v>
      </x:c>
      <x:c r="AG120" s="4" t="s">
        <x:v>1869</x:v>
      </x:c>
      <x:c r="AH120" s="4" t="s">
        <x:v>171</x:v>
      </x:c>
      <x:c r="AI120" s="4" t="s">
        <x:v>2189</x:v>
      </x:c>
      <x:c r="AJ120" s="4" t="s">
        <x:v>2190</x:v>
      </x:c>
      <x:c r="AK120" s="4" t="s">
        <x:v>169</x:v>
      </x:c>
      <x:c r="AL120" s="4" t="s">
        <x:v>1841</x:v>
      </x:c>
      <x:c r="AM120" s="66"/>
      <x:c r="AP120" s="67"/>
    </x:row>
    <x:row r="121">
      <x:c r="A121" s="4" t="s">
        <x:v>76</x:v>
      </x:c>
      <x:c r="B121" s="4" t="s">
        <x:v>229</x:v>
      </x:c>
      <x:c r="C121" s="4" t="s">
        <x:v>1814</x:v>
      </x:c>
      <x:c r="D121" s="4" t="s">
        <x:v>630</x:v>
      </x:c>
      <x:c r="E121" s="4" t="s">
        <x:v>2191</x:v>
      </x:c>
      <x:c r="F121" s="65" t="s">
        <x:v>630</x:v>
      </x:c>
      <x:c r="G121" s="4" t="s">
        <x:v>1336</x:v>
      </x:c>
      <x:c r="H121" s="4" t="s">
        <x:v>1337</x:v>
      </x:c>
      <x:c r="I121" s="4" t="s">
        <x:v>1816</x:v>
      </x:c>
      <x:c r="J121" s="4" t="s">
        <x:v>199</x:v>
      </x:c>
      <x:c r="K121" s="4" t="s">
        <x:v>631</x:v>
      </x:c>
      <x:c r="L121" s="4" t="s">
        <x:v>107</x:v>
      </x:c>
      <x:c r="M121" s="4" t="s">
        <x:v>632</x:v>
      </x:c>
      <x:c r="N121" s="4" t="s">
        <x:v>632</x:v>
      </x:c>
      <x:c r="O121" s="4" t="s">
        <x:v>168</x:v>
      </x:c>
      <x:c r="P121" s="4" t="s">
        <x:v>1817</x:v>
      </x:c>
      <x:c r="Q121" s="4" t="s">
        <x:v>1817</x:v>
      </x:c>
      <x:c r="R121" s="4" t="s">
        <x:v>1818</x:v>
      </x:c>
      <x:c r="S121" s="4" t="s">
        <x:v>198</x:v>
      </x:c>
      <x:c r="T121" s="4" t="s">
        <x:v>1819</x:v>
      </x:c>
      <x:c r="U121" s="4" t="s">
        <x:v>169</x:v>
      </x:c>
      <x:c r="V121" s="4" t="s">
        <x:v>632</x:v>
      </x:c>
      <x:c r="W121" s="4" t="s">
        <x:v>171</x:v>
      </x:c>
      <x:c r="X121" s="4" t="s">
        <x:v>171</x:v>
      </x:c>
      <x:c r="Y121" s="4" t="s">
        <x:v>171</x:v>
      </x:c>
      <x:c r="Z121" s="4" t="s">
        <x:v>172</x:v>
      </x:c>
      <x:c r="AA121" s="4" t="s">
        <x:v>172</x:v>
      </x:c>
      <x:c r="AB121" s="4" t="s">
        <x:v>172</x:v>
      </x:c>
      <x:c r="AC121" s="4" t="s">
        <x:v>172</x:v>
      </x:c>
      <x:c r="AD121" s="4" t="s">
        <x:v>193</x:v>
      </x:c>
      <x:c r="AE121" s="4" t="s">
        <x:v>1830</x:v>
      </x:c>
      <x:c r="AF121" s="4" t="s">
        <x:v>1820</x:v>
      </x:c>
      <x:c r="AG121" s="4" t="s">
        <x:v>2192</x:v>
      </x:c>
      <x:c r="AH121" s="4" t="s">
        <x:v>172</x:v>
      </x:c>
      <x:c r="AI121" s="4" t="s">
        <x:v>1822</x:v>
      </x:c>
      <x:c r="AJ121" s="4" t="s">
        <x:v>1613</x:v>
      </x:c>
      <x:c r="AK121" s="4" t="s">
        <x:v>1466</x:v>
      </x:c>
      <x:c r="AL121" s="4" t="s">
        <x:v>1823</x:v>
      </x:c>
      <x:c r="AM121" s="66"/>
      <x:c r="AP121" s="67"/>
    </x:row>
    <x:row r="122">
      <x:c r="A122" s="4" t="s">
        <x:v>76</x:v>
      </x:c>
      <x:c r="B122" s="4" t="s">
        <x:v>298</x:v>
      </x:c>
      <x:c r="C122" s="4" t="s">
        <x:v>1824</x:v>
      </x:c>
      <x:c r="D122" s="4" t="s">
        <x:v>634</x:v>
      </x:c>
      <x:c r="E122" s="4" t="s">
        <x:v>634</x:v>
      </x:c>
      <x:c r="F122" s="65" t="s">
        <x:v>2193</x:v>
      </x:c>
      <x:c r="G122" s="4" t="s">
        <x:v>1336</x:v>
      </x:c>
      <x:c r="H122" s="4" t="s">
        <x:v>1337</x:v>
      </x:c>
      <x:c r="I122" s="4" t="s">
        <x:v>1834</x:v>
      </x:c>
      <x:c r="J122" s="4" t="s">
        <x:v>1835</x:v>
      </x:c>
      <x:c r="K122" s="4" t="s">
        <x:v>635</x:v>
      </x:c>
      <x:c r="L122" s="4" t="s">
        <x:v>169</x:v>
      </x:c>
      <x:c r="M122" s="4" t="s">
        <x:v>2194</x:v>
      </x:c>
      <x:c r="N122" s="4" t="s">
        <x:v>169</x:v>
      </x:c>
      <x:c r="O122" s="4" t="s">
        <x:v>187</x:v>
      </x:c>
      <x:c r="P122" s="4" t="s">
        <x:v>1817</x:v>
      </x:c>
      <x:c r="Q122" s="4" t="s">
        <x:v>1817</x:v>
      </x:c>
      <x:c r="R122" s="4" t="s">
        <x:v>1836</x:v>
      </x:c>
      <x:c r="S122" s="4" t="s">
        <x:v>223</x:v>
      </x:c>
      <x:c r="T122" s="4" t="s">
        <x:v>1837</x:v>
      </x:c>
      <x:c r="U122" s="4" t="s">
        <x:v>632</x:v>
      </x:c>
      <x:c r="V122" s="4" t="s">
        <x:v>632</x:v>
      </x:c>
      <x:c r="W122" s="4" t="s">
        <x:v>172</x:v>
      </x:c>
      <x:c r="X122" s="4" t="s">
        <x:v>171</x:v>
      </x:c>
      <x:c r="Y122" s="4" t="s">
        <x:v>172</x:v>
      </x:c>
      <x:c r="Z122" s="4" t="s">
        <x:v>172</x:v>
      </x:c>
      <x:c r="AA122" s="4" t="s">
        <x:v>172</x:v>
      </x:c>
      <x:c r="AB122" s="4" t="s">
        <x:v>172</x:v>
      </x:c>
      <x:c r="AC122" s="4" t="s">
        <x:v>172</x:v>
      </x:c>
      <x:c r="AD122" s="4" t="s">
        <x:v>188</x:v>
      </x:c>
      <x:c r="AE122" s="4" t="s">
        <x:v>1820</x:v>
      </x:c>
      <x:c r="AF122" s="4" t="s">
        <x:v>1848</x:v>
      </x:c>
      <x:c r="AG122" s="4" t="s">
        <x:v>2195</x:v>
      </x:c>
      <x:c r="AH122" s="4" t="s">
        <x:v>171</x:v>
      </x:c>
      <x:c r="AI122" s="4" t="s">
        <x:v>2196</x:v>
      </x:c>
      <x:c r="AJ122" s="4" t="s">
        <x:v>2197</x:v>
      </x:c>
      <x:c r="AK122" s="4" t="s">
        <x:v>169</x:v>
      </x:c>
      <x:c r="AL122" s="4" t="s">
        <x:v>2198</x:v>
      </x:c>
      <x:c r="AM122" s="66"/>
      <x:c r="AP122" s="67"/>
    </x:row>
    <x:row r="123">
      <x:c r="A123" s="4" t="s">
        <x:v>76</x:v>
      </x:c>
      <x:c r="B123" s="4" t="s">
        <x:v>632</x:v>
      </x:c>
      <x:c r="C123" s="4" t="s">
        <x:v>1824</x:v>
      </x:c>
      <x:c r="D123" s="4" t="s">
        <x:v>637</x:v>
      </x:c>
      <x:c r="E123" s="4" t="s">
        <x:v>2199</x:v>
      </x:c>
      <x:c r="F123" s="65" t="s">
        <x:v>637</x:v>
      </x:c>
      <x:c r="G123" s="4" t="s">
        <x:v>1336</x:v>
      </x:c>
      <x:c r="H123" s="4" t="s">
        <x:v>1337</x:v>
      </x:c>
      <x:c r="I123" s="4" t="s">
        <x:v>1816</x:v>
      </x:c>
      <x:c r="J123" s="4" t="s">
        <x:v>199</x:v>
      </x:c>
      <x:c r="K123" s="4" t="s">
        <x:v>635</x:v>
      </x:c>
      <x:c r="L123" s="4" t="s">
        <x:v>107</x:v>
      </x:c>
      <x:c r="M123" s="4" t="s">
        <x:v>314</x:v>
      </x:c>
      <x:c r="N123" s="4" t="s">
        <x:v>314</x:v>
      </x:c>
      <x:c r="O123" s="4" t="s">
        <x:v>168</x:v>
      </x:c>
      <x:c r="P123" s="4" t="s">
        <x:v>1817</x:v>
      </x:c>
      <x:c r="Q123" s="4" t="s">
        <x:v>1817</x:v>
      </x:c>
      <x:c r="R123" s="4" t="s">
        <x:v>1818</x:v>
      </x:c>
      <x:c r="S123" s="4" t="s">
        <x:v>227</x:v>
      </x:c>
      <x:c r="T123" s="4" t="s">
        <x:v>1843</x:v>
      </x:c>
      <x:c r="U123" s="4" t="s">
        <x:v>632</x:v>
      </x:c>
      <x:c r="V123" s="4" t="s">
        <x:v>638</x:v>
      </x:c>
      <x:c r="W123" s="4" t="s">
        <x:v>171</x:v>
      </x:c>
      <x:c r="X123" s="4" t="s">
        <x:v>171</x:v>
      </x:c>
      <x:c r="Y123" s="4" t="s">
        <x:v>172</x:v>
      </x:c>
      <x:c r="Z123" s="4" t="s">
        <x:v>171</x:v>
      </x:c>
      <x:c r="AA123" s="4" t="s">
        <x:v>172</x:v>
      </x:c>
      <x:c r="AB123" s="4" t="s">
        <x:v>172</x:v>
      </x:c>
      <x:c r="AC123" s="4" t="s">
        <x:v>172</x:v>
      </x:c>
      <x:c r="AD123" s="4" t="s">
        <x:v>193</x:v>
      </x:c>
      <x:c r="AE123" s="4" t="s">
        <x:v>1830</x:v>
      </x:c>
      <x:c r="AF123" s="4" t="s">
        <x:v>1820</x:v>
      </x:c>
      <x:c r="AG123" s="4" t="s">
        <x:v>2200</x:v>
      </x:c>
      <x:c r="AH123" s="4" t="s">
        <x:v>172</x:v>
      </x:c>
      <x:c r="AI123" s="4" t="s">
        <x:v>1822</x:v>
      </x:c>
      <x:c r="AJ123" s="4" t="s">
        <x:v>2201</x:v>
      </x:c>
      <x:c r="AK123" s="4" t="s">
        <x:v>1466</x:v>
      </x:c>
      <x:c r="AL123" s="4" t="s">
        <x:v>1823</x:v>
      </x:c>
      <x:c r="AM123" s="66"/>
      <x:c r="AP123" s="67"/>
    </x:row>
    <x:row r="124">
      <x:c r="A124" s="4" t="s">
        <x:v>76</x:v>
      </x:c>
      <x:c r="B124" s="4" t="s">
        <x:v>1607</x:v>
      </x:c>
      <x:c r="C124" s="4" t="s">
        <x:v>1824</x:v>
      </x:c>
      <x:c r="D124" s="4" t="s">
        <x:v>640</x:v>
      </x:c>
      <x:c r="E124" s="4" t="s">
        <x:v>640</x:v>
      </x:c>
      <x:c r="F124" s="65" t="s">
        <x:v>2202</x:v>
      </x:c>
      <x:c r="G124" s="4" t="s">
        <x:v>1336</x:v>
      </x:c>
      <x:c r="H124" s="4" t="s">
        <x:v>1337</x:v>
      </x:c>
      <x:c r="I124" s="4" t="s">
        <x:v>1847</x:v>
      </x:c>
      <x:c r="J124" s="4" t="s">
        <x:v>1835</x:v>
      </x:c>
      <x:c r="K124" s="4" t="s">
        <x:v>641</x:v>
      </x:c>
      <x:c r="L124" s="4" t="s">
        <x:v>169</x:v>
      </x:c>
      <x:c r="M124" s="4" t="s">
        <x:v>314</x:v>
      </x:c>
      <x:c r="N124" s="4" t="s">
        <x:v>169</x:v>
      </x:c>
      <x:c r="O124" s="4" t="s">
        <x:v>187</x:v>
      </x:c>
      <x:c r="P124" s="4" t="s">
        <x:v>1817</x:v>
      </x:c>
      <x:c r="Q124" s="4" t="s">
        <x:v>1817</x:v>
      </x:c>
      <x:c r="R124" s="4" t="s">
        <x:v>1836</x:v>
      </x:c>
      <x:c r="S124" s="4" t="s">
        <x:v>234</x:v>
      </x:c>
      <x:c r="T124" s="4" t="s">
        <x:v>1837</x:v>
      </x:c>
      <x:c r="U124" s="4" t="s">
        <x:v>638</x:v>
      </x:c>
      <x:c r="V124" s="4" t="s">
        <x:v>638</x:v>
      </x:c>
      <x:c r="W124" s="4" t="s">
        <x:v>172</x:v>
      </x:c>
      <x:c r="X124" s="4" t="s">
        <x:v>171</x:v>
      </x:c>
      <x:c r="Y124" s="4" t="s">
        <x:v>172</x:v>
      </x:c>
      <x:c r="Z124" s="4" t="s">
        <x:v>172</x:v>
      </x:c>
      <x:c r="AA124" s="4" t="s">
        <x:v>172</x:v>
      </x:c>
      <x:c r="AB124" s="4" t="s">
        <x:v>172</x:v>
      </x:c>
      <x:c r="AC124" s="4" t="s">
        <x:v>172</x:v>
      </x:c>
      <x:c r="AD124" s="4" t="s">
        <x:v>195</x:v>
      </x:c>
      <x:c r="AE124" s="4" t="s">
        <x:v>1848</x:v>
      </x:c>
      <x:c r="AF124" s="4" t="s">
        <x:v>1848</x:v>
      </x:c>
      <x:c r="AG124" s="4" t="s">
        <x:v>2203</x:v>
      </x:c>
      <x:c r="AH124" s="4" t="s">
        <x:v>171</x:v>
      </x:c>
      <x:c r="AI124" s="4" t="s">
        <x:v>2204</x:v>
      </x:c>
      <x:c r="AJ124" s="4" t="s">
        <x:v>2205</x:v>
      </x:c>
      <x:c r="AK124" s="4" t="s">
        <x:v>169</x:v>
      </x:c>
      <x:c r="AL124" s="4" t="s">
        <x:v>2198</x:v>
      </x:c>
      <x:c r="AM124" s="66"/>
      <x:c r="AP124" s="67"/>
    </x:row>
    <x:row r="125">
      <x:c r="A125" s="4" t="s">
        <x:v>76</x:v>
      </x:c>
      <x:c r="B125" s="4" t="s">
        <x:v>358</x:v>
      </x:c>
      <x:c r="C125" s="4" t="s">
        <x:v>1824</x:v>
      </x:c>
      <x:c r="D125" s="4" t="s">
        <x:v>643</x:v>
      </x:c>
      <x:c r="E125" s="4" t="s">
        <x:v>643</x:v>
      </x:c>
      <x:c r="F125" s="65" t="n">
        <x:v>46192.57325231482</x:v>
      </x:c>
      <x:c r="G125" s="4" t="s">
        <x:v>1336</x:v>
      </x:c>
      <x:c r="H125" s="4" t="s">
        <x:v>1337</x:v>
      </x:c>
      <x:c r="I125" s="4" t="s">
        <x:v>1825</x:v>
      </x:c>
      <x:c r="J125" s="4" t="s">
        <x:v>1826</x:v>
      </x:c>
      <x:c r="K125" s="4" t="s">
        <x:v>107</x:v>
      </x:c>
      <x:c r="L125" s="4" t="s">
        <x:v>644</x:v>
      </x:c>
      <x:c r="M125" s="4" t="s">
        <x:v>169</x:v>
      </x:c>
      <x:c r="N125" s="4" t="s">
        <x:v>169</x:v>
      </x:c>
      <x:c r="O125" s="4" t="str">
        <x:v>已取消</x:v>
      </x:c>
      <x:c r="P125" s="4" t="s">
        <x:v>171</x:v>
      </x:c>
      <x:c r="Q125" s="4" t="s">
        <x:v>1817</x:v>
      </x:c>
      <x:c r="R125" s="4" t="s">
        <x:v>1827</x:v>
      </x:c>
      <x:c r="S125" s="4" t="s">
        <x:v>1828</x:v>
      </x:c>
      <x:c r="T125" s="4" t="s">
        <x:v>1829</x:v>
      </x:c>
      <x:c r="U125" s="4" t="s">
        <x:v>638</x:v>
      </x:c>
      <x:c r="V125" s="4" t="s">
        <x:v>638</x:v>
      </x:c>
      <x:c r="W125" s="4" t="s">
        <x:v>172</x:v>
      </x:c>
      <x:c r="X125" s="4" t="s">
        <x:v>171</x:v>
      </x:c>
      <x:c r="Y125" s="4" t="s">
        <x:v>172</x:v>
      </x:c>
      <x:c r="Z125" s="4" t="s">
        <x:v>172</x:v>
      </x:c>
      <x:c r="AA125" s="4" t="s">
        <x:v>172</x:v>
      </x:c>
      <x:c r="AB125" s="4" t="s">
        <x:v>172</x:v>
      </x:c>
      <x:c r="AC125" s="4" t="s">
        <x:v>172</x:v>
      </x:c>
      <x:c r="AD125" s="4" t="str">
        <x:v>相邻记录</x:v>
      </x:c>
      <x:c r="AE125" s="4" t="s">
        <x:v>1848</x:v>
      </x:c>
      <x:c r="AF125" s="4" t="s">
        <x:v>1848</x:v>
      </x:c>
      <x:c r="AG125" s="4" t="str">
        <x:v>条件委托已取消；算法编号1000002014744846；创建时间2026-06-19 21:04:53；撤销时间2026-06-19 21:45:29；是否触发否；周期关联等级CANDIDATE；取消/过期原因无法确认（已完成为不适用）。</x:v>
      </x:c>
      <x:c r="AH125" s="4" t="s">
        <x:v>171</x:v>
      </x:c>
      <x:c r="AI125" s="4" t="str">
        <x:v>/Users/luodaluo/Desktop/30天复盘原始数据/补充证据_历史委托条件委托截图/05_安卓端取消与过期完整生命周期/01_已取消/Screenshot_20260722_222949.jpg</x:v>
      </x:c>
      <x:c r="AJ125" s="4" t="s">
        <x:v>2206</x:v>
      </x:c>
      <x:c r="AK125" s="4" t="s">
        <x:v>169</x:v>
      </x:c>
      <x:c r="AL125" s="4" t="s">
        <x:v>1977</x:v>
      </x:c>
      <x:c r="AM125" s="66" t="str">
        <x:v>1000002014744846</x:v>
      </x:c>
      <x:c r="AN125" t="str">
        <x:v>撤销</x:v>
      </x:c>
      <x:c r="AO125" t="str">
        <x:v>否</x:v>
      </x:c>
      <x:c r="AP125" s="67" t="n">
        <x:v>46192.57325231482</x:v>
      </x:c>
      <x:c r="AQ125" t="str">
        <x:v>CANDIDATE</x:v>
      </x:c>
      <x:c r="AR125" t="str">
        <x:v>/Users/luodaluo/Desktop/30天复盘原始数据/补充证据_历史委托条件委托截图/05_安卓端取消与过期完整生命周期/01_已取消/Screenshot_20260722_222949.jpg</x:v>
      </x:c>
    </x:row>
    <x:row r="126">
      <x:c r="A126" s="4" t="s">
        <x:v>76</x:v>
      </x:c>
      <x:c r="B126" s="4" t="s">
        <x:v>1465</x:v>
      </x:c>
      <x:c r="C126" s="4" t="s">
        <x:v>1824</x:v>
      </x:c>
      <x:c r="D126" s="4" t="s">
        <x:v>647</x:v>
      </x:c>
      <x:c r="E126" s="4" t="s">
        <x:v>647</x:v>
      </x:c>
      <x:c r="F126" s="65" t="n">
        <x:v>46192.579675925925</x:v>
      </x:c>
      <x:c r="G126" s="4" t="s">
        <x:v>1336</x:v>
      </x:c>
      <x:c r="H126" s="4" t="s">
        <x:v>1337</x:v>
      </x:c>
      <x:c r="I126" s="4" t="s">
        <x:v>1825</x:v>
      </x:c>
      <x:c r="J126" s="4" t="s">
        <x:v>1826</x:v>
      </x:c>
      <x:c r="K126" s="4" t="s">
        <x:v>107</x:v>
      </x:c>
      <x:c r="L126" s="4" t="s">
        <x:v>648</x:v>
      </x:c>
      <x:c r="M126" s="4" t="s">
        <x:v>169</x:v>
      </x:c>
      <x:c r="N126" s="4" t="s">
        <x:v>169</x:v>
      </x:c>
      <x:c r="O126" s="4" t="str">
        <x:v>已取消</x:v>
      </x:c>
      <x:c r="P126" s="4" t="s">
        <x:v>171</x:v>
      </x:c>
      <x:c r="Q126" s="4" t="s">
        <x:v>1817</x:v>
      </x:c>
      <x:c r="R126" s="4" t="s">
        <x:v>1827</x:v>
      </x:c>
      <x:c r="S126" s="4" t="s">
        <x:v>1828</x:v>
      </x:c>
      <x:c r="T126" s="4" t="s">
        <x:v>1829</x:v>
      </x:c>
      <x:c r="U126" s="4" t="s">
        <x:v>638</x:v>
      </x:c>
      <x:c r="V126" s="4" t="s">
        <x:v>638</x:v>
      </x:c>
      <x:c r="W126" s="4" t="s">
        <x:v>172</x:v>
      </x:c>
      <x:c r="X126" s="4" t="s">
        <x:v>171</x:v>
      </x:c>
      <x:c r="Y126" s="4" t="s">
        <x:v>172</x:v>
      </x:c>
      <x:c r="Z126" s="4" t="s">
        <x:v>172</x:v>
      </x:c>
      <x:c r="AA126" s="4" t="s">
        <x:v>172</x:v>
      </x:c>
      <x:c r="AB126" s="4" t="s">
        <x:v>172</x:v>
      </x:c>
      <x:c r="AC126" s="4" t="s">
        <x:v>172</x:v>
      </x:c>
      <x:c r="AD126" s="4" t="str">
        <x:v>相邻记录</x:v>
      </x:c>
      <x:c r="AE126" s="4" t="s">
        <x:v>1848</x:v>
      </x:c>
      <x:c r="AF126" s="4" t="s">
        <x:v>1848</x:v>
      </x:c>
      <x:c r="AG126" s="4" t="str">
        <x:v>条件委托已取消；算法编号1000002015030467；创建时间2026-06-19 21:45:29；撤销时间2026-06-19 21:54:44；是否触发否；周期关联等级CANDIDATE；取消/过期原因无法确认（已完成为不适用）。</x:v>
      </x:c>
      <x:c r="AH126" s="4" t="s">
        <x:v>171</x:v>
      </x:c>
      <x:c r="AI126" s="4" t="str">
        <x:v>/Users/luodaluo/Desktop/30天复盘原始数据/补充证据_历史委托条件委托截图/05_安卓端取消与过期完整生命周期/01_已取消/Screenshot_20260722_222955.jpg</x:v>
      </x:c>
      <x:c r="AJ126" s="4" t="s">
        <x:v>2207</x:v>
      </x:c>
      <x:c r="AK126" s="4" t="s">
        <x:v>169</x:v>
      </x:c>
      <x:c r="AL126" s="4" t="s">
        <x:v>1977</x:v>
      </x:c>
      <x:c r="AM126" s="66" t="str">
        <x:v>1000002015030467</x:v>
      </x:c>
      <x:c r="AN126" t="str">
        <x:v>撤销</x:v>
      </x:c>
      <x:c r="AO126" t="str">
        <x:v>否</x:v>
      </x:c>
      <x:c r="AP126" s="67" t="n">
        <x:v>46192.579675925925</x:v>
      </x:c>
      <x:c r="AQ126" t="str">
        <x:v>CANDIDATE</x:v>
      </x:c>
      <x:c r="AR126" t="str">
        <x:v>/Users/luodaluo/Desktop/30天复盘原始数据/补充证据_历史委托条件委托截图/05_安卓端取消与过期完整生命周期/01_已取消/Screenshot_20260722_222955.jpg</x:v>
      </x:c>
    </x:row>
    <x:row r="127">
      <x:c r="A127" s="4" t="s">
        <x:v>76</x:v>
      </x:c>
      <x:c r="B127" s="4" t="s">
        <x:v>1464</x:v>
      </x:c>
      <x:c r="C127" s="4" t="s">
        <x:v>1824</x:v>
      </x:c>
      <x:c r="D127" s="4" t="s">
        <x:v>651</x:v>
      </x:c>
      <x:c r="E127" s="4" t="s">
        <x:v>651</x:v>
      </x:c>
      <x:c r="F127" s="65" t="s">
        <x:v>2208</x:v>
      </x:c>
      <x:c r="G127" s="4" t="s">
        <x:v>1336</x:v>
      </x:c>
      <x:c r="H127" s="4" t="s">
        <x:v>1337</x:v>
      </x:c>
      <x:c r="I127" s="4" t="s">
        <x:v>1847</x:v>
      </x:c>
      <x:c r="J127" s="4" t="s">
        <x:v>1835</x:v>
      </x:c>
      <x:c r="K127" s="4" t="s">
        <x:v>652</x:v>
      </x:c>
      <x:c r="L127" s="4" t="s">
        <x:v>169</x:v>
      </x:c>
      <x:c r="M127" s="4" t="s">
        <x:v>638</x:v>
      </x:c>
      <x:c r="N127" s="4" t="s">
        <x:v>169</x:v>
      </x:c>
      <x:c r="O127" s="4" t="s">
        <x:v>187</x:v>
      </x:c>
      <x:c r="P127" s="4" t="s">
        <x:v>1817</x:v>
      </x:c>
      <x:c r="Q127" s="4" t="s">
        <x:v>1817</x:v>
      </x:c>
      <x:c r="R127" s="4" t="s">
        <x:v>1836</x:v>
      </x:c>
      <x:c r="S127" s="4" t="s">
        <x:v>234</x:v>
      </x:c>
      <x:c r="T127" s="4" t="s">
        <x:v>1837</x:v>
      </x:c>
      <x:c r="U127" s="4" t="s">
        <x:v>638</x:v>
      </x:c>
      <x:c r="V127" s="4" t="s">
        <x:v>638</x:v>
      </x:c>
      <x:c r="W127" s="4" t="s">
        <x:v>172</x:v>
      </x:c>
      <x:c r="X127" s="4" t="s">
        <x:v>171</x:v>
      </x:c>
      <x:c r="Y127" s="4" t="s">
        <x:v>172</x:v>
      </x:c>
      <x:c r="Z127" s="4" t="s">
        <x:v>172</x:v>
      </x:c>
      <x:c r="AA127" s="4" t="s">
        <x:v>172</x:v>
      </x:c>
      <x:c r="AB127" s="4" t="s">
        <x:v>172</x:v>
      </x:c>
      <x:c r="AC127" s="4" t="s">
        <x:v>172</x:v>
      </x:c>
      <x:c r="AD127" s="4" t="s">
        <x:v>447</x:v>
      </x:c>
      <x:c r="AE127" s="4" t="s">
        <x:v>2209</x:v>
      </x:c>
      <x:c r="AF127" s="4" t="s">
        <x:v>1848</x:v>
      </x:c>
      <x:c r="AG127" s="4" t="s">
        <x:v>2203</x:v>
      </x:c>
      <x:c r="AH127" s="4" t="s">
        <x:v>171</x:v>
      </x:c>
      <x:c r="AI127" s="4" t="s">
        <x:v>2210</x:v>
      </x:c>
      <x:c r="AJ127" s="4" t="s">
        <x:v>2211</x:v>
      </x:c>
      <x:c r="AK127" s="4" t="s">
        <x:v>169</x:v>
      </x:c>
      <x:c r="AL127" s="4" t="s">
        <x:v>2198</x:v>
      </x:c>
      <x:c r="AM127" s="66"/>
      <x:c r="AP127" s="67"/>
    </x:row>
    <x:row r="128">
      <x:c r="A128" s="4" t="s">
        <x:v>76</x:v>
      </x:c>
      <x:c r="B128" s="4" t="s">
        <x:v>638</x:v>
      </x:c>
      <x:c r="C128" s="4" t="s">
        <x:v>1824</x:v>
      </x:c>
      <x:c r="D128" s="4" t="s">
        <x:v>653</x:v>
      </x:c>
      <x:c r="E128" s="4" t="s">
        <x:v>653</x:v>
      </x:c>
      <x:c r="F128" s="65" t="n">
        <x:v>46193.29215277778</x:v>
      </x:c>
      <x:c r="G128" s="4" t="s">
        <x:v>1336</x:v>
      </x:c>
      <x:c r="H128" s="4" t="s">
        <x:v>1337</x:v>
      </x:c>
      <x:c r="I128" s="4" t="s">
        <x:v>1825</x:v>
      </x:c>
      <x:c r="J128" s="4" t="s">
        <x:v>203</x:v>
      </x:c>
      <x:c r="K128" s="4" t="s">
        <x:v>107</x:v>
      </x:c>
      <x:c r="L128" s="4" t="s">
        <x:v>409</x:v>
      </x:c>
      <x:c r="M128" s="4" t="s">
        <x:v>169</x:v>
      </x:c>
      <x:c r="N128" s="4" t="s">
        <x:v>169</x:v>
      </x:c>
      <x:c r="O128" s="4" t="str">
        <x:v>已取消</x:v>
      </x:c>
      <x:c r="P128" s="4" t="s">
        <x:v>171</x:v>
      </x:c>
      <x:c r="Q128" s="4" t="s">
        <x:v>1817</x:v>
      </x:c>
      <x:c r="R128" s="4" t="s">
        <x:v>1827</x:v>
      </x:c>
      <x:c r="S128" s="4" t="s">
        <x:v>2106</x:v>
      </x:c>
      <x:c r="T128" s="4" t="s">
        <x:v>1829</x:v>
      </x:c>
      <x:c r="U128" s="4" t="s">
        <x:v>638</x:v>
      </x:c>
      <x:c r="V128" s="4" t="s">
        <x:v>638</x:v>
      </x:c>
      <x:c r="W128" s="4" t="s">
        <x:v>172</x:v>
      </x:c>
      <x:c r="X128" s="4" t="s">
        <x:v>171</x:v>
      </x:c>
      <x:c r="Y128" s="4" t="s">
        <x:v>172</x:v>
      </x:c>
      <x:c r="Z128" s="4" t="s">
        <x:v>172</x:v>
      </x:c>
      <x:c r="AA128" s="4" t="s">
        <x:v>172</x:v>
      </x:c>
      <x:c r="AB128" s="4" t="s">
        <x:v>172</x:v>
      </x:c>
      <x:c r="AC128" s="4" t="s">
        <x:v>172</x:v>
      </x:c>
      <x:c r="AD128" s="4" t="str">
        <x:v>相邻记录</x:v>
      </x:c>
      <x:c r="AE128" s="4" t="s">
        <x:v>1848</x:v>
      </x:c>
      <x:c r="AF128" s="4" t="s">
        <x:v>1848</x:v>
      </x:c>
      <x:c r="AG128" s="4" t="str">
        <x:v>条件委托已取消；算法编号1000002179699184；创建时间2026-06-20 05:09:56；撤销时间2026-06-20 15:00:42；是否触发否；周期关联等级CANDIDATE；取消/过期原因无法确认（已完成为不适用）。</x:v>
      </x:c>
      <x:c r="AH128" s="4" t="s">
        <x:v>171</x:v>
      </x:c>
      <x:c r="AI128" s="4" t="str">
        <x:v>/Users/luodaluo/Desktop/30天复盘原始数据/补充证据_历史委托条件委托截图/05_安卓端取消与过期完整生命周期/01_已取消/Screenshot_20260722_222959.jpg</x:v>
      </x:c>
      <x:c r="AJ128" s="4" t="s">
        <x:v>2212</x:v>
      </x:c>
      <x:c r="AK128" s="4" t="s">
        <x:v>169</x:v>
      </x:c>
      <x:c r="AL128" s="4" t="s">
        <x:v>1977</x:v>
      </x:c>
      <x:c r="AM128" s="66" t="str">
        <x:v>1000002179699184</x:v>
      </x:c>
      <x:c r="AN128" t="str">
        <x:v>撤销</x:v>
      </x:c>
      <x:c r="AO128" t="str">
        <x:v>否</x:v>
      </x:c>
      <x:c r="AP128" s="67" t="n">
        <x:v>46193.29215277778</x:v>
      </x:c>
      <x:c r="AQ128" t="str">
        <x:v>CANDIDATE</x:v>
      </x:c>
      <x:c r="AR128" t="str">
        <x:v>/Users/luodaluo/Desktop/30天复盘原始数据/补充证据_历史委托条件委托截图/05_安卓端取消与过期完整生命周期/01_已取消/Screenshot_20260722_222959.jpg</x:v>
      </x:c>
    </x:row>
    <x:row r="129">
      <x:c r="A129" s="4" t="s">
        <x:v>76</x:v>
      </x:c>
      <x:c r="B129" s="4" t="s">
        <x:v>1911</x:v>
      </x:c>
      <x:c r="C129" s="4" t="s">
        <x:v>1824</x:v>
      </x:c>
      <x:c r="D129" s="4" t="s">
        <x:v>654</x:v>
      </x:c>
      <x:c r="E129" s="4" t="s">
        <x:v>2213</x:v>
      </x:c>
      <x:c r="F129" s="65" t="s">
        <x:v>654</x:v>
      </x:c>
      <x:c r="G129" s="4" t="s">
        <x:v>1336</x:v>
      </x:c>
      <x:c r="H129" s="4" t="s">
        <x:v>1337</x:v>
      </x:c>
      <x:c r="I129" s="4" t="s">
        <x:v>1852</x:v>
      </x:c>
      <x:c r="J129" s="4" t="s">
        <x:v>199</x:v>
      </x:c>
      <x:c r="K129" s="4" t="s">
        <x:v>656</x:v>
      </x:c>
      <x:c r="L129" s="4" t="s">
        <x:v>107</x:v>
      </x:c>
      <x:c r="M129" s="4" t="s">
        <x:v>657</x:v>
      </x:c>
      <x:c r="N129" s="4" t="s">
        <x:v>657</x:v>
      </x:c>
      <x:c r="O129" s="4" t="s">
        <x:v>168</x:v>
      </x:c>
      <x:c r="P129" s="4" t="s">
        <x:v>1817</x:v>
      </x:c>
      <x:c r="Q129" s="4" t="s">
        <x:v>1817</x:v>
      </x:c>
      <x:c r="R129" s="4" t="s">
        <x:v>1818</x:v>
      </x:c>
      <x:c r="S129" s="4" t="s">
        <x:v>655</x:v>
      </x:c>
      <x:c r="T129" s="4" t="s">
        <x:v>1950</x:v>
      </x:c>
      <x:c r="U129" s="4" t="s">
        <x:v>638</x:v>
      </x:c>
      <x:c r="V129" s="4" t="s">
        <x:v>657</x:v>
      </x:c>
      <x:c r="W129" s="4" t="s">
        <x:v>171</x:v>
      </x:c>
      <x:c r="X129" s="4" t="s">
        <x:v>171</x:v>
      </x:c>
      <x:c r="Y129" s="4" t="s">
        <x:v>172</x:v>
      </x:c>
      <x:c r="Z129" s="4" t="s">
        <x:v>172</x:v>
      </x:c>
      <x:c r="AA129" s="4" t="s">
        <x:v>171</x:v>
      </x:c>
      <x:c r="AB129" s="4" t="s">
        <x:v>172</x:v>
      </x:c>
      <x:c r="AC129" s="4" t="s">
        <x:v>172</x:v>
      </x:c>
      <x:c r="AD129" s="4" t="s">
        <x:v>447</x:v>
      </x:c>
      <x:c r="AE129" s="4" t="s">
        <x:v>2209</x:v>
      </x:c>
      <x:c r="AF129" s="4" t="s">
        <x:v>1820</x:v>
      </x:c>
      <x:c r="AG129" s="4" t="s">
        <x:v>2214</x:v>
      </x:c>
      <x:c r="AH129" s="4" t="s">
        <x:v>171</x:v>
      </x:c>
      <x:c r="AI129" s="4" t="s">
        <x:v>1822</x:v>
      </x:c>
      <x:c r="AJ129" s="4" t="s">
        <x:v>2215</x:v>
      </x:c>
      <x:c r="AK129" s="4" t="s">
        <x:v>200</x:v>
      </x:c>
      <x:c r="AL129" s="4" t="s">
        <x:v>1823</x:v>
      </x:c>
      <x:c r="AM129" s="66"/>
      <x:c r="AP129" s="67"/>
    </x:row>
    <x:row r="130">
      <x:c r="A130" s="4" t="s">
        <x:v>76</x:v>
      </x:c>
      <x:c r="B130" s="4" t="s">
        <x:v>373</x:v>
      </x:c>
      <x:c r="C130" s="4" t="s">
        <x:v>1824</x:v>
      </x:c>
      <x:c r="D130" s="4" t="s">
        <x:v>659</x:v>
      </x:c>
      <x:c r="E130" s="4" t="s">
        <x:v>659</x:v>
      </x:c>
      <x:c r="F130" s="65" t="n">
        <x:v>46193.28223379629</x:v>
      </x:c>
      <x:c r="G130" s="4" t="s">
        <x:v>1336</x:v>
      </x:c>
      <x:c r="H130" s="4" t="s">
        <x:v>1337</x:v>
      </x:c>
      <x:c r="I130" s="4" t="s">
        <x:v>1825</x:v>
      </x:c>
      <x:c r="J130" s="4" t="s">
        <x:v>1826</x:v>
      </x:c>
      <x:c r="K130" s="4" t="s">
        <x:v>107</x:v>
      </x:c>
      <x:c r="L130" s="4" t="s">
        <x:v>660</x:v>
      </x:c>
      <x:c r="M130" s="4" t="s">
        <x:v>169</x:v>
      </x:c>
      <x:c r="N130" s="4" t="s">
        <x:v>169</x:v>
      </x:c>
      <x:c r="O130" s="4" t="str">
        <x:v>已取消</x:v>
      </x:c>
      <x:c r="P130" s="4" t="s">
        <x:v>171</x:v>
      </x:c>
      <x:c r="Q130" s="4" t="s">
        <x:v>1817</x:v>
      </x:c>
      <x:c r="R130" s="4" t="s">
        <x:v>1827</x:v>
      </x:c>
      <x:c r="S130" s="4" t="s">
        <x:v>1828</x:v>
      </x:c>
      <x:c r="T130" s="4" t="s">
        <x:v>1829</x:v>
      </x:c>
      <x:c r="U130" s="4" t="s">
        <x:v>638</x:v>
      </x:c>
      <x:c r="V130" s="4" t="s">
        <x:v>638</x:v>
      </x:c>
      <x:c r="W130" s="4" t="s">
        <x:v>172</x:v>
      </x:c>
      <x:c r="X130" s="4" t="s">
        <x:v>171</x:v>
      </x:c>
      <x:c r="Y130" s="4" t="s">
        <x:v>172</x:v>
      </x:c>
      <x:c r="Z130" s="4" t="s">
        <x:v>172</x:v>
      </x:c>
      <x:c r="AA130" s="4" t="s">
        <x:v>172</x:v>
      </x:c>
      <x:c r="AB130" s="4" t="s">
        <x:v>172</x:v>
      </x:c>
      <x:c r="AC130" s="4" t="s">
        <x:v>172</x:v>
      </x:c>
      <x:c r="AD130" s="4" t="str">
        <x:v>疑似连续调整</x:v>
      </x:c>
      <x:c r="AE130" s="4" t="s">
        <x:v>1830</x:v>
      </x:c>
      <x:c r="AF130" s="4" t="s">
        <x:v>1830</x:v>
      </x:c>
      <x:c r="AG130" s="4" t="str">
        <x:v>条件委托已取消；算法编号1000002180535071；创建时间2026-06-20 08:02:45；撤销时间2026-06-20 14:46:25；是否触发否；周期关联等级STRONG_CONTEXT；取消/过期原因无法确认（已完成为不适用）。</x:v>
      </x:c>
      <x:c r="AH130" s="4" t="s">
        <x:v>172</x:v>
      </x:c>
      <x:c r="AI130" s="4" t="str">
        <x:v>/Users/luodaluo/Desktop/30天复盘原始数据/补充证据_历史委托条件委托截图/05_安卓端取消与过期完整生命周期/01_已取消/Screenshot_20260722_223005.jpg</x:v>
      </x:c>
      <x:c r="AJ130" s="4" t="s">
        <x:v>2216</x:v>
      </x:c>
      <x:c r="AK130" s="4" t="s">
        <x:v>169</x:v>
      </x:c>
      <x:c r="AL130" s="4" t="s">
        <x:v>1832</x:v>
      </x:c>
      <x:c r="AM130" s="66" t="str">
        <x:v>1000002180535071</x:v>
      </x:c>
      <x:c r="AN130" t="str">
        <x:v>撤销</x:v>
      </x:c>
      <x:c r="AO130" t="str">
        <x:v>否</x:v>
      </x:c>
      <x:c r="AP130" s="67" t="n">
        <x:v>46193.28223379629</x:v>
      </x:c>
      <x:c r="AQ130" t="str">
        <x:v>STRONG_CONTEXT</x:v>
      </x:c>
      <x:c r="AR130" t="str">
        <x:v>/Users/luodaluo/Desktop/30天复盘原始数据/补充证据_历史委托条件委托截图/05_安卓端取消与过期完整生命周期/01_已取消/Screenshot_20260722_223005.jpg</x:v>
      </x:c>
    </x:row>
    <x:row r="131">
      <x:c r="A131" s="4" t="s">
        <x:v>76</x:v>
      </x:c>
      <x:c r="B131" s="4" t="s">
        <x:v>1918</x:v>
      </x:c>
      <x:c r="C131" s="4" t="s">
        <x:v>1824</x:v>
      </x:c>
      <x:c r="D131" s="4" t="s">
        <x:v>661</x:v>
      </x:c>
      <x:c r="E131" s="4" t="s">
        <x:v>661</x:v>
      </x:c>
      <x:c r="F131" s="65" t="n">
        <x:v>46193.286574074074</x:v>
      </x:c>
      <x:c r="G131" s="4" t="s">
        <x:v>1336</x:v>
      </x:c>
      <x:c r="H131" s="4" t="s">
        <x:v>1337</x:v>
      </x:c>
      <x:c r="I131" s="4" t="s">
        <x:v>1825</x:v>
      </x:c>
      <x:c r="J131" s="4" t="s">
        <x:v>1826</x:v>
      </x:c>
      <x:c r="K131" s="4" t="s">
        <x:v>107</x:v>
      </x:c>
      <x:c r="L131" s="4" t="s">
        <x:v>662</x:v>
      </x:c>
      <x:c r="M131" s="4" t="s">
        <x:v>169</x:v>
      </x:c>
      <x:c r="N131" s="4" t="s">
        <x:v>169</x:v>
      </x:c>
      <x:c r="O131" s="4" t="str">
        <x:v>已取消</x:v>
      </x:c>
      <x:c r="P131" s="4" t="s">
        <x:v>171</x:v>
      </x:c>
      <x:c r="Q131" s="4" t="s">
        <x:v>1817</x:v>
      </x:c>
      <x:c r="R131" s="4" t="s">
        <x:v>1827</x:v>
      </x:c>
      <x:c r="S131" s="4" t="s">
        <x:v>1828</x:v>
      </x:c>
      <x:c r="T131" s="4" t="s">
        <x:v>1829</x:v>
      </x:c>
      <x:c r="U131" s="4" t="s">
        <x:v>657</x:v>
      </x:c>
      <x:c r="V131" s="4" t="s">
        <x:v>657</x:v>
      </x:c>
      <x:c r="W131" s="4" t="s">
        <x:v>172</x:v>
      </x:c>
      <x:c r="X131" s="4" t="s">
        <x:v>171</x:v>
      </x:c>
      <x:c r="Y131" s="4" t="s">
        <x:v>172</x:v>
      </x:c>
      <x:c r="Z131" s="4" t="s">
        <x:v>172</x:v>
      </x:c>
      <x:c r="AA131" s="4" t="s">
        <x:v>172</x:v>
      </x:c>
      <x:c r="AB131" s="4" t="s">
        <x:v>172</x:v>
      </x:c>
      <x:c r="AC131" s="4" t="s">
        <x:v>172</x:v>
      </x:c>
      <x:c r="AD131" s="4" t="str">
        <x:v>疑似连续调整</x:v>
      </x:c>
      <x:c r="AE131" s="4" t="s">
        <x:v>1830</x:v>
      </x:c>
      <x:c r="AF131" s="4" t="s">
        <x:v>1830</x:v>
      </x:c>
      <x:c r="AG131" s="4" t="str">
        <x:v>条件委托已取消；算法编号1000002182709211；创建时间2026-06-20 14:46:25；撤销时间2026-06-20 14:52:40；是否触发否；周期关联等级STRONG_CONTEXT；取消/过期原因无法确认（已完成为不适用）。</x:v>
      </x:c>
      <x:c r="AH131" s="4" t="s">
        <x:v>172</x:v>
      </x:c>
      <x:c r="AI131" s="4" t="str">
        <x:v>/Users/luodaluo/Desktop/30天复盘原始数据/补充证据_历史委托条件委托截图/05_安卓端取消与过期完整生命周期/01_已取消/Screenshot_20260722_223010.jpg</x:v>
      </x:c>
      <x:c r="AJ131" s="4" t="s">
        <x:v>2217</x:v>
      </x:c>
      <x:c r="AK131" s="4" t="s">
        <x:v>169</x:v>
      </x:c>
      <x:c r="AL131" s="4" t="s">
        <x:v>1832</x:v>
      </x:c>
      <x:c r="AM131" s="66" t="str">
        <x:v>1000002182709211</x:v>
      </x:c>
      <x:c r="AN131" t="str">
        <x:v>撤销</x:v>
      </x:c>
      <x:c r="AO131" t="str">
        <x:v>否</x:v>
      </x:c>
      <x:c r="AP131" s="67" t="n">
        <x:v>46193.286574074074</x:v>
      </x:c>
      <x:c r="AQ131" t="str">
        <x:v>STRONG_CONTEXT</x:v>
      </x:c>
      <x:c r="AR131" t="str">
        <x:v>/Users/luodaluo/Desktop/30天复盘原始数据/补充证据_历史委托条件委托截图/05_安卓端取消与过期完整生命周期/01_已取消/Screenshot_20260722_223010.jpg</x:v>
      </x:c>
    </x:row>
    <x:row r="132">
      <x:c r="A132" s="4" t="s">
        <x:v>76</x:v>
      </x:c>
      <x:c r="B132" s="4" t="s">
        <x:v>1721</x:v>
      </x:c>
      <x:c r="C132" s="4" t="s">
        <x:v>1824</x:v>
      </x:c>
      <x:c r="D132" s="4" t="s">
        <x:v>663</x:v>
      </x:c>
      <x:c r="E132" s="4" t="s">
        <x:v>663</x:v>
      </x:c>
      <x:c r="F132" s="65" t="n">
        <x:v>46193.62511574074</x:v>
      </x:c>
      <x:c r="G132" s="4" t="s">
        <x:v>1336</x:v>
      </x:c>
      <x:c r="H132" s="4" t="s">
        <x:v>1337</x:v>
      </x:c>
      <x:c r="I132" s="4" t="s">
        <x:v>1825</x:v>
      </x:c>
      <x:c r="J132" s="4" t="s">
        <x:v>1826</x:v>
      </x:c>
      <x:c r="K132" s="4" t="s">
        <x:v>107</x:v>
      </x:c>
      <x:c r="L132" s="4" t="s">
        <x:v>664</x:v>
      </x:c>
      <x:c r="M132" s="4" t="s">
        <x:v>169</x:v>
      </x:c>
      <x:c r="N132" s="4" t="s">
        <x:v>169</x:v>
      </x:c>
      <x:c r="O132" s="4" t="str">
        <x:v>已取消</x:v>
      </x:c>
      <x:c r="P132" s="4" t="s">
        <x:v>171</x:v>
      </x:c>
      <x:c r="Q132" s="4" t="s">
        <x:v>1817</x:v>
      </x:c>
      <x:c r="R132" s="4" t="s">
        <x:v>1827</x:v>
      </x:c>
      <x:c r="S132" s="4" t="s">
        <x:v>1828</x:v>
      </x:c>
      <x:c r="T132" s="4" t="s">
        <x:v>1829</x:v>
      </x:c>
      <x:c r="U132" s="4" t="s">
        <x:v>657</x:v>
      </x:c>
      <x:c r="V132" s="4" t="s">
        <x:v>657</x:v>
      </x:c>
      <x:c r="W132" s="4" t="s">
        <x:v>172</x:v>
      </x:c>
      <x:c r="X132" s="4" t="s">
        <x:v>171</x:v>
      </x:c>
      <x:c r="Y132" s="4" t="s">
        <x:v>172</x:v>
      </x:c>
      <x:c r="Z132" s="4" t="s">
        <x:v>172</x:v>
      </x:c>
      <x:c r="AA132" s="4" t="s">
        <x:v>172</x:v>
      </x:c>
      <x:c r="AB132" s="4" t="s">
        <x:v>172</x:v>
      </x:c>
      <x:c r="AC132" s="4" t="s">
        <x:v>172</x:v>
      </x:c>
      <x:c r="AD132" s="4" t="str">
        <x:v>疑似连续调整</x:v>
      </x:c>
      <x:c r="AE132" s="4" t="s">
        <x:v>1830</x:v>
      </x:c>
      <x:c r="AF132" s="4" t="s">
        <x:v>1830</x:v>
      </x:c>
      <x:c r="AG132" s="4" t="str">
        <x:v>条件委托已取消；算法编号1000002182731223；创建时间2026-06-20 14:52:40；撤销时间2026-06-20 23:00:10；是否触发否；周期关联等级STRONG_CONTEXT；取消/过期原因无法确认（已完成为不适用）。</x:v>
      </x:c>
      <x:c r="AH132" s="4" t="s">
        <x:v>172</x:v>
      </x:c>
      <x:c r="AI132" s="4" t="str">
        <x:v>/Users/luodaluo/Desktop/30天复盘原始数据/补充证据_历史委托条件委托截图/05_安卓端取消与过期完整生命周期/01_已取消/Screenshot_20260722_223013.jpg</x:v>
      </x:c>
      <x:c r="AJ132" s="4" t="s">
        <x:v>2218</x:v>
      </x:c>
      <x:c r="AK132" s="4" t="s">
        <x:v>169</x:v>
      </x:c>
      <x:c r="AL132" s="4" t="s">
        <x:v>1832</x:v>
      </x:c>
      <x:c r="AM132" s="66" t="str">
        <x:v>1000002182731223</x:v>
      </x:c>
      <x:c r="AN132" t="str">
        <x:v>撤销</x:v>
      </x:c>
      <x:c r="AO132" t="str">
        <x:v>否</x:v>
      </x:c>
      <x:c r="AP132" s="67" t="n">
        <x:v>46193.62511574074</x:v>
      </x:c>
      <x:c r="AQ132" t="str">
        <x:v>STRONG_CONTEXT</x:v>
      </x:c>
      <x:c r="AR132" t="str">
        <x:v>/Users/luodaluo/Desktop/30天复盘原始数据/补充证据_历史委托条件委托截图/05_安卓端取消与过期完整生命周期/01_已取消/Screenshot_20260722_223013.jpg</x:v>
      </x:c>
    </x:row>
    <x:row r="133">
      <x:c r="A133" s="4" t="s">
        <x:v>76</x:v>
      </x:c>
      <x:c r="B133" s="4" t="s">
        <x:v>1720</x:v>
      </x:c>
      <x:c r="C133" s="4" t="s">
        <x:v>1824</x:v>
      </x:c>
      <x:c r="D133" s="4" t="s">
        <x:v>665</x:v>
      </x:c>
      <x:c r="E133" s="4" t="s">
        <x:v>665</x:v>
      </x:c>
      <x:c r="F133" s="65" t="n">
        <x:v>46193.57571759259</x:v>
      </x:c>
      <x:c r="G133" s="4" t="s">
        <x:v>1336</x:v>
      </x:c>
      <x:c r="H133" s="4" t="s">
        <x:v>1337</x:v>
      </x:c>
      <x:c r="I133" s="4" t="s">
        <x:v>1825</x:v>
      </x:c>
      <x:c r="J133" s="4" t="s">
        <x:v>203</x:v>
      </x:c>
      <x:c r="K133" s="4" t="s">
        <x:v>107</x:v>
      </x:c>
      <x:c r="L133" s="4" t="s">
        <x:v>666</x:v>
      </x:c>
      <x:c r="M133" s="4" t="s">
        <x:v>169</x:v>
      </x:c>
      <x:c r="N133" s="4" t="s">
        <x:v>169</x:v>
      </x:c>
      <x:c r="O133" s="4" t="str">
        <x:v>已取消</x:v>
      </x:c>
      <x:c r="P133" s="4" t="s">
        <x:v>171</x:v>
      </x:c>
      <x:c r="Q133" s="4" t="s">
        <x:v>1817</x:v>
      </x:c>
      <x:c r="R133" s="4" t="s">
        <x:v>1827</x:v>
      </x:c>
      <x:c r="S133" s="4" t="s">
        <x:v>2106</x:v>
      </x:c>
      <x:c r="T133" s="4" t="s">
        <x:v>1829</x:v>
      </x:c>
      <x:c r="U133" s="4" t="s">
        <x:v>657</x:v>
      </x:c>
      <x:c r="V133" s="4" t="s">
        <x:v>657</x:v>
      </x:c>
      <x:c r="W133" s="4" t="s">
        <x:v>172</x:v>
      </x:c>
      <x:c r="X133" s="4" t="s">
        <x:v>171</x:v>
      </x:c>
      <x:c r="Y133" s="4" t="s">
        <x:v>172</x:v>
      </x:c>
      <x:c r="Z133" s="4" t="s">
        <x:v>172</x:v>
      </x:c>
      <x:c r="AA133" s="4" t="s">
        <x:v>172</x:v>
      </x:c>
      <x:c r="AB133" s="4" t="s">
        <x:v>172</x:v>
      </x:c>
      <x:c r="AC133" s="4" t="s">
        <x:v>172</x:v>
      </x:c>
      <x:c r="AD133" s="4" t="str">
        <x:v>疑似连续调整</x:v>
      </x:c>
      <x:c r="AE133" s="4" t="s">
        <x:v>1830</x:v>
      </x:c>
      <x:c r="AF133" s="4" t="s">
        <x:v>1830</x:v>
      </x:c>
      <x:c r="AG133" s="4" t="str">
        <x:v>条件委托已取消；算法编号1000002182763513；创建时间2026-06-20 15:00:42；撤销时间2026-06-20 21:49:02；是否触发否；周期关联等级STRONG_CONTEXT；取消/过期原因无法确认（已完成为不适用）。</x:v>
      </x:c>
      <x:c r="AH133" s="4" t="s">
        <x:v>172</x:v>
      </x:c>
      <x:c r="AI133" s="4" t="str">
        <x:v>/Users/luodaluo/Desktop/30天复盘原始数据/补充证据_历史委托条件委托截图/05_安卓端取消与过期完整生命周期/01_已取消/Screenshot_20260722_223020.jpg</x:v>
      </x:c>
      <x:c r="AJ133" s="4" t="s">
        <x:v>2219</x:v>
      </x:c>
      <x:c r="AK133" s="4" t="s">
        <x:v>169</x:v>
      </x:c>
      <x:c r="AL133" s="4" t="s">
        <x:v>1832</x:v>
      </x:c>
      <x:c r="AM133" s="66" t="str">
        <x:v>1000002182763513</x:v>
      </x:c>
      <x:c r="AN133" t="str">
        <x:v>撤销</x:v>
      </x:c>
      <x:c r="AO133" t="str">
        <x:v>否</x:v>
      </x:c>
      <x:c r="AP133" s="67" t="n">
        <x:v>46193.57571759259</x:v>
      </x:c>
      <x:c r="AQ133" t="str">
        <x:v>STRONG_CONTEXT</x:v>
      </x:c>
      <x:c r="AR133" t="str">
        <x:v>/Users/luodaluo/Desktop/30天复盘原始数据/补充证据_历史委托条件委托截图/05_安卓端取消与过期完整生命周期/01_已取消/Screenshot_20260722_223020.jpg</x:v>
      </x:c>
    </x:row>
    <x:row r="134">
      <x:c r="A134" s="4" t="s">
        <x:v>76</x:v>
      </x:c>
      <x:c r="B134" s="4" t="s">
        <x:v>1927</x:v>
      </x:c>
      <x:c r="C134" s="4" t="s">
        <x:v>1824</x:v>
      </x:c>
      <x:c r="D134" s="4" t="s">
        <x:v>667</x:v>
      </x:c>
      <x:c r="E134" s="4" t="s">
        <x:v>667</x:v>
      </x:c>
      <x:c r="F134" s="65" t="n">
        <x:v>46193.575891203705</x:v>
      </x:c>
      <x:c r="G134" s="4" t="s">
        <x:v>1336</x:v>
      </x:c>
      <x:c r="H134" s="4" t="s">
        <x:v>1337</x:v>
      </x:c>
      <x:c r="I134" s="4" t="s">
        <x:v>1825</x:v>
      </x:c>
      <x:c r="J134" s="4" t="s">
        <x:v>203</x:v>
      </x:c>
      <x:c r="K134" s="4" t="s">
        <x:v>107</x:v>
      </x:c>
      <x:c r="L134" s="4" t="s">
        <x:v>668</x:v>
      </x:c>
      <x:c r="M134" s="4" t="s">
        <x:v>169</x:v>
      </x:c>
      <x:c r="N134" s="4" t="s">
        <x:v>169</x:v>
      </x:c>
      <x:c r="O134" s="4" t="str">
        <x:v>已取消</x:v>
      </x:c>
      <x:c r="P134" s="4" t="s">
        <x:v>171</x:v>
      </x:c>
      <x:c r="Q134" s="4" t="s">
        <x:v>1817</x:v>
      </x:c>
      <x:c r="R134" s="4" t="s">
        <x:v>1827</x:v>
      </x:c>
      <x:c r="S134" s="4" t="s">
        <x:v>2106</x:v>
      </x:c>
      <x:c r="T134" s="4" t="s">
        <x:v>1829</x:v>
      </x:c>
      <x:c r="U134" s="4" t="s">
        <x:v>657</x:v>
      </x:c>
      <x:c r="V134" s="4" t="s">
        <x:v>657</x:v>
      </x:c>
      <x:c r="W134" s="4" t="s">
        <x:v>172</x:v>
      </x:c>
      <x:c r="X134" s="4" t="s">
        <x:v>171</x:v>
      </x:c>
      <x:c r="Y134" s="4" t="s">
        <x:v>172</x:v>
      </x:c>
      <x:c r="Z134" s="4" t="s">
        <x:v>172</x:v>
      </x:c>
      <x:c r="AA134" s="4" t="s">
        <x:v>172</x:v>
      </x:c>
      <x:c r="AB134" s="4" t="s">
        <x:v>172</x:v>
      </x:c>
      <x:c r="AC134" s="4" t="s">
        <x:v>172</x:v>
      </x:c>
      <x:c r="AD134" s="4" t="str">
        <x:v>疑似连续调整</x:v>
      </x:c>
      <x:c r="AE134" s="4" t="s">
        <x:v>1830</x:v>
      </x:c>
      <x:c r="AF134" s="4" t="s">
        <x:v>1830</x:v>
      </x:c>
      <x:c r="AG134" s="4" t="str">
        <x:v>条件委托已取消；算法编号1000002184894749；创建时间2026-06-20 21:49:02；撤销时间2026-06-20 21:49:17；是否触发否；周期关联等级STRONG_CONTEXT；取消/过期原因无法确认（已完成为不适用）。</x:v>
      </x:c>
      <x:c r="AH134" s="4" t="s">
        <x:v>172</x:v>
      </x:c>
      <x:c r="AI134" s="4" t="str">
        <x:v>/Users/luodaluo/Desktop/30天复盘原始数据/补充证据_历史委托条件委托截图/05_安卓端取消与过期完整生命周期/01_已取消/Screenshot_20260722_223026.jpg</x:v>
      </x:c>
      <x:c r="AJ134" s="4" t="s">
        <x:v>2220</x:v>
      </x:c>
      <x:c r="AK134" s="4" t="s">
        <x:v>169</x:v>
      </x:c>
      <x:c r="AL134" s="4" t="s">
        <x:v>1832</x:v>
      </x:c>
      <x:c r="AM134" s="66" t="str">
        <x:v>1000002184894749</x:v>
      </x:c>
      <x:c r="AN134" t="str">
        <x:v>撤销</x:v>
      </x:c>
      <x:c r="AO134" t="str">
        <x:v>否</x:v>
      </x:c>
      <x:c r="AP134" s="67" t="n">
        <x:v>46193.575891203705</x:v>
      </x:c>
      <x:c r="AQ134" t="str">
        <x:v>STRONG_CONTEXT</x:v>
      </x:c>
      <x:c r="AR134" t="str">
        <x:v>/Users/luodaluo/Desktop/30天复盘原始数据/补充证据_历史委托条件委托截图/05_安卓端取消与过期完整生命周期/01_已取消/Screenshot_20260722_223026.jpg</x:v>
      </x:c>
    </x:row>
    <x:row r="135">
      <x:c r="A135" s="4" t="s">
        <x:v>76</x:v>
      </x:c>
      <x:c r="B135" s="4" t="s">
        <x:v>1855</x:v>
      </x:c>
      <x:c r="C135" s="4" t="s">
        <x:v>1824</x:v>
      </x:c>
      <x:c r="D135" s="4" t="s">
        <x:v>669</x:v>
      </x:c>
      <x:c r="E135" s="4" t="s">
        <x:v>669</x:v>
      </x:c>
      <x:c r="F135" s="65" t="n">
        <x:v>46193.57763888889</x:v>
      </x:c>
      <x:c r="G135" s="4" t="s">
        <x:v>1336</x:v>
      </x:c>
      <x:c r="H135" s="4" t="s">
        <x:v>1337</x:v>
      </x:c>
      <x:c r="I135" s="4" t="s">
        <x:v>1825</x:v>
      </x:c>
      <x:c r="J135" s="4" t="s">
        <x:v>203</x:v>
      </x:c>
      <x:c r="K135" s="4" t="s">
        <x:v>107</x:v>
      </x:c>
      <x:c r="L135" s="4" t="s">
        <x:v>670</x:v>
      </x:c>
      <x:c r="M135" s="4" t="s">
        <x:v>169</x:v>
      </x:c>
      <x:c r="N135" s="4" t="s">
        <x:v>169</x:v>
      </x:c>
      <x:c r="O135" s="4" t="str">
        <x:v>已取消</x:v>
      </x:c>
      <x:c r="P135" s="4" t="s">
        <x:v>171</x:v>
      </x:c>
      <x:c r="Q135" s="4" t="s">
        <x:v>1817</x:v>
      </x:c>
      <x:c r="R135" s="4" t="s">
        <x:v>1827</x:v>
      </x:c>
      <x:c r="S135" s="4" t="s">
        <x:v>2106</x:v>
      </x:c>
      <x:c r="T135" s="4" t="s">
        <x:v>1829</x:v>
      </x:c>
      <x:c r="U135" s="4" t="s">
        <x:v>657</x:v>
      </x:c>
      <x:c r="V135" s="4" t="s">
        <x:v>657</x:v>
      </x:c>
      <x:c r="W135" s="4" t="s">
        <x:v>172</x:v>
      </x:c>
      <x:c r="X135" s="4" t="s">
        <x:v>171</x:v>
      </x:c>
      <x:c r="Y135" s="4" t="s">
        <x:v>172</x:v>
      </x:c>
      <x:c r="Z135" s="4" t="s">
        <x:v>172</x:v>
      </x:c>
      <x:c r="AA135" s="4" t="s">
        <x:v>172</x:v>
      </x:c>
      <x:c r="AB135" s="4" t="s">
        <x:v>172</x:v>
      </x:c>
      <x:c r="AC135" s="4" t="s">
        <x:v>172</x:v>
      </x:c>
      <x:c r="AD135" s="4" t="str">
        <x:v>疑似连续调整</x:v>
      </x:c>
      <x:c r="AE135" s="4" t="s">
        <x:v>1830</x:v>
      </x:c>
      <x:c r="AF135" s="4" t="s">
        <x:v>1830</x:v>
      </x:c>
      <x:c r="AG135" s="4" t="str">
        <x:v>条件委托已取消；算法编号1000002184896419；创建时间2026-06-20 21:49:17；撤销时间2026-06-20 21:51:48；是否触发否；周期关联等级STRONG_CONTEXT；取消/过期原因无法确认（已完成为不适用）。</x:v>
      </x:c>
      <x:c r="AH135" s="4" t="s">
        <x:v>172</x:v>
      </x:c>
      <x:c r="AI135" s="4" t="str">
        <x:v>/Users/luodaluo/Desktop/30天复盘原始数据/补充证据_历史委托条件委托截图/05_安卓端取消与过期完整生命周期/01_已取消/Screenshot_20260722_223032.jpg</x:v>
      </x:c>
      <x:c r="AJ135" s="4" t="s">
        <x:v>2221</x:v>
      </x:c>
      <x:c r="AK135" s="4" t="s">
        <x:v>169</x:v>
      </x:c>
      <x:c r="AL135" s="4" t="s">
        <x:v>1832</x:v>
      </x:c>
      <x:c r="AM135" s="66" t="str">
        <x:v>1000002184896419</x:v>
      </x:c>
      <x:c r="AN135" t="str">
        <x:v>撤销</x:v>
      </x:c>
      <x:c r="AO135" t="str">
        <x:v>否</x:v>
      </x:c>
      <x:c r="AP135" s="67" t="n">
        <x:v>46193.57763888889</x:v>
      </x:c>
      <x:c r="AQ135" t="str">
        <x:v>STRONG_CONTEXT</x:v>
      </x:c>
      <x:c r="AR135" t="str">
        <x:v>/Users/luodaluo/Desktop/30天复盘原始数据/补充证据_历史委托条件委托截图/05_安卓端取消与过期完整生命周期/01_已取消/Screenshot_20260722_223032.jpg</x:v>
      </x:c>
    </x:row>
    <x:row r="136">
      <x:c r="A136" s="4" t="s">
        <x:v>76</x:v>
      </x:c>
      <x:c r="B136" s="4" t="s">
        <x:v>1501</x:v>
      </x:c>
      <x:c r="C136" s="4" t="s">
        <x:v>1824</x:v>
      </x:c>
      <x:c r="D136" s="4" t="s">
        <x:v>671</x:v>
      </x:c>
      <x:c r="E136" s="4" t="s">
        <x:v>671</x:v>
      </x:c>
      <x:c r="F136" s="65" t="n">
        <x:v>46193.92099537037</x:v>
      </x:c>
      <x:c r="G136" s="4" t="s">
        <x:v>1336</x:v>
      </x:c>
      <x:c r="H136" s="4" t="s">
        <x:v>1337</x:v>
      </x:c>
      <x:c r="I136" s="4" t="s">
        <x:v>1825</x:v>
      </x:c>
      <x:c r="J136" s="4" t="s">
        <x:v>203</x:v>
      </x:c>
      <x:c r="K136" s="4" t="s">
        <x:v>107</x:v>
      </x:c>
      <x:c r="L136" s="4" t="s">
        <x:v>672</x:v>
      </x:c>
      <x:c r="M136" s="4" t="s">
        <x:v>169</x:v>
      </x:c>
      <x:c r="N136" s="4" t="s">
        <x:v>169</x:v>
      </x:c>
      <x:c r="O136" s="4" t="str">
        <x:v>已取消</x:v>
      </x:c>
      <x:c r="P136" s="4" t="s">
        <x:v>171</x:v>
      </x:c>
      <x:c r="Q136" s="4" t="s">
        <x:v>1817</x:v>
      </x:c>
      <x:c r="R136" s="4" t="s">
        <x:v>1827</x:v>
      </x:c>
      <x:c r="S136" s="4" t="s">
        <x:v>2106</x:v>
      </x:c>
      <x:c r="T136" s="4" t="s">
        <x:v>1829</x:v>
      </x:c>
      <x:c r="U136" s="4" t="s">
        <x:v>657</x:v>
      </x:c>
      <x:c r="V136" s="4" t="s">
        <x:v>657</x:v>
      </x:c>
      <x:c r="W136" s="4" t="s">
        <x:v>172</x:v>
      </x:c>
      <x:c r="X136" s="4" t="s">
        <x:v>171</x:v>
      </x:c>
      <x:c r="Y136" s="4" t="s">
        <x:v>172</x:v>
      </x:c>
      <x:c r="Z136" s="4" t="s">
        <x:v>172</x:v>
      </x:c>
      <x:c r="AA136" s="4" t="s">
        <x:v>172</x:v>
      </x:c>
      <x:c r="AB136" s="4" t="s">
        <x:v>172</x:v>
      </x:c>
      <x:c r="AC136" s="4" t="s">
        <x:v>172</x:v>
      </x:c>
      <x:c r="AD136" s="4" t="str">
        <x:v>疑似连续调整</x:v>
      </x:c>
      <x:c r="AE136" s="4" t="s">
        <x:v>1830</x:v>
      </x:c>
      <x:c r="AF136" s="4" t="s">
        <x:v>1830</x:v>
      </x:c>
      <x:c r="AG136" s="4" t="str">
        <x:v>条件委托已取消；算法编号1000002184911972；创建时间2026-06-20 21:51:48；撤销时间2026-06-21 06:06:14；是否触发否；周期关联等级STRONG_CONTEXT；取消/过期原因无法确认（已完成为不适用）。</x:v>
      </x:c>
      <x:c r="AH136" s="4" t="s">
        <x:v>172</x:v>
      </x:c>
      <x:c r="AI136" s="4" t="str">
        <x:v>/Users/luodaluo/Desktop/30天复盘原始数据/补充证据_历史委托条件委托截图/05_安卓端取消与过期完整生命周期/01_已取消/Screenshot_20260722_223039.jpg</x:v>
      </x:c>
      <x:c r="AJ136" s="4" t="s">
        <x:v>2222</x:v>
      </x:c>
      <x:c r="AK136" s="4" t="s">
        <x:v>169</x:v>
      </x:c>
      <x:c r="AL136" s="4" t="s">
        <x:v>1832</x:v>
      </x:c>
      <x:c r="AM136" s="66" t="str">
        <x:v>1000002184911972</x:v>
      </x:c>
      <x:c r="AN136" t="str">
        <x:v>撤销</x:v>
      </x:c>
      <x:c r="AO136" t="str">
        <x:v>否</x:v>
      </x:c>
      <x:c r="AP136" s="67" t="n">
        <x:v>46193.92099537037</x:v>
      </x:c>
      <x:c r="AQ136" t="str">
        <x:v>STRONG_CONTEXT</x:v>
      </x:c>
      <x:c r="AR136" t="str">
        <x:v>/Users/luodaluo/Desktop/30天复盘原始数据/补充证据_历史委托条件委托截图/05_安卓端取消与过期完整生命周期/01_已取消/Screenshot_20260722_223039.jpg</x:v>
      </x:c>
    </x:row>
    <x:row r="137">
      <x:c r="A137" s="4" t="s">
        <x:v>76</x:v>
      </x:c>
      <x:c r="B137" s="4" t="s">
        <x:v>1935</x:v>
      </x:c>
      <x:c r="C137" s="4" t="s">
        <x:v>1824</x:v>
      </x:c>
      <x:c r="D137" s="4" t="s">
        <x:v>673</x:v>
      </x:c>
      <x:c r="E137" s="4" t="s">
        <x:v>673</x:v>
      </x:c>
      <x:c r="F137" s="65" t="n">
        <x:v>46193.92050925926</x:v>
      </x:c>
      <x:c r="G137" s="4" t="s">
        <x:v>1336</x:v>
      </x:c>
      <x:c r="H137" s="4" t="s">
        <x:v>1337</x:v>
      </x:c>
      <x:c r="I137" s="4" t="s">
        <x:v>1825</x:v>
      </x:c>
      <x:c r="J137" s="4" t="s">
        <x:v>1826</x:v>
      </x:c>
      <x:c r="K137" s="4" t="s">
        <x:v>107</x:v>
      </x:c>
      <x:c r="L137" s="4" t="s">
        <x:v>674</x:v>
      </x:c>
      <x:c r="M137" s="4" t="s">
        <x:v>169</x:v>
      </x:c>
      <x:c r="N137" s="4" t="s">
        <x:v>169</x:v>
      </x:c>
      <x:c r="O137" s="4" t="str">
        <x:v>已取消</x:v>
      </x:c>
      <x:c r="P137" s="4" t="s">
        <x:v>171</x:v>
      </x:c>
      <x:c r="Q137" s="4" t="s">
        <x:v>1817</x:v>
      </x:c>
      <x:c r="R137" s="4" t="s">
        <x:v>1827</x:v>
      </x:c>
      <x:c r="S137" s="4" t="s">
        <x:v>1828</x:v>
      </x:c>
      <x:c r="T137" s="4" t="s">
        <x:v>1829</x:v>
      </x:c>
      <x:c r="U137" s="4" t="s">
        <x:v>657</x:v>
      </x:c>
      <x:c r="V137" s="4" t="s">
        <x:v>657</x:v>
      </x:c>
      <x:c r="W137" s="4" t="s">
        <x:v>172</x:v>
      </x:c>
      <x:c r="X137" s="4" t="s">
        <x:v>171</x:v>
      </x:c>
      <x:c r="Y137" s="4" t="s">
        <x:v>172</x:v>
      </x:c>
      <x:c r="Z137" s="4" t="s">
        <x:v>172</x:v>
      </x:c>
      <x:c r="AA137" s="4" t="s">
        <x:v>172</x:v>
      </x:c>
      <x:c r="AB137" s="4" t="s">
        <x:v>172</x:v>
      </x:c>
      <x:c r="AC137" s="4" t="s">
        <x:v>172</x:v>
      </x:c>
      <x:c r="AD137" s="4" t="str">
        <x:v>疑似连续调整</x:v>
      </x:c>
      <x:c r="AE137" s="4" t="s">
        <x:v>1830</x:v>
      </x:c>
      <x:c r="AF137" s="4" t="s">
        <x:v>1830</x:v>
      </x:c>
      <x:c r="AG137" s="4" t="str">
        <x:v>条件委托已取消；算法编号1000002185418032；创建时间2026-06-20 23:00:10；撤销时间2026-06-21 06:05:32；是否触发否；周期关联等级STRONG_CONTEXT；取消/过期原因无法确认（已完成为不适用）。</x:v>
      </x:c>
      <x:c r="AH137" s="4" t="s">
        <x:v>172</x:v>
      </x:c>
      <x:c r="AI137" s="4" t="str">
        <x:v>/Users/luodaluo/Desktop/30天复盘原始数据/补充证据_历史委托条件委托截图/05_安卓端取消与过期完整生命周期/01_已取消/Screenshot_20260722_223043.jpg</x:v>
      </x:c>
      <x:c r="AJ137" s="4" t="s">
        <x:v>2223</x:v>
      </x:c>
      <x:c r="AK137" s="4" t="s">
        <x:v>169</x:v>
      </x:c>
      <x:c r="AL137" s="4" t="s">
        <x:v>1832</x:v>
      </x:c>
      <x:c r="AM137" s="66" t="str">
        <x:v>1000002185418032</x:v>
      </x:c>
      <x:c r="AN137" t="str">
        <x:v>撤销</x:v>
      </x:c>
      <x:c r="AO137" t="str">
        <x:v>否</x:v>
      </x:c>
      <x:c r="AP137" s="67" t="n">
        <x:v>46193.92050925926</x:v>
      </x:c>
      <x:c r="AQ137" t="str">
        <x:v>STRONG_CONTEXT</x:v>
      </x:c>
      <x:c r="AR137" t="str">
        <x:v>/Users/luodaluo/Desktop/30天复盘原始数据/补充证据_历史委托条件委托截图/05_安卓端取消与过期完整生命周期/01_已取消/Screenshot_20260722_223043.jpg</x:v>
      </x:c>
    </x:row>
    <x:row r="138">
      <x:c r="A138" s="4" t="s">
        <x:v>76</x:v>
      </x:c>
      <x:c r="B138" s="4" t="s">
        <x:v>1937</x:v>
      </x:c>
      <x:c r="C138" s="4" t="s">
        <x:v>1824</x:v>
      </x:c>
      <x:c r="D138" s="4" t="s">
        <x:v>675</x:v>
      </x:c>
      <x:c r="E138" s="4" t="s">
        <x:v>675</x:v>
      </x:c>
      <x:c r="F138" s="65" t="s">
        <x:v>2224</x:v>
      </x:c>
      <x:c r="G138" s="4" t="s">
        <x:v>1336</x:v>
      </x:c>
      <x:c r="H138" s="4" t="s">
        <x:v>1337</x:v>
      </x:c>
      <x:c r="I138" s="4" t="s">
        <x:v>1847</x:v>
      </x:c>
      <x:c r="J138" s="4" t="s">
        <x:v>1835</x:v>
      </x:c>
      <x:c r="K138" s="4" t="s">
        <x:v>676</x:v>
      </x:c>
      <x:c r="L138" s="4" t="s">
        <x:v>169</x:v>
      </x:c>
      <x:c r="M138" s="4" t="s">
        <x:v>657</x:v>
      </x:c>
      <x:c r="N138" s="4" t="s">
        <x:v>169</x:v>
      </x:c>
      <x:c r="O138" s="4" t="s">
        <x:v>187</x:v>
      </x:c>
      <x:c r="P138" s="4" t="s">
        <x:v>1817</x:v>
      </x:c>
      <x:c r="Q138" s="4" t="s">
        <x:v>1817</x:v>
      </x:c>
      <x:c r="R138" s="4" t="s">
        <x:v>1836</x:v>
      </x:c>
      <x:c r="S138" s="4" t="s">
        <x:v>234</x:v>
      </x:c>
      <x:c r="T138" s="4" t="s">
        <x:v>1837</x:v>
      </x:c>
      <x:c r="U138" s="4" t="s">
        <x:v>657</x:v>
      </x:c>
      <x:c r="V138" s="4" t="s">
        <x:v>657</x:v>
      </x:c>
      <x:c r="W138" s="4" t="s">
        <x:v>172</x:v>
      </x:c>
      <x:c r="X138" s="4" t="s">
        <x:v>171</x:v>
      </x:c>
      <x:c r="Y138" s="4" t="s">
        <x:v>172</x:v>
      </x:c>
      <x:c r="Z138" s="4" t="s">
        <x:v>172</x:v>
      </x:c>
      <x:c r="AA138" s="4" t="s">
        <x:v>172</x:v>
      </x:c>
      <x:c r="AB138" s="4" t="s">
        <x:v>172</x:v>
      </x:c>
      <x:c r="AC138" s="4" t="s">
        <x:v>172</x:v>
      </x:c>
      <x:c r="AD138" s="4" t="s">
        <x:v>447</x:v>
      </x:c>
      <x:c r="AE138" s="4" t="s">
        <x:v>2209</x:v>
      </x:c>
      <x:c r="AF138" s="4" t="s">
        <x:v>1830</x:v>
      </x:c>
      <x:c r="AG138" s="4" t="s">
        <x:v>2225</x:v>
      </x:c>
      <x:c r="AH138" s="4" t="s">
        <x:v>171</x:v>
      </x:c>
      <x:c r="AI138" s="4" t="s">
        <x:v>2226</x:v>
      </x:c>
      <x:c r="AJ138" s="4" t="s">
        <x:v>2227</x:v>
      </x:c>
      <x:c r="AK138" s="4" t="s">
        <x:v>169</x:v>
      </x:c>
      <x:c r="AL138" s="4" t="s">
        <x:v>1841</x:v>
      </x:c>
      <x:c r="AM138" s="66"/>
      <x:c r="AP138" s="67"/>
    </x:row>
    <x:row r="139">
      <x:c r="A139" s="4" t="s">
        <x:v>76</x:v>
      </x:c>
      <x:c r="B139" s="4" t="s">
        <x:v>1939</x:v>
      </x:c>
      <x:c r="C139" s="4" t="s">
        <x:v>1824</x:v>
      </x:c>
      <x:c r="D139" s="4" t="s">
        <x:v>678</x:v>
      </x:c>
      <x:c r="E139" s="4" t="s">
        <x:v>678</x:v>
      </x:c>
      <x:c r="F139" s="65" t="n">
        <x:v>46193.92144675926</x:v>
      </x:c>
      <x:c r="G139" s="4" t="s">
        <x:v>1336</x:v>
      </x:c>
      <x:c r="H139" s="4" t="s">
        <x:v>1337</x:v>
      </x:c>
      <x:c r="I139" s="4" t="s">
        <x:v>1825</x:v>
      </x:c>
      <x:c r="J139" s="4" t="s">
        <x:v>1826</x:v>
      </x:c>
      <x:c r="K139" s="4" t="s">
        <x:v>107</x:v>
      </x:c>
      <x:c r="L139" s="4" t="s">
        <x:v>679</x:v>
      </x:c>
      <x:c r="M139" s="4" t="s">
        <x:v>169</x:v>
      </x:c>
      <x:c r="N139" s="4" t="s">
        <x:v>169</x:v>
      </x:c>
      <x:c r="O139" s="4" t="str">
        <x:v>已取消</x:v>
      </x:c>
      <x:c r="P139" s="4" t="s">
        <x:v>171</x:v>
      </x:c>
      <x:c r="Q139" s="4" t="s">
        <x:v>1817</x:v>
      </x:c>
      <x:c r="R139" s="4" t="s">
        <x:v>1827</x:v>
      </x:c>
      <x:c r="S139" s="4" t="s">
        <x:v>1828</x:v>
      </x:c>
      <x:c r="T139" s="4" t="s">
        <x:v>1829</x:v>
      </x:c>
      <x:c r="U139" s="4" t="s">
        <x:v>657</x:v>
      </x:c>
      <x:c r="V139" s="4" t="s">
        <x:v>657</x:v>
      </x:c>
      <x:c r="W139" s="4" t="s">
        <x:v>172</x:v>
      </x:c>
      <x:c r="X139" s="4" t="s">
        <x:v>171</x:v>
      </x:c>
      <x:c r="Y139" s="4" t="s">
        <x:v>172</x:v>
      </x:c>
      <x:c r="Z139" s="4" t="s">
        <x:v>172</x:v>
      </x:c>
      <x:c r="AA139" s="4" t="s">
        <x:v>172</x:v>
      </x:c>
      <x:c r="AB139" s="4" t="s">
        <x:v>172</x:v>
      </x:c>
      <x:c r="AC139" s="4" t="s">
        <x:v>172</x:v>
      </x:c>
      <x:c r="AD139" s="4" t="str">
        <x:v>疑似连续调整</x:v>
      </x:c>
      <x:c r="AE139" s="4" t="s">
        <x:v>1830</x:v>
      </x:c>
      <x:c r="AF139" s="4" t="s">
        <x:v>1830</x:v>
      </x:c>
      <x:c r="AG139" s="4" t="str">
        <x:v>条件委托已取消；算法编号1000002187532521；创建时间2026-06-21 06:05:32；撤销时间2026-06-21 06:06:53；是否触发否；周期关联等级STRONG_CONTEXT；取消/过期原因无法确认（已完成为不适用）。</x:v>
      </x:c>
      <x:c r="AH139" s="4" t="s">
        <x:v>172</x:v>
      </x:c>
      <x:c r="AI139" s="4" t="str">
        <x:v>/Users/luodaluo/Desktop/30天复盘原始数据/补充证据_历史委托条件委托截图/05_安卓端取消与过期完整生命周期/01_已取消/Screenshot_20260722_223047.jpg</x:v>
      </x:c>
      <x:c r="AJ139" s="4" t="s">
        <x:v>2228</x:v>
      </x:c>
      <x:c r="AK139" s="4" t="s">
        <x:v>169</x:v>
      </x:c>
      <x:c r="AL139" s="4" t="s">
        <x:v>1832</x:v>
      </x:c>
      <x:c r="AM139" s="66" t="str">
        <x:v>1000002187532521</x:v>
      </x:c>
      <x:c r="AN139" t="str">
        <x:v>撤销</x:v>
      </x:c>
      <x:c r="AO139" t="str">
        <x:v>否</x:v>
      </x:c>
      <x:c r="AP139" s="67" t="n">
        <x:v>46193.92144675926</x:v>
      </x:c>
      <x:c r="AQ139" t="str">
        <x:v>STRONG_CONTEXT</x:v>
      </x:c>
      <x:c r="AR139" t="str">
        <x:v>/Users/luodaluo/Desktop/30天复盘原始数据/补充证据_历史委托条件委托截图/05_安卓端取消与过期完整生命周期/01_已取消/Screenshot_20260722_223047.jpg</x:v>
      </x:c>
    </x:row>
    <x:row r="140">
      <x:c r="A140" s="4" t="s">
        <x:v>76</x:v>
      </x:c>
      <x:c r="B140" s="4" t="s">
        <x:v>1944</x:v>
      </x:c>
      <x:c r="C140" s="4" t="s">
        <x:v>1824</x:v>
      </x:c>
      <x:c r="D140" s="4" t="s">
        <x:v>680</x:v>
      </x:c>
      <x:c r="E140" s="4" t="s">
        <x:v>680</x:v>
      </x:c>
      <x:c r="F140" s="65" t="n">
        <x:v>46193.93787037037</x:v>
      </x:c>
      <x:c r="G140" s="4" t="s">
        <x:v>1336</x:v>
      </x:c>
      <x:c r="H140" s="4" t="s">
        <x:v>1337</x:v>
      </x:c>
      <x:c r="I140" s="4" t="s">
        <x:v>1825</x:v>
      </x:c>
      <x:c r="J140" s="4" t="s">
        <x:v>203</x:v>
      </x:c>
      <x:c r="K140" s="4" t="s">
        <x:v>107</x:v>
      </x:c>
      <x:c r="L140" s="4" t="s">
        <x:v>681</x:v>
      </x:c>
      <x:c r="M140" s="4" t="s">
        <x:v>169</x:v>
      </x:c>
      <x:c r="N140" s="4" t="s">
        <x:v>169</x:v>
      </x:c>
      <x:c r="O140" s="4" t="str">
        <x:v>已过期</x:v>
      </x:c>
      <x:c r="P140" s="4" t="s">
        <x:v>171</x:v>
      </x:c>
      <x:c r="Q140" s="4" t="s">
        <x:v>1817</x:v>
      </x:c>
      <x:c r="R140" s="4" t="s">
        <x:v>1827</x:v>
      </x:c>
      <x:c r="S140" s="4" t="s">
        <x:v>2106</x:v>
      </x:c>
      <x:c r="T140" s="4" t="s">
        <x:v>1829</x:v>
      </x:c>
      <x:c r="U140" s="4" t="s">
        <x:v>657</x:v>
      </x:c>
      <x:c r="V140" s="4" t="s">
        <x:v>657</x:v>
      </x:c>
      <x:c r="W140" s="4" t="s">
        <x:v>172</x:v>
      </x:c>
      <x:c r="X140" s="4" t="s">
        <x:v>171</x:v>
      </x:c>
      <x:c r="Y140" s="4" t="s">
        <x:v>172</x:v>
      </x:c>
      <x:c r="Z140" s="4" t="s">
        <x:v>172</x:v>
      </x:c>
      <x:c r="AA140" s="4" t="s">
        <x:v>172</x:v>
      </x:c>
      <x:c r="AB140" s="4" t="s">
        <x:v>172</x:v>
      </x:c>
      <x:c r="AC140" s="4" t="s">
        <x:v>172</x:v>
      </x:c>
      <x:c r="AD140" s="4" t="str">
        <x:v>疑似连续调整</x:v>
      </x:c>
      <x:c r="AE140" s="4" t="s">
        <x:v>1830</x:v>
      </x:c>
      <x:c r="AF140" s="4" t="s">
        <x:v>1830</x:v>
      </x:c>
      <x:c r="AG140" s="4" t="str">
        <x:v>条件委托已过期；算法编号1000002187537231；创建时间2026-06-21 06:06:14；过期时间2026-06-21 06:30:32；是否触发否；周期关联等级STRONG_CONTEXT；取消/过期原因无法确认（已完成为不适用）。</x:v>
      </x:c>
      <x:c r="AH140" s="4" t="s">
        <x:v>172</x:v>
      </x:c>
      <x:c r="AI140" s="4" t="str">
        <x:v>/Users/luodaluo/Desktop/30天复盘原始数据/补充证据_历史委托条件委托截图/05_安卓端取消与过期完整生命周期/02_已过期/Screenshot_20260722_201816.jpg</x:v>
      </x:c>
      <x:c r="AJ140" s="4" t="s">
        <x:v>2229</x:v>
      </x:c>
      <x:c r="AK140" s="4" t="s">
        <x:v>169</x:v>
      </x:c>
      <x:c r="AL140" s="4" t="s">
        <x:v>1832</x:v>
      </x:c>
      <x:c r="AM140" s="66" t="str">
        <x:v>1000002187537231</x:v>
      </x:c>
      <x:c r="AN140" t="str">
        <x:v>过期</x:v>
      </x:c>
      <x:c r="AO140" t="str">
        <x:v>否</x:v>
      </x:c>
      <x:c r="AP140" s="67" t="n">
        <x:v>46193.93787037037</x:v>
      </x:c>
      <x:c r="AQ140" t="str">
        <x:v>STRONG_CONTEXT</x:v>
      </x:c>
      <x:c r="AR140" t="str">
        <x:v>/Users/luodaluo/Desktop/30天复盘原始数据/补充证据_历史委托条件委托截图/05_安卓端取消与过期完整生命周期/02_已过期/Screenshot_20260722_201816.jpg</x:v>
      </x:c>
    </x:row>
    <x:row r="141">
      <x:c r="A141" s="4" t="s">
        <x:v>76</x:v>
      </x:c>
      <x:c r="B141" s="4" t="s">
        <x:v>1946</x:v>
      </x:c>
      <x:c r="C141" s="4" t="s">
        <x:v>1824</x:v>
      </x:c>
      <x:c r="D141" s="4" t="s">
        <x:v>682</x:v>
      </x:c>
      <x:c r="E141" s="4" t="s">
        <x:v>682</x:v>
      </x:c>
      <x:c r="F141" s="65" t="n">
        <x:v>46193.92780092593</x:v>
      </x:c>
      <x:c r="G141" s="4" t="s">
        <x:v>1336</x:v>
      </x:c>
      <x:c r="H141" s="4" t="s">
        <x:v>1337</x:v>
      </x:c>
      <x:c r="I141" s="4" t="s">
        <x:v>1825</x:v>
      </x:c>
      <x:c r="J141" s="4" t="s">
        <x:v>1826</x:v>
      </x:c>
      <x:c r="K141" s="4" t="s">
        <x:v>107</x:v>
      </x:c>
      <x:c r="L141" s="4" t="s">
        <x:v>683</x:v>
      </x:c>
      <x:c r="M141" s="4" t="s">
        <x:v>169</x:v>
      </x:c>
      <x:c r="N141" s="4" t="s">
        <x:v>169</x:v>
      </x:c>
      <x:c r="O141" s="4" t="str">
        <x:v>已取消</x:v>
      </x:c>
      <x:c r="P141" s="4" t="s">
        <x:v>171</x:v>
      </x:c>
      <x:c r="Q141" s="4" t="s">
        <x:v>1817</x:v>
      </x:c>
      <x:c r="R141" s="4" t="s">
        <x:v>1827</x:v>
      </x:c>
      <x:c r="S141" s="4" t="s">
        <x:v>1828</x:v>
      </x:c>
      <x:c r="T141" s="4" t="s">
        <x:v>1829</x:v>
      </x:c>
      <x:c r="U141" s="4" t="s">
        <x:v>657</x:v>
      </x:c>
      <x:c r="V141" s="4" t="s">
        <x:v>657</x:v>
      </x:c>
      <x:c r="W141" s="4" t="s">
        <x:v>172</x:v>
      </x:c>
      <x:c r="X141" s="4" t="s">
        <x:v>171</x:v>
      </x:c>
      <x:c r="Y141" s="4" t="s">
        <x:v>172</x:v>
      </x:c>
      <x:c r="Z141" s="4" t="s">
        <x:v>172</x:v>
      </x:c>
      <x:c r="AA141" s="4" t="s">
        <x:v>172</x:v>
      </x:c>
      <x:c r="AB141" s="4" t="s">
        <x:v>172</x:v>
      </x:c>
      <x:c r="AC141" s="4" t="s">
        <x:v>172</x:v>
      </x:c>
      <x:c r="AD141" s="4" t="str">
        <x:v>疑似连续调整</x:v>
      </x:c>
      <x:c r="AE141" s="4" t="s">
        <x:v>1830</x:v>
      </x:c>
      <x:c r="AF141" s="4" t="s">
        <x:v>1830</x:v>
      </x:c>
      <x:c r="AG141" s="4" t="str">
        <x:v>条件委托已取消；算法编号1000002187541581；创建时间2026-06-21 06:06:53；撤销时间2026-06-21 06:16:02；是否触发否；周期关联等级STRONG_CONTEXT；取消/过期原因无法确认（已完成为不适用）。</x:v>
      </x:c>
      <x:c r="AH141" s="4" t="s">
        <x:v>172</x:v>
      </x:c>
      <x:c r="AI141" s="4" t="str">
        <x:v>/Users/luodaluo/Desktop/30天复盘原始数据/补充证据_历史委托条件委托截图/05_安卓端取消与过期完整生命周期/01_已取消/Screenshot_20260722_223053.jpg</x:v>
      </x:c>
      <x:c r="AJ141" s="4" t="s">
        <x:v>2230</x:v>
      </x:c>
      <x:c r="AK141" s="4" t="s">
        <x:v>169</x:v>
      </x:c>
      <x:c r="AL141" s="4" t="s">
        <x:v>1832</x:v>
      </x:c>
      <x:c r="AM141" s="66" t="str">
        <x:v>1000002187541581</x:v>
      </x:c>
      <x:c r="AN141" t="str">
        <x:v>撤销</x:v>
      </x:c>
      <x:c r="AO141" t="str">
        <x:v>否</x:v>
      </x:c>
      <x:c r="AP141" s="67" t="n">
        <x:v>46193.92780092593</x:v>
      </x:c>
      <x:c r="AQ141" t="str">
        <x:v>STRONG_CONTEXT</x:v>
      </x:c>
      <x:c r="AR141" t="str">
        <x:v>/Users/luodaluo/Desktop/30天复盘原始数据/补充证据_历史委托条件委托截图/05_安卓端取消与过期完整生命周期/01_已取消/Screenshot_20260722_223053.jpg</x:v>
      </x:c>
    </x:row>
    <x:row r="142">
      <x:c r="A142" s="4" t="s">
        <x:v>76</x:v>
      </x:c>
      <x:c r="B142" s="4" t="s">
        <x:v>1948</x:v>
      </x:c>
      <x:c r="C142" s="4" t="s">
        <x:v>1824</x:v>
      </x:c>
      <x:c r="D142" s="4" t="s">
        <x:v>684</x:v>
      </x:c>
      <x:c r="E142" s="4" t="s">
        <x:v>684</x:v>
      </x:c>
      <x:c r="F142" s="65" t="s">
        <x:v>689</x:v>
      </x:c>
      <x:c r="G142" s="4" t="s">
        <x:v>1336</x:v>
      </x:c>
      <x:c r="H142" s="4" t="s">
        <x:v>1337</x:v>
      </x:c>
      <x:c r="I142" s="4" t="s">
        <x:v>1847</x:v>
      </x:c>
      <x:c r="J142" s="4" t="s">
        <x:v>1835</x:v>
      </x:c>
      <x:c r="K142" s="4" t="s">
        <x:v>685</x:v>
      </x:c>
      <x:c r="L142" s="4" t="s">
        <x:v>169</x:v>
      </x:c>
      <x:c r="M142" s="4" t="s">
        <x:v>657</x:v>
      </x:c>
      <x:c r="N142" s="4" t="s">
        <x:v>169</x:v>
      </x:c>
      <x:c r="O142" s="4" t="s">
        <x:v>236</x:v>
      </x:c>
      <x:c r="P142" s="4" t="s">
        <x:v>1817</x:v>
      </x:c>
      <x:c r="Q142" s="4" t="s">
        <x:v>1817</x:v>
      </x:c>
      <x:c r="R142" s="4" t="s">
        <x:v>1836</x:v>
      </x:c>
      <x:c r="S142" s="4" t="s">
        <x:v>234</x:v>
      </x:c>
      <x:c r="T142" s="4" t="s">
        <x:v>1837</x:v>
      </x:c>
      <x:c r="U142" s="4" t="s">
        <x:v>657</x:v>
      </x:c>
      <x:c r="V142" s="4" t="s">
        <x:v>657</x:v>
      </x:c>
      <x:c r="W142" s="4" t="s">
        <x:v>172</x:v>
      </x:c>
      <x:c r="X142" s="4" t="s">
        <x:v>171</x:v>
      </x:c>
      <x:c r="Y142" s="4" t="s">
        <x:v>172</x:v>
      </x:c>
      <x:c r="Z142" s="4" t="s">
        <x:v>172</x:v>
      </x:c>
      <x:c r="AA142" s="4" t="s">
        <x:v>172</x:v>
      </x:c>
      <x:c r="AB142" s="4" t="s">
        <x:v>172</x:v>
      </x:c>
      <x:c r="AC142" s="4" t="s">
        <x:v>172</x:v>
      </x:c>
      <x:c r="AD142" s="4" t="s">
        <x:v>195</x:v>
      </x:c>
      <x:c r="AE142" s="4" t="s">
        <x:v>1848</x:v>
      </x:c>
      <x:c r="AF142" s="4" t="s">
        <x:v>1830</x:v>
      </x:c>
      <x:c r="AG142" s="4" t="s">
        <x:v>2225</x:v>
      </x:c>
      <x:c r="AH142" s="4" t="s">
        <x:v>171</x:v>
      </x:c>
      <x:c r="AI142" s="4" t="s">
        <x:v>2231</x:v>
      </x:c>
      <x:c r="AJ142" s="4" t="s">
        <x:v>2232</x:v>
      </x:c>
      <x:c r="AK142" s="4" t="s">
        <x:v>169</x:v>
      </x:c>
      <x:c r="AL142" s="4" t="s">
        <x:v>1841</x:v>
      </x:c>
      <x:c r="AM142" s="66"/>
      <x:c r="AP142" s="67"/>
    </x:row>
    <x:row r="143">
      <x:c r="A143" s="4" t="s">
        <x:v>76</x:v>
      </x:c>
      <x:c r="B143" s="4" t="s">
        <x:v>1953</x:v>
      </x:c>
      <x:c r="C143" s="4" t="s">
        <x:v>1824</x:v>
      </x:c>
      <x:c r="D143" s="4" t="s">
        <x:v>687</x:v>
      </x:c>
      <x:c r="E143" s="4" t="s">
        <x:v>687</x:v>
      </x:c>
      <x:c r="F143" s="65" t="n">
        <x:v>46193.93787037037</x:v>
      </x:c>
      <x:c r="G143" s="4" t="s">
        <x:v>1336</x:v>
      </x:c>
      <x:c r="H143" s="4" t="s">
        <x:v>1337</x:v>
      </x:c>
      <x:c r="I143" s="4" t="s">
        <x:v>1825</x:v>
      </x:c>
      <x:c r="J143" s="4" t="s">
        <x:v>1826</x:v>
      </x:c>
      <x:c r="K143" s="4" t="s">
        <x:v>107</x:v>
      </x:c>
      <x:c r="L143" s="4" t="s">
        <x:v>688</x:v>
      </x:c>
      <x:c r="M143" s="4" t="s">
        <x:v>169</x:v>
      </x:c>
      <x:c r="N143" s="4" t="s">
        <x:v>169</x:v>
      </x:c>
      <x:c r="O143" s="4" t="str">
        <x:v>已过期</x:v>
      </x:c>
      <x:c r="P143" s="4" t="s">
        <x:v>171</x:v>
      </x:c>
      <x:c r="Q143" s="4" t="s">
        <x:v>1817</x:v>
      </x:c>
      <x:c r="R143" s="4" t="s">
        <x:v>1827</x:v>
      </x:c>
      <x:c r="S143" s="4" t="s">
        <x:v>1828</x:v>
      </x:c>
      <x:c r="T143" s="4" t="s">
        <x:v>1829</x:v>
      </x:c>
      <x:c r="U143" s="4" t="s">
        <x:v>657</x:v>
      </x:c>
      <x:c r="V143" s="4" t="s">
        <x:v>657</x:v>
      </x:c>
      <x:c r="W143" s="4" t="s">
        <x:v>172</x:v>
      </x:c>
      <x:c r="X143" s="4" t="s">
        <x:v>171</x:v>
      </x:c>
      <x:c r="Y143" s="4" t="s">
        <x:v>172</x:v>
      </x:c>
      <x:c r="Z143" s="4" t="s">
        <x:v>172</x:v>
      </x:c>
      <x:c r="AA143" s="4" t="s">
        <x:v>172</x:v>
      </x:c>
      <x:c r="AB143" s="4" t="s">
        <x:v>172</x:v>
      </x:c>
      <x:c r="AC143" s="4" t="s">
        <x:v>172</x:v>
      </x:c>
      <x:c r="AD143" s="4" t="str">
        <x:v>疑似连续调整</x:v>
      </x:c>
      <x:c r="AE143" s="4" t="s">
        <x:v>1830</x:v>
      </x:c>
      <x:c r="AF143" s="4" t="s">
        <x:v>1830</x:v>
      </x:c>
      <x:c r="AG143" s="4" t="str">
        <x:v>条件委托已过期；算法编号1000002187598811；创建时间2026-06-21 06:16:02；过期时间2026-06-21 06:30:32；是否触发否；周期关联等级STRONG_CONTEXT；取消/过期原因无法确认（已完成为不适用）。</x:v>
      </x:c>
      <x:c r="AH143" s="4" t="s">
        <x:v>172</x:v>
      </x:c>
      <x:c r="AI143" s="4" t="str">
        <x:v>/Users/luodaluo/Desktop/30天复盘原始数据/补充证据_历史委托条件委托截图/05_安卓端取消与过期完整生命周期/02_已过期/Screenshot_20260722_201822.jpg</x:v>
      </x:c>
      <x:c r="AJ143" s="4" t="s">
        <x:v>2233</x:v>
      </x:c>
      <x:c r="AK143" s="4" t="s">
        <x:v>169</x:v>
      </x:c>
      <x:c r="AL143" s="4" t="s">
        <x:v>1832</x:v>
      </x:c>
      <x:c r="AM143" s="66" t="str">
        <x:v>1000002187598811</x:v>
      </x:c>
      <x:c r="AN143" t="str">
        <x:v>过期</x:v>
      </x:c>
      <x:c r="AO143" t="str">
        <x:v>否</x:v>
      </x:c>
      <x:c r="AP143" s="67" t="n">
        <x:v>46193.93787037037</x:v>
      </x:c>
      <x:c r="AQ143" t="str">
        <x:v>STRONG_CONTEXT</x:v>
      </x:c>
      <x:c r="AR143" t="str">
        <x:v>/Users/luodaluo/Desktop/30天复盘原始数据/补充证据_历史委托条件委托截图/05_安卓端取消与过期完整生命周期/02_已过期/Screenshot_20260722_201822.jpg</x:v>
      </x:c>
    </x:row>
    <x:row r="144">
      <x:c r="A144" s="4" t="s">
        <x:v>76</x:v>
      </x:c>
      <x:c r="B144" s="4" t="s">
        <x:v>1955</x:v>
      </x:c>
      <x:c r="C144" s="4" t="s">
        <x:v>1824</x:v>
      </x:c>
      <x:c r="D144" s="4" t="s">
        <x:v>689</x:v>
      </x:c>
      <x:c r="E144" s="4" t="s">
        <x:v>689</x:v>
      </x:c>
      <x:c r="F144" s="65" t="s">
        <x:v>2234</x:v>
      </x:c>
      <x:c r="G144" s="4" t="s">
        <x:v>1336</x:v>
      </x:c>
      <x:c r="H144" s="4" t="s">
        <x:v>1337</x:v>
      </x:c>
      <x:c r="I144" s="4" t="s">
        <x:v>1847</x:v>
      </x:c>
      <x:c r="J144" s="4" t="s">
        <x:v>1835</x:v>
      </x:c>
      <x:c r="K144" s="4" t="s">
        <x:v>690</x:v>
      </x:c>
      <x:c r="L144" s="4" t="s">
        <x:v>169</x:v>
      </x:c>
      <x:c r="M144" s="4" t="s">
        <x:v>657</x:v>
      </x:c>
      <x:c r="N144" s="4" t="s">
        <x:v>169</x:v>
      </x:c>
      <x:c r="O144" s="4" t="s">
        <x:v>236</x:v>
      </x:c>
      <x:c r="P144" s="4" t="s">
        <x:v>1817</x:v>
      </x:c>
      <x:c r="Q144" s="4" t="s">
        <x:v>1817</x:v>
      </x:c>
      <x:c r="R144" s="4" t="s">
        <x:v>1836</x:v>
      </x:c>
      <x:c r="S144" s="4" t="s">
        <x:v>234</x:v>
      </x:c>
      <x:c r="T144" s="4" t="s">
        <x:v>1837</x:v>
      </x:c>
      <x:c r="U144" s="4" t="s">
        <x:v>657</x:v>
      </x:c>
      <x:c r="V144" s="4" t="s">
        <x:v>657</x:v>
      </x:c>
      <x:c r="W144" s="4" t="s">
        <x:v>172</x:v>
      </x:c>
      <x:c r="X144" s="4" t="s">
        <x:v>171</x:v>
      </x:c>
      <x:c r="Y144" s="4" t="s">
        <x:v>172</x:v>
      </x:c>
      <x:c r="Z144" s="4" t="s">
        <x:v>172</x:v>
      </x:c>
      <x:c r="AA144" s="4" t="s">
        <x:v>172</x:v>
      </x:c>
      <x:c r="AB144" s="4" t="s">
        <x:v>172</x:v>
      </x:c>
      <x:c r="AC144" s="4" t="s">
        <x:v>172</x:v>
      </x:c>
      <x:c r="AD144" s="4" t="s">
        <x:v>193</x:v>
      </x:c>
      <x:c r="AE144" s="4" t="s">
        <x:v>1830</x:v>
      </x:c>
      <x:c r="AF144" s="4" t="s">
        <x:v>1830</x:v>
      </x:c>
      <x:c r="AG144" s="4" t="s">
        <x:v>2225</x:v>
      </x:c>
      <x:c r="AH144" s="4" t="s">
        <x:v>172</x:v>
      </x:c>
      <x:c r="AI144" s="4" t="s">
        <x:v>2235</x:v>
      </x:c>
      <x:c r="AJ144" s="4" t="s">
        <x:v>2236</x:v>
      </x:c>
      <x:c r="AK144" s="4" t="s">
        <x:v>169</x:v>
      </x:c>
      <x:c r="AL144" s="4" t="s">
        <x:v>1841</x:v>
      </x:c>
      <x:c r="AM144" s="66"/>
      <x:c r="AP144" s="67"/>
    </x:row>
    <x:row r="145">
      <x:c r="A145" s="4" t="s">
        <x:v>76</x:v>
      </x:c>
      <x:c r="B145" s="4" t="s">
        <x:v>1960</x:v>
      </x:c>
      <x:c r="C145" s="4" t="s">
        <x:v>1824</x:v>
      </x:c>
      <x:c r="D145" s="4" t="s">
        <x:v>692</x:v>
      </x:c>
      <x:c r="E145" s="4" t="s">
        <x:v>2234</x:v>
      </x:c>
      <x:c r="F145" s="65" t="s">
        <x:v>695</x:v>
      </x:c>
      <x:c r="G145" s="4" t="s">
        <x:v>1336</x:v>
      </x:c>
      <x:c r="H145" s="4" t="s">
        <x:v>1337</x:v>
      </x:c>
      <x:c r="I145" s="4" t="s">
        <x:v>1852</x:v>
      </x:c>
      <x:c r="J145" s="4" t="s">
        <x:v>199</x:v>
      </x:c>
      <x:c r="K145" s="4" t="s">
        <x:v>693</x:v>
      </x:c>
      <x:c r="L145" s="4" t="s">
        <x:v>107</x:v>
      </x:c>
      <x:c r="M145" s="4" t="s">
        <x:v>657</x:v>
      </x:c>
      <x:c r="N145" s="4" t="s">
        <x:v>657</x:v>
      </x:c>
      <x:c r="O145" s="4" t="s">
        <x:v>168</x:v>
      </x:c>
      <x:c r="P145" s="4" t="s">
        <x:v>1817</x:v>
      </x:c>
      <x:c r="Q145" s="4" t="s">
        <x:v>1817</x:v>
      </x:c>
      <x:c r="R145" s="4" t="s">
        <x:v>1818</x:v>
      </x:c>
      <x:c r="S145" s="4" t="s">
        <x:v>208</x:v>
      </x:c>
      <x:c r="T145" s="4" t="s">
        <x:v>1853</x:v>
      </x:c>
      <x:c r="U145" s="4" t="s">
        <x:v>657</x:v>
      </x:c>
      <x:c r="V145" s="4" t="s">
        <x:v>169</x:v>
      </x:c>
      <x:c r="W145" s="4" t="s">
        <x:v>171</x:v>
      </x:c>
      <x:c r="X145" s="4" t="s">
        <x:v>171</x:v>
      </x:c>
      <x:c r="Y145" s="4" t="s">
        <x:v>172</x:v>
      </x:c>
      <x:c r="Z145" s="4" t="s">
        <x:v>172</x:v>
      </x:c>
      <x:c r="AA145" s="4" t="s">
        <x:v>172</x:v>
      </x:c>
      <x:c r="AB145" s="4" t="s">
        <x:v>171</x:v>
      </x:c>
      <x:c r="AC145" s="4" t="s">
        <x:v>172</x:v>
      </x:c>
      <x:c r="AD145" s="4" t="s">
        <x:v>193</x:v>
      </x:c>
      <x:c r="AE145" s="4" t="s">
        <x:v>1830</x:v>
      </x:c>
      <x:c r="AF145" s="4" t="s">
        <x:v>1820</x:v>
      </x:c>
      <x:c r="AG145" s="4" t="s">
        <x:v>2237</x:v>
      </x:c>
      <x:c r="AH145" s="4" t="s">
        <x:v>172</x:v>
      </x:c>
      <x:c r="AI145" s="4" t="s">
        <x:v>1822</x:v>
      </x:c>
      <x:c r="AJ145" s="4" t="s">
        <x:v>1614</x:v>
      </x:c>
      <x:c r="AK145" s="4" t="s">
        <x:v>1969</x:v>
      </x:c>
      <x:c r="AL145" s="4" t="s">
        <x:v>1823</x:v>
      </x:c>
      <x:c r="AM145" s="66"/>
      <x:c r="AP145" s="67"/>
    </x:row>
    <x:row r="146">
      <x:c r="A146" s="4" t="s">
        <x:v>76</x:v>
      </x:c>
      <x:c r="B146" s="4" t="s">
        <x:v>1965</x:v>
      </x:c>
      <x:c r="C146" s="4" t="s">
        <x:v>1856</x:v>
      </x:c>
      <x:c r="D146" s="4" t="s">
        <x:v>695</x:v>
      </x:c>
      <x:c r="E146" s="4" t="s">
        <x:v>107</x:v>
      </x:c>
      <x:c r="F146" s="65" t="s">
        <x:v>107</x:v>
      </x:c>
      <x:c r="G146" s="4" t="s">
        <x:v>1336</x:v>
      </x:c>
      <x:c r="H146" s="4" t="s">
        <x:v>1337</x:v>
      </x:c>
      <x:c r="I146" s="4" t="s">
        <x:v>107</x:v>
      </x:c>
      <x:c r="J146" s="4" t="s">
        <x:v>107</x:v>
      </x:c>
      <x:c r="K146" s="4" t="s">
        <x:v>107</x:v>
      </x:c>
      <x:c r="L146" s="4" t="s">
        <x:v>107</x:v>
      </x:c>
      <x:c r="M146" s="4" t="s">
        <x:v>107</x:v>
      </x:c>
      <x:c r="N146" s="4" t="s">
        <x:v>107</x:v>
      </x:c>
      <x:c r="O146" s="4" t="s">
        <x:v>107</x:v>
      </x:c>
      <x:c r="P146" s="4" t="s">
        <x:v>107</x:v>
      </x:c>
      <x:c r="Q146" s="4" t="s">
        <x:v>107</x:v>
      </x:c>
      <x:c r="R146" s="4" t="s">
        <x:v>1857</x:v>
      </x:c>
      <x:c r="S146" s="4" t="s">
        <x:v>213</x:v>
      </x:c>
      <x:c r="T146" s="4" t="s">
        <x:v>1858</x:v>
      </x:c>
      <x:c r="U146" s="4" t="s">
        <x:v>107</x:v>
      </x:c>
      <x:c r="V146" s="4" t="s">
        <x:v>107</x:v>
      </x:c>
      <x:c r="W146" s="4" t="s">
        <x:v>172</x:v>
      </x:c>
      <x:c r="X146" s="4" t="s">
        <x:v>172</x:v>
      </x:c>
      <x:c r="Y146" s="4" t="s">
        <x:v>172</x:v>
      </x:c>
      <x:c r="Z146" s="4" t="s">
        <x:v>172</x:v>
      </x:c>
      <x:c r="AA146" s="4" t="s">
        <x:v>172</x:v>
      </x:c>
      <x:c r="AB146" s="4" t="s">
        <x:v>172</x:v>
      </x:c>
      <x:c r="AC146" s="4" t="s">
        <x:v>172</x:v>
      </x:c>
      <x:c r="AD146" s="4" t="s">
        <x:v>107</x:v>
      </x:c>
      <x:c r="AE146" s="4" t="s">
        <x:v>107</x:v>
      </x:c>
      <x:c r="AF146" s="4" t="s">
        <x:v>107</x:v>
      </x:c>
      <x:c r="AG146" s="4" t="s">
        <x:v>696</x:v>
      </x:c>
      <x:c r="AH146" s="4" t="s">
        <x:v>172</x:v>
      </x:c>
      <x:c r="AI146" s="4" t="s">
        <x:v>1859</x:v>
      </x:c>
      <x:c r="AJ146" s="4" t="s">
        <x:v>2238</x:v>
      </x:c>
      <x:c r="AK146" s="4" t="s">
        <x:v>169</x:v>
      </x:c>
      <x:c r="AL146" s="4" t="s">
        <x:v>1861</x:v>
      </x:c>
      <x:c r="AM146" s="66"/>
      <x:c r="AP146" s="67"/>
    </x:row>
    <x:row r="147">
      <x:c r="A147" s="4" t="s">
        <x:v>107</x:v>
      </x:c>
      <x:c r="B147" s="4" t="s">
        <x:v>107</x:v>
      </x:c>
      <x:c r="C147" s="4" t="s">
        <x:v>107</x:v>
      </x:c>
      <x:c r="D147" s="4" t="s">
        <x:v>107</x:v>
      </x:c>
      <x:c r="E147" s="4" t="s">
        <x:v>107</x:v>
      </x:c>
      <x:c r="F147" s="65" t="s">
        <x:v>107</x:v>
      </x:c>
      <x:c r="G147" s="4" t="s">
        <x:v>107</x:v>
      </x:c>
      <x:c r="H147" s="4" t="s">
        <x:v>107</x:v>
      </x:c>
      <x:c r="I147" s="4" t="s">
        <x:v>107</x:v>
      </x:c>
      <x:c r="J147" s="4" t="s">
        <x:v>107</x:v>
      </x:c>
      <x:c r="K147" s="4" t="s">
        <x:v>107</x:v>
      </x:c>
      <x:c r="L147" s="4" t="s">
        <x:v>107</x:v>
      </x:c>
      <x:c r="M147" s="4" t="s">
        <x:v>107</x:v>
      </x:c>
      <x:c r="N147" s="4" t="s">
        <x:v>107</x:v>
      </x:c>
      <x:c r="O147" s="4" t="s">
        <x:v>107</x:v>
      </x:c>
      <x:c r="P147" s="4" t="s">
        <x:v>107</x:v>
      </x:c>
      <x:c r="Q147" s="4" t="s">
        <x:v>107</x:v>
      </x:c>
      <x:c r="R147" s="4" t="s">
        <x:v>107</x:v>
      </x:c>
      <x:c r="S147" s="4" t="s">
        <x:v>107</x:v>
      </x:c>
      <x:c r="T147" s="4" t="s">
        <x:v>107</x:v>
      </x:c>
      <x:c r="U147" s="4" t="s">
        <x:v>107</x:v>
      </x:c>
      <x:c r="V147" s="4" t="s">
        <x:v>107</x:v>
      </x:c>
      <x:c r="W147" s="4" t="s">
        <x:v>107</x:v>
      </x:c>
      <x:c r="X147" s="4" t="s">
        <x:v>107</x:v>
      </x:c>
      <x:c r="Y147" s="4" t="s">
        <x:v>107</x:v>
      </x:c>
      <x:c r="Z147" s="4" t="s">
        <x:v>107</x:v>
      </x:c>
      <x:c r="AA147" s="4" t="s">
        <x:v>107</x:v>
      </x:c>
      <x:c r="AB147" s="4" t="s">
        <x:v>107</x:v>
      </x:c>
      <x:c r="AC147" s="4" t="s">
        <x:v>107</x:v>
      </x:c>
      <x:c r="AD147" s="4" t="s">
        <x:v>107</x:v>
      </x:c>
      <x:c r="AE147" s="4" t="s">
        <x:v>107</x:v>
      </x:c>
      <x:c r="AF147" s="4" t="s">
        <x:v>107</x:v>
      </x:c>
      <x:c r="AG147" s="4" t="s">
        <x:v>107</x:v>
      </x:c>
      <x:c r="AH147" s="4" t="s">
        <x:v>107</x:v>
      </x:c>
      <x:c r="AI147" s="4" t="s">
        <x:v>107</x:v>
      </x:c>
      <x:c r="AJ147" s="4" t="s">
        <x:v>107</x:v>
      </x:c>
      <x:c r="AK147" s="4" t="s">
        <x:v>107</x:v>
      </x:c>
      <x:c r="AL147" s="4" t="s">
        <x:v>107</x:v>
      </x:c>
      <x:c r="AM147" s="66"/>
      <x:c r="AP147" s="67"/>
    </x:row>
    <x:row r="148">
      <x:c r="A148" s="4" t="s">
        <x:v>107</x:v>
      </x:c>
      <x:c r="B148" s="4" t="s">
        <x:v>107</x:v>
      </x:c>
      <x:c r="C148" s="4" t="s">
        <x:v>107</x:v>
      </x:c>
      <x:c r="D148" s="4" t="s">
        <x:v>107</x:v>
      </x:c>
      <x:c r="E148" s="4" t="s">
        <x:v>107</x:v>
      </x:c>
      <x:c r="F148" s="65" t="s">
        <x:v>107</x:v>
      </x:c>
      <x:c r="G148" s="4" t="s">
        <x:v>107</x:v>
      </x:c>
      <x:c r="H148" s="4" t="s">
        <x:v>107</x:v>
      </x:c>
      <x:c r="I148" s="4" t="s">
        <x:v>107</x:v>
      </x:c>
      <x:c r="J148" s="4" t="s">
        <x:v>107</x:v>
      </x:c>
      <x:c r="K148" s="4" t="s">
        <x:v>107</x:v>
      </x:c>
      <x:c r="L148" s="4" t="s">
        <x:v>107</x:v>
      </x:c>
      <x:c r="M148" s="4" t="s">
        <x:v>107</x:v>
      </x:c>
      <x:c r="N148" s="4" t="s">
        <x:v>107</x:v>
      </x:c>
      <x:c r="O148" s="4" t="s">
        <x:v>107</x:v>
      </x:c>
      <x:c r="P148" s="4" t="s">
        <x:v>107</x:v>
      </x:c>
      <x:c r="Q148" s="4" t="s">
        <x:v>107</x:v>
      </x:c>
      <x:c r="R148" s="4" t="s">
        <x:v>107</x:v>
      </x:c>
      <x:c r="S148" s="4" t="s">
        <x:v>107</x:v>
      </x:c>
      <x:c r="T148" s="4" t="s">
        <x:v>107</x:v>
      </x:c>
      <x:c r="U148" s="4" t="s">
        <x:v>107</x:v>
      </x:c>
      <x:c r="V148" s="4" t="s">
        <x:v>107</x:v>
      </x:c>
      <x:c r="W148" s="4" t="s">
        <x:v>107</x:v>
      </x:c>
      <x:c r="X148" s="4" t="s">
        <x:v>107</x:v>
      </x:c>
      <x:c r="Y148" s="4" t="s">
        <x:v>107</x:v>
      </x:c>
      <x:c r="Z148" s="4" t="s">
        <x:v>107</x:v>
      </x:c>
      <x:c r="AA148" s="4" t="s">
        <x:v>107</x:v>
      </x:c>
      <x:c r="AB148" s="4" t="s">
        <x:v>107</x:v>
      </x:c>
      <x:c r="AC148" s="4" t="s">
        <x:v>107</x:v>
      </x:c>
      <x:c r="AD148" s="4" t="s">
        <x:v>107</x:v>
      </x:c>
      <x:c r="AE148" s="4" t="s">
        <x:v>107</x:v>
      </x:c>
      <x:c r="AF148" s="4" t="s">
        <x:v>107</x:v>
      </x:c>
      <x:c r="AG148" s="4" t="s">
        <x:v>107</x:v>
      </x:c>
      <x:c r="AH148" s="4" t="s">
        <x:v>107</x:v>
      </x:c>
      <x:c r="AI148" s="4" t="s">
        <x:v>107</x:v>
      </x:c>
      <x:c r="AJ148" s="4" t="s">
        <x:v>107</x:v>
      </x:c>
      <x:c r="AK148" s="4" t="s">
        <x:v>107</x:v>
      </x:c>
      <x:c r="AL148" s="4" t="s">
        <x:v>107</x:v>
      </x:c>
      <x:c r="AM148" s="66"/>
      <x:c r="AP148" s="67"/>
    </x:row>
    <x:row r="149">
      <x:c r="A149" s="4" t="s">
        <x:v>107</x:v>
      </x:c>
      <x:c r="B149" s="4" t="s">
        <x:v>107</x:v>
      </x:c>
      <x:c r="C149" s="4" t="s">
        <x:v>107</x:v>
      </x:c>
      <x:c r="D149" s="4" t="s">
        <x:v>107</x:v>
      </x:c>
      <x:c r="E149" s="4" t="s">
        <x:v>107</x:v>
      </x:c>
      <x:c r="F149" s="65" t="s">
        <x:v>107</x:v>
      </x:c>
      <x:c r="G149" s="4" t="s">
        <x:v>107</x:v>
      </x:c>
      <x:c r="H149" s="4" t="s">
        <x:v>107</x:v>
      </x:c>
      <x:c r="I149" s="4" t="s">
        <x:v>107</x:v>
      </x:c>
      <x:c r="J149" s="4" t="s">
        <x:v>107</x:v>
      </x:c>
      <x:c r="K149" s="4" t="s">
        <x:v>107</x:v>
      </x:c>
      <x:c r="L149" s="4" t="s">
        <x:v>107</x:v>
      </x:c>
      <x:c r="M149" s="4" t="s">
        <x:v>107</x:v>
      </x:c>
      <x:c r="N149" s="4" t="s">
        <x:v>107</x:v>
      </x:c>
      <x:c r="O149" s="4" t="s">
        <x:v>107</x:v>
      </x:c>
      <x:c r="P149" s="4" t="s">
        <x:v>107</x:v>
      </x:c>
      <x:c r="Q149" s="4" t="s">
        <x:v>107</x:v>
      </x:c>
      <x:c r="R149" s="4" t="s">
        <x:v>107</x:v>
      </x:c>
      <x:c r="S149" s="4" t="s">
        <x:v>107</x:v>
      </x:c>
      <x:c r="T149" s="4" t="s">
        <x:v>107</x:v>
      </x:c>
      <x:c r="U149" s="4" t="s">
        <x:v>107</x:v>
      </x:c>
      <x:c r="V149" s="4" t="s">
        <x:v>107</x:v>
      </x:c>
      <x:c r="W149" s="4" t="s">
        <x:v>107</x:v>
      </x:c>
      <x:c r="X149" s="4" t="s">
        <x:v>107</x:v>
      </x:c>
      <x:c r="Y149" s="4" t="s">
        <x:v>107</x:v>
      </x:c>
      <x:c r="Z149" s="4" t="s">
        <x:v>107</x:v>
      </x:c>
      <x:c r="AA149" s="4" t="s">
        <x:v>107</x:v>
      </x:c>
      <x:c r="AB149" s="4" t="s">
        <x:v>107</x:v>
      </x:c>
      <x:c r="AC149" s="4" t="s">
        <x:v>107</x:v>
      </x:c>
      <x:c r="AD149" s="4" t="s">
        <x:v>107</x:v>
      </x:c>
      <x:c r="AE149" s="4" t="s">
        <x:v>107</x:v>
      </x:c>
      <x:c r="AF149" s="4" t="s">
        <x:v>107</x:v>
      </x:c>
      <x:c r="AG149" s="4" t="s">
        <x:v>107</x:v>
      </x:c>
      <x:c r="AH149" s="4" t="s">
        <x:v>107</x:v>
      </x:c>
      <x:c r="AI149" s="4" t="s">
        <x:v>107</x:v>
      </x:c>
      <x:c r="AJ149" s="4" t="s">
        <x:v>107</x:v>
      </x:c>
      <x:c r="AK149" s="4" t="s">
        <x:v>107</x:v>
      </x:c>
      <x:c r="AL149" s="4" t="s">
        <x:v>107</x:v>
      </x:c>
      <x:c r="AM149" s="66"/>
      <x:c r="AP149" s="67"/>
    </x:row>
    <x:row r="150">
      <x:c r="A150" s="4" t="s">
        <x:v>74</x:v>
      </x:c>
      <x:c r="B150" s="4" t="s">
        <x:v>200</x:v>
      </x:c>
      <x:c r="C150" s="4" t="s">
        <x:v>1814</x:v>
      </x:c>
      <x:c r="D150" s="4" t="s">
        <x:v>480</x:v>
      </x:c>
      <x:c r="E150" s="4" t="s">
        <x:v>480</x:v>
      </x:c>
      <x:c r="F150" s="65" t="s">
        <x:v>2239</x:v>
      </x:c>
      <x:c r="G150" s="4" t="s">
        <x:v>1336</x:v>
      </x:c>
      <x:c r="H150" s="4" t="s">
        <x:v>1337</x:v>
      </x:c>
      <x:c r="I150" s="4" t="s">
        <x:v>1834</x:v>
      </x:c>
      <x:c r="J150" s="4" t="s">
        <x:v>1835</x:v>
      </x:c>
      <x:c r="K150" s="4" t="s">
        <x:v>481</x:v>
      </x:c>
      <x:c r="L150" s="4" t="s">
        <x:v>169</x:v>
      </x:c>
      <x:c r="M150" s="4" t="s">
        <x:v>314</x:v>
      </x:c>
      <x:c r="N150" s="4" t="s">
        <x:v>169</x:v>
      </x:c>
      <x:c r="O150" s="4" t="s">
        <x:v>187</x:v>
      </x:c>
      <x:c r="P150" s="4" t="s">
        <x:v>1817</x:v>
      </x:c>
      <x:c r="Q150" s="4" t="s">
        <x:v>1817</x:v>
      </x:c>
      <x:c r="R150" s="4" t="s">
        <x:v>1836</x:v>
      </x:c>
      <x:c r="S150" s="4" t="s">
        <x:v>14</x:v>
      </x:c>
      <x:c r="T150" s="4" t="s">
        <x:v>1837</x:v>
      </x:c>
      <x:c r="U150" s="4" t="s">
        <x:v>169</x:v>
      </x:c>
      <x:c r="V150" s="4" t="s">
        <x:v>169</x:v>
      </x:c>
      <x:c r="W150" s="4" t="s">
        <x:v>172</x:v>
      </x:c>
      <x:c r="X150" s="4" t="s">
        <x:v>171</x:v>
      </x:c>
      <x:c r="Y150" s="4" t="s">
        <x:v>172</x:v>
      </x:c>
      <x:c r="Z150" s="4" t="s">
        <x:v>172</x:v>
      </x:c>
      <x:c r="AA150" s="4" t="s">
        <x:v>172</x:v>
      </x:c>
      <x:c r="AB150" s="4" t="s">
        <x:v>172</x:v>
      </x:c>
      <x:c r="AC150" s="4" t="s">
        <x:v>172</x:v>
      </x:c>
      <x:c r="AD150" s="4" t="s">
        <x:v>188</x:v>
      </x:c>
      <x:c r="AE150" s="4" t="s">
        <x:v>1820</x:v>
      </x:c>
      <x:c r="AF150" s="4" t="s">
        <x:v>1830</x:v>
      </x:c>
      <x:c r="AG150" s="4" t="s">
        <x:v>1869</x:v>
      </x:c>
      <x:c r="AH150" s="4" t="s">
        <x:v>172</x:v>
      </x:c>
      <x:c r="AI150" s="4" t="s">
        <x:v>2240</x:v>
      </x:c>
      <x:c r="AJ150" s="4" t="s">
        <x:v>2241</x:v>
      </x:c>
      <x:c r="AK150" s="4" t="s">
        <x:v>169</x:v>
      </x:c>
      <x:c r="AL150" s="4" t="s">
        <x:v>1841</x:v>
      </x:c>
      <x:c r="AM150" s="66"/>
      <x:c r="AP150" s="67"/>
    </x:row>
    <x:row r="151">
      <x:c r="A151" s="4" t="s">
        <x:v>74</x:v>
      </x:c>
      <x:c r="B151" s="4" t="s">
        <x:v>1353</x:v>
      </x:c>
      <x:c r="C151" s="4" t="s">
        <x:v>1814</x:v>
      </x:c>
      <x:c r="D151" s="4" t="s">
        <x:v>482</x:v>
      </x:c>
      <x:c r="E151" s="4" t="s">
        <x:v>482</x:v>
      </x:c>
      <x:c r="F151" s="65" t="s">
        <x:v>2242</x:v>
      </x:c>
      <x:c r="G151" s="4" t="s">
        <x:v>1336</x:v>
      </x:c>
      <x:c r="H151" s="4" t="s">
        <x:v>1337</x:v>
      </x:c>
      <x:c r="I151" s="4" t="s">
        <x:v>1834</x:v>
      </x:c>
      <x:c r="J151" s="4" t="s">
        <x:v>1835</x:v>
      </x:c>
      <x:c r="K151" s="4" t="s">
        <x:v>483</x:v>
      </x:c>
      <x:c r="L151" s="4" t="s">
        <x:v>169</x:v>
      </x:c>
      <x:c r="M151" s="4" t="s">
        <x:v>314</x:v>
      </x:c>
      <x:c r="N151" s="4" t="s">
        <x:v>169</x:v>
      </x:c>
      <x:c r="O151" s="4" t="s">
        <x:v>187</x:v>
      </x:c>
      <x:c r="P151" s="4" t="s">
        <x:v>1817</x:v>
      </x:c>
      <x:c r="Q151" s="4" t="s">
        <x:v>1817</x:v>
      </x:c>
      <x:c r="R151" s="4" t="s">
        <x:v>1836</x:v>
      </x:c>
      <x:c r="S151" s="4" t="s">
        <x:v>14</x:v>
      </x:c>
      <x:c r="T151" s="4" t="s">
        <x:v>1837</x:v>
      </x:c>
      <x:c r="U151" s="4" t="s">
        <x:v>169</x:v>
      </x:c>
      <x:c r="V151" s="4" t="s">
        <x:v>169</x:v>
      </x:c>
      <x:c r="W151" s="4" t="s">
        <x:v>172</x:v>
      </x:c>
      <x:c r="X151" s="4" t="s">
        <x:v>171</x:v>
      </x:c>
      <x:c r="Y151" s="4" t="s">
        <x:v>172</x:v>
      </x:c>
      <x:c r="Z151" s="4" t="s">
        <x:v>172</x:v>
      </x:c>
      <x:c r="AA151" s="4" t="s">
        <x:v>172</x:v>
      </x:c>
      <x:c r="AB151" s="4" t="s">
        <x:v>172</x:v>
      </x:c>
      <x:c r="AC151" s="4" t="s">
        <x:v>172</x:v>
      </x:c>
      <x:c r="AD151" s="4" t="s">
        <x:v>193</x:v>
      </x:c>
      <x:c r="AE151" s="4" t="s">
        <x:v>1830</x:v>
      </x:c>
      <x:c r="AF151" s="4" t="s">
        <x:v>1830</x:v>
      </x:c>
      <x:c r="AG151" s="4" t="s">
        <x:v>1869</x:v>
      </x:c>
      <x:c r="AH151" s="4" t="s">
        <x:v>172</x:v>
      </x:c>
      <x:c r="AI151" s="4" t="s">
        <x:v>2243</x:v>
      </x:c>
      <x:c r="AJ151" s="4" t="s">
        <x:v>2244</x:v>
      </x:c>
      <x:c r="AK151" s="4" t="s">
        <x:v>169</x:v>
      </x:c>
      <x:c r="AL151" s="4" t="s">
        <x:v>1841</x:v>
      </x:c>
      <x:c r="AM151" s="66"/>
      <x:c r="AP151" s="67"/>
    </x:row>
    <x:row r="152">
      <x:c r="A152" s="4" t="s">
        <x:v>74</x:v>
      </x:c>
      <x:c r="B152" s="4" t="s">
        <x:v>1466</x:v>
      </x:c>
      <x:c r="C152" s="4" t="s">
        <x:v>1814</x:v>
      </x:c>
      <x:c r="D152" s="4" t="s">
        <x:v>484</x:v>
      </x:c>
      <x:c r="E152" s="4" t="s">
        <x:v>484</x:v>
      </x:c>
      <x:c r="F152" s="65" t="s">
        <x:v>2245</x:v>
      </x:c>
      <x:c r="G152" s="4" t="s">
        <x:v>1336</x:v>
      </x:c>
      <x:c r="H152" s="4" t="s">
        <x:v>1337</x:v>
      </x:c>
      <x:c r="I152" s="4" t="s">
        <x:v>1834</x:v>
      </x:c>
      <x:c r="J152" s="4" t="s">
        <x:v>1835</x:v>
      </x:c>
      <x:c r="K152" s="4" t="s">
        <x:v>485</x:v>
      </x:c>
      <x:c r="L152" s="4" t="s">
        <x:v>169</x:v>
      </x:c>
      <x:c r="M152" s="4" t="s">
        <x:v>2246</x:v>
      </x:c>
      <x:c r="N152" s="4" t="s">
        <x:v>169</x:v>
      </x:c>
      <x:c r="O152" s="4" t="s">
        <x:v>187</x:v>
      </x:c>
      <x:c r="P152" s="4" t="s">
        <x:v>1817</x:v>
      </x:c>
      <x:c r="Q152" s="4" t="s">
        <x:v>1817</x:v>
      </x:c>
      <x:c r="R152" s="4" t="s">
        <x:v>1836</x:v>
      </x:c>
      <x:c r="S152" s="4" t="s">
        <x:v>14</x:v>
      </x:c>
      <x:c r="T152" s="4" t="s">
        <x:v>1837</x:v>
      </x:c>
      <x:c r="U152" s="4" t="s">
        <x:v>169</x:v>
      </x:c>
      <x:c r="V152" s="4" t="s">
        <x:v>169</x:v>
      </x:c>
      <x:c r="W152" s="4" t="s">
        <x:v>172</x:v>
      </x:c>
      <x:c r="X152" s="4" t="s">
        <x:v>171</x:v>
      </x:c>
      <x:c r="Y152" s="4" t="s">
        <x:v>172</x:v>
      </x:c>
      <x:c r="Z152" s="4" t="s">
        <x:v>172</x:v>
      </x:c>
      <x:c r="AA152" s="4" t="s">
        <x:v>172</x:v>
      </x:c>
      <x:c r="AB152" s="4" t="s">
        <x:v>172</x:v>
      </x:c>
      <x:c r="AC152" s="4" t="s">
        <x:v>172</x:v>
      </x:c>
      <x:c r="AD152" s="4" t="s">
        <x:v>193</x:v>
      </x:c>
      <x:c r="AE152" s="4" t="s">
        <x:v>1830</x:v>
      </x:c>
      <x:c r="AF152" s="4" t="s">
        <x:v>1830</x:v>
      </x:c>
      <x:c r="AG152" s="4" t="s">
        <x:v>1869</x:v>
      </x:c>
      <x:c r="AH152" s="4" t="s">
        <x:v>172</x:v>
      </x:c>
      <x:c r="AI152" s="4" t="s">
        <x:v>2247</x:v>
      </x:c>
      <x:c r="AJ152" s="4" t="s">
        <x:v>2248</x:v>
      </x:c>
      <x:c r="AK152" s="4" t="s">
        <x:v>169</x:v>
      </x:c>
      <x:c r="AL152" s="4" t="s">
        <x:v>1841</x:v>
      </x:c>
      <x:c r="AM152" s="66"/>
      <x:c r="AP152" s="67"/>
    </x:row>
    <x:row r="153">
      <x:c r="A153" s="4" t="s">
        <x:v>74</x:v>
      </x:c>
      <x:c r="B153" s="4" t="s">
        <x:v>218</x:v>
      </x:c>
      <x:c r="C153" s="4" t="s">
        <x:v>1814</x:v>
      </x:c>
      <x:c r="D153" s="4" t="s">
        <x:v>486</x:v>
      </x:c>
      <x:c r="E153" s="4" t="s">
        <x:v>486</x:v>
      </x:c>
      <x:c r="F153" s="65" t="s">
        <x:v>2249</x:v>
      </x:c>
      <x:c r="G153" s="4" t="s">
        <x:v>1336</x:v>
      </x:c>
      <x:c r="H153" s="4" t="s">
        <x:v>1337</x:v>
      </x:c>
      <x:c r="I153" s="4" t="s">
        <x:v>1834</x:v>
      </x:c>
      <x:c r="J153" s="4" t="s">
        <x:v>1835</x:v>
      </x:c>
      <x:c r="K153" s="4" t="s">
        <x:v>433</x:v>
      </x:c>
      <x:c r="L153" s="4" t="s">
        <x:v>169</x:v>
      </x:c>
      <x:c r="M153" s="4" t="s">
        <x:v>2250</x:v>
      </x:c>
      <x:c r="N153" s="4" t="s">
        <x:v>169</x:v>
      </x:c>
      <x:c r="O153" s="4" t="s">
        <x:v>187</x:v>
      </x:c>
      <x:c r="P153" s="4" t="s">
        <x:v>1817</x:v>
      </x:c>
      <x:c r="Q153" s="4" t="s">
        <x:v>1817</x:v>
      </x:c>
      <x:c r="R153" s="4" t="s">
        <x:v>1836</x:v>
      </x:c>
      <x:c r="S153" s="4" t="s">
        <x:v>14</x:v>
      </x:c>
      <x:c r="T153" s="4" t="s">
        <x:v>1837</x:v>
      </x:c>
      <x:c r="U153" s="4" t="s">
        <x:v>169</x:v>
      </x:c>
      <x:c r="V153" s="4" t="s">
        <x:v>169</x:v>
      </x:c>
      <x:c r="W153" s="4" t="s">
        <x:v>172</x:v>
      </x:c>
      <x:c r="X153" s="4" t="s">
        <x:v>171</x:v>
      </x:c>
      <x:c r="Y153" s="4" t="s">
        <x:v>172</x:v>
      </x:c>
      <x:c r="Z153" s="4" t="s">
        <x:v>172</x:v>
      </x:c>
      <x:c r="AA153" s="4" t="s">
        <x:v>172</x:v>
      </x:c>
      <x:c r="AB153" s="4" t="s">
        <x:v>172</x:v>
      </x:c>
      <x:c r="AC153" s="4" t="s">
        <x:v>172</x:v>
      </x:c>
      <x:c r="AD153" s="4" t="s">
        <x:v>193</x:v>
      </x:c>
      <x:c r="AE153" s="4" t="s">
        <x:v>1830</x:v>
      </x:c>
      <x:c r="AF153" s="4" t="s">
        <x:v>1830</x:v>
      </x:c>
      <x:c r="AG153" s="4" t="s">
        <x:v>1869</x:v>
      </x:c>
      <x:c r="AH153" s="4" t="s">
        <x:v>172</x:v>
      </x:c>
      <x:c r="AI153" s="4" t="s">
        <x:v>2251</x:v>
      </x:c>
      <x:c r="AJ153" s="4" t="s">
        <x:v>2252</x:v>
      </x:c>
      <x:c r="AK153" s="4" t="s">
        <x:v>169</x:v>
      </x:c>
      <x:c r="AL153" s="4" t="s">
        <x:v>1841</x:v>
      </x:c>
      <x:c r="AM153" s="66"/>
      <x:c r="AP153" s="67"/>
    </x:row>
    <x:row r="154">
      <x:c r="A154" s="4" t="s">
        <x:v>74</x:v>
      </x:c>
      <x:c r="B154" s="4" t="s">
        <x:v>314</x:v>
      </x:c>
      <x:c r="C154" s="4" t="s">
        <x:v>1814</x:v>
      </x:c>
      <x:c r="D154" s="4" t="s">
        <x:v>487</x:v>
      </x:c>
      <x:c r="E154" s="4" t="s">
        <x:v>487</x:v>
      </x:c>
      <x:c r="F154" s="65" t="s">
        <x:v>2253</x:v>
      </x:c>
      <x:c r="G154" s="4" t="s">
        <x:v>1336</x:v>
      </x:c>
      <x:c r="H154" s="4" t="s">
        <x:v>1337</x:v>
      </x:c>
      <x:c r="I154" s="4" t="s">
        <x:v>1834</x:v>
      </x:c>
      <x:c r="J154" s="4" t="s">
        <x:v>1835</x:v>
      </x:c>
      <x:c r="K154" s="4" t="s">
        <x:v>488</x:v>
      </x:c>
      <x:c r="L154" s="4" t="s">
        <x:v>169</x:v>
      </x:c>
      <x:c r="M154" s="4" t="s">
        <x:v>2250</x:v>
      </x:c>
      <x:c r="N154" s="4" t="s">
        <x:v>169</x:v>
      </x:c>
      <x:c r="O154" s="4" t="s">
        <x:v>187</x:v>
      </x:c>
      <x:c r="P154" s="4" t="s">
        <x:v>1817</x:v>
      </x:c>
      <x:c r="Q154" s="4" t="s">
        <x:v>1817</x:v>
      </x:c>
      <x:c r="R154" s="4" t="s">
        <x:v>1836</x:v>
      </x:c>
      <x:c r="S154" s="4" t="s">
        <x:v>14</x:v>
      </x:c>
      <x:c r="T154" s="4" t="s">
        <x:v>1837</x:v>
      </x:c>
      <x:c r="U154" s="4" t="s">
        <x:v>169</x:v>
      </x:c>
      <x:c r="V154" s="4" t="s">
        <x:v>169</x:v>
      </x:c>
      <x:c r="W154" s="4" t="s">
        <x:v>172</x:v>
      </x:c>
      <x:c r="X154" s="4" t="s">
        <x:v>171</x:v>
      </x:c>
      <x:c r="Y154" s="4" t="s">
        <x:v>172</x:v>
      </x:c>
      <x:c r="Z154" s="4" t="s">
        <x:v>172</x:v>
      </x:c>
      <x:c r="AA154" s="4" t="s">
        <x:v>172</x:v>
      </x:c>
      <x:c r="AB154" s="4" t="s">
        <x:v>172</x:v>
      </x:c>
      <x:c r="AC154" s="4" t="s">
        <x:v>172</x:v>
      </x:c>
      <x:c r="AD154" s="4" t="s">
        <x:v>193</x:v>
      </x:c>
      <x:c r="AE154" s="4" t="s">
        <x:v>1830</x:v>
      </x:c>
      <x:c r="AF154" s="4" t="s">
        <x:v>1830</x:v>
      </x:c>
      <x:c r="AG154" s="4" t="s">
        <x:v>1869</x:v>
      </x:c>
      <x:c r="AH154" s="4" t="s">
        <x:v>172</x:v>
      </x:c>
      <x:c r="AI154" s="4" t="s">
        <x:v>2254</x:v>
      </x:c>
      <x:c r="AJ154" s="4" t="s">
        <x:v>2255</x:v>
      </x:c>
      <x:c r="AK154" s="4" t="s">
        <x:v>169</x:v>
      </x:c>
      <x:c r="AL154" s="4" t="s">
        <x:v>1841</x:v>
      </x:c>
      <x:c r="AM154" s="66"/>
      <x:c r="AP154" s="67"/>
    </x:row>
    <x:row r="155">
      <x:c r="A155" s="4" t="s">
        <x:v>74</x:v>
      </x:c>
      <x:c r="B155" s="4" t="s">
        <x:v>1573</x:v>
      </x:c>
      <x:c r="C155" s="4" t="s">
        <x:v>1814</x:v>
      </x:c>
      <x:c r="D155" s="4" t="s">
        <x:v>489</x:v>
      </x:c>
      <x:c r="E155" s="4" t="s">
        <x:v>489</x:v>
      </x:c>
      <x:c r="F155" s="65" t="s">
        <x:v>2256</x:v>
      </x:c>
      <x:c r="G155" s="4" t="s">
        <x:v>1336</x:v>
      </x:c>
      <x:c r="H155" s="4" t="s">
        <x:v>1337</x:v>
      </x:c>
      <x:c r="I155" s="4" t="s">
        <x:v>1834</x:v>
      </x:c>
      <x:c r="J155" s="4" t="s">
        <x:v>1835</x:v>
      </x:c>
      <x:c r="K155" s="4" t="s">
        <x:v>490</x:v>
      </x:c>
      <x:c r="L155" s="4" t="s">
        <x:v>169</x:v>
      </x:c>
      <x:c r="M155" s="4" t="s">
        <x:v>2257</x:v>
      </x:c>
      <x:c r="N155" s="4" t="s">
        <x:v>169</x:v>
      </x:c>
      <x:c r="O155" s="4" t="s">
        <x:v>187</x:v>
      </x:c>
      <x:c r="P155" s="4" t="s">
        <x:v>1817</x:v>
      </x:c>
      <x:c r="Q155" s="4" t="s">
        <x:v>1817</x:v>
      </x:c>
      <x:c r="R155" s="4" t="s">
        <x:v>1836</x:v>
      </x:c>
      <x:c r="S155" s="4" t="s">
        <x:v>14</x:v>
      </x:c>
      <x:c r="T155" s="4" t="s">
        <x:v>1837</x:v>
      </x:c>
      <x:c r="U155" s="4" t="s">
        <x:v>169</x:v>
      </x:c>
      <x:c r="V155" s="4" t="s">
        <x:v>169</x:v>
      </x:c>
      <x:c r="W155" s="4" t="s">
        <x:v>172</x:v>
      </x:c>
      <x:c r="X155" s="4" t="s">
        <x:v>171</x:v>
      </x:c>
      <x:c r="Y155" s="4" t="s">
        <x:v>172</x:v>
      </x:c>
      <x:c r="Z155" s="4" t="s">
        <x:v>172</x:v>
      </x:c>
      <x:c r="AA155" s="4" t="s">
        <x:v>172</x:v>
      </x:c>
      <x:c r="AB155" s="4" t="s">
        <x:v>172</x:v>
      </x:c>
      <x:c r="AC155" s="4" t="s">
        <x:v>172</x:v>
      </x:c>
      <x:c r="AD155" s="4" t="s">
        <x:v>193</x:v>
      </x:c>
      <x:c r="AE155" s="4" t="s">
        <x:v>1830</x:v>
      </x:c>
      <x:c r="AF155" s="4" t="s">
        <x:v>1830</x:v>
      </x:c>
      <x:c r="AG155" s="4" t="s">
        <x:v>1869</x:v>
      </x:c>
      <x:c r="AH155" s="4" t="s">
        <x:v>172</x:v>
      </x:c>
      <x:c r="AI155" s="4" t="s">
        <x:v>2258</x:v>
      </x:c>
      <x:c r="AJ155" s="4" t="s">
        <x:v>2259</x:v>
      </x:c>
      <x:c r="AK155" s="4" t="s">
        <x:v>169</x:v>
      </x:c>
      <x:c r="AL155" s="4" t="s">
        <x:v>1841</x:v>
      </x:c>
      <x:c r="AM155" s="66"/>
      <x:c r="AP155" s="67"/>
    </x:row>
    <x:row r="156">
      <x:c r="A156" s="4" t="s">
        <x:v>74</x:v>
      </x:c>
      <x:c r="B156" s="4" t="s">
        <x:v>330</x:v>
      </x:c>
      <x:c r="C156" s="4" t="s">
        <x:v>1814</x:v>
      </x:c>
      <x:c r="D156" s="4" t="s">
        <x:v>491</x:v>
      </x:c>
      <x:c r="E156" s="4" t="s">
        <x:v>491</x:v>
      </x:c>
      <x:c r="F156" s="65" t="s">
        <x:v>2260</x:v>
      </x:c>
      <x:c r="G156" s="4" t="s">
        <x:v>1336</x:v>
      </x:c>
      <x:c r="H156" s="4" t="s">
        <x:v>1337</x:v>
      </x:c>
      <x:c r="I156" s="4" t="s">
        <x:v>1834</x:v>
      </x:c>
      <x:c r="J156" s="4" t="s">
        <x:v>1835</x:v>
      </x:c>
      <x:c r="K156" s="4" t="s">
        <x:v>492</x:v>
      </x:c>
      <x:c r="L156" s="4" t="s">
        <x:v>169</x:v>
      </x:c>
      <x:c r="M156" s="4" t="s">
        <x:v>2257</x:v>
      </x:c>
      <x:c r="N156" s="4" t="s">
        <x:v>169</x:v>
      </x:c>
      <x:c r="O156" s="4" t="s">
        <x:v>187</x:v>
      </x:c>
      <x:c r="P156" s="4" t="s">
        <x:v>1817</x:v>
      </x:c>
      <x:c r="Q156" s="4" t="s">
        <x:v>1817</x:v>
      </x:c>
      <x:c r="R156" s="4" t="s">
        <x:v>1836</x:v>
      </x:c>
      <x:c r="S156" s="4" t="s">
        <x:v>14</x:v>
      </x:c>
      <x:c r="T156" s="4" t="s">
        <x:v>1837</x:v>
      </x:c>
      <x:c r="U156" s="4" t="s">
        <x:v>169</x:v>
      </x:c>
      <x:c r="V156" s="4" t="s">
        <x:v>169</x:v>
      </x:c>
      <x:c r="W156" s="4" t="s">
        <x:v>172</x:v>
      </x:c>
      <x:c r="X156" s="4" t="s">
        <x:v>171</x:v>
      </x:c>
      <x:c r="Y156" s="4" t="s">
        <x:v>172</x:v>
      </x:c>
      <x:c r="Z156" s="4" t="s">
        <x:v>172</x:v>
      </x:c>
      <x:c r="AA156" s="4" t="s">
        <x:v>172</x:v>
      </x:c>
      <x:c r="AB156" s="4" t="s">
        <x:v>172</x:v>
      </x:c>
      <x:c r="AC156" s="4" t="s">
        <x:v>172</x:v>
      </x:c>
      <x:c r="AD156" s="4" t="s">
        <x:v>193</x:v>
      </x:c>
      <x:c r="AE156" s="4" t="s">
        <x:v>1830</x:v>
      </x:c>
      <x:c r="AF156" s="4" t="s">
        <x:v>1830</x:v>
      </x:c>
      <x:c r="AG156" s="4" t="s">
        <x:v>1869</x:v>
      </x:c>
      <x:c r="AH156" s="4" t="s">
        <x:v>172</x:v>
      </x:c>
      <x:c r="AI156" s="4" t="s">
        <x:v>2261</x:v>
      </x:c>
      <x:c r="AJ156" s="4" t="s">
        <x:v>2262</x:v>
      </x:c>
      <x:c r="AK156" s="4" t="s">
        <x:v>169</x:v>
      </x:c>
      <x:c r="AL156" s="4" t="s">
        <x:v>1841</x:v>
      </x:c>
      <x:c r="AM156" s="66"/>
      <x:c r="AP156" s="67"/>
    </x:row>
    <x:row r="157">
      <x:c r="A157" s="4" t="s">
        <x:v>74</x:v>
      </x:c>
      <x:c r="B157" s="4" t="s">
        <x:v>229</x:v>
      </x:c>
      <x:c r="C157" s="4" t="s">
        <x:v>1814</x:v>
      </x:c>
      <x:c r="D157" s="4" t="s">
        <x:v>493</x:v>
      </x:c>
      <x:c r="E157" s="4" t="s">
        <x:v>493</x:v>
      </x:c>
      <x:c r="F157" s="65" t="s">
        <x:v>2263</x:v>
      </x:c>
      <x:c r="G157" s="4" t="s">
        <x:v>1336</x:v>
      </x:c>
      <x:c r="H157" s="4" t="s">
        <x:v>1337</x:v>
      </x:c>
      <x:c r="I157" s="4" t="s">
        <x:v>1834</x:v>
      </x:c>
      <x:c r="J157" s="4" t="s">
        <x:v>1835</x:v>
      </x:c>
      <x:c r="K157" s="4" t="s">
        <x:v>494</x:v>
      </x:c>
      <x:c r="L157" s="4" t="s">
        <x:v>169</x:v>
      </x:c>
      <x:c r="M157" s="4" t="s">
        <x:v>2257</x:v>
      </x:c>
      <x:c r="N157" s="4" t="s">
        <x:v>169</x:v>
      </x:c>
      <x:c r="O157" s="4" t="s">
        <x:v>187</x:v>
      </x:c>
      <x:c r="P157" s="4" t="s">
        <x:v>1817</x:v>
      </x:c>
      <x:c r="Q157" s="4" t="s">
        <x:v>1817</x:v>
      </x:c>
      <x:c r="R157" s="4" t="s">
        <x:v>1836</x:v>
      </x:c>
      <x:c r="S157" s="4" t="s">
        <x:v>14</x:v>
      </x:c>
      <x:c r="T157" s="4" t="s">
        <x:v>1837</x:v>
      </x:c>
      <x:c r="U157" s="4" t="s">
        <x:v>169</x:v>
      </x:c>
      <x:c r="V157" s="4" t="s">
        <x:v>169</x:v>
      </x:c>
      <x:c r="W157" s="4" t="s">
        <x:v>172</x:v>
      </x:c>
      <x:c r="X157" s="4" t="s">
        <x:v>171</x:v>
      </x:c>
      <x:c r="Y157" s="4" t="s">
        <x:v>172</x:v>
      </x:c>
      <x:c r="Z157" s="4" t="s">
        <x:v>172</x:v>
      </x:c>
      <x:c r="AA157" s="4" t="s">
        <x:v>172</x:v>
      </x:c>
      <x:c r="AB157" s="4" t="s">
        <x:v>172</x:v>
      </x:c>
      <x:c r="AC157" s="4" t="s">
        <x:v>172</x:v>
      </x:c>
      <x:c r="AD157" s="4" t="s">
        <x:v>193</x:v>
      </x:c>
      <x:c r="AE157" s="4" t="s">
        <x:v>1830</x:v>
      </x:c>
      <x:c r="AF157" s="4" t="s">
        <x:v>1830</x:v>
      </x:c>
      <x:c r="AG157" s="4" t="s">
        <x:v>1869</x:v>
      </x:c>
      <x:c r="AH157" s="4" t="s">
        <x:v>172</x:v>
      </x:c>
      <x:c r="AI157" s="4" t="s">
        <x:v>2264</x:v>
      </x:c>
      <x:c r="AJ157" s="4" t="s">
        <x:v>2265</x:v>
      </x:c>
      <x:c r="AK157" s="4" t="s">
        <x:v>169</x:v>
      </x:c>
      <x:c r="AL157" s="4" t="s">
        <x:v>1841</x:v>
      </x:c>
      <x:c r="AM157" s="66"/>
      <x:c r="AP157" s="67"/>
    </x:row>
    <x:row r="158">
      <x:c r="A158" s="4" t="s">
        <x:v>74</x:v>
      </x:c>
      <x:c r="B158" s="4" t="s">
        <x:v>298</x:v>
      </x:c>
      <x:c r="C158" s="4" t="s">
        <x:v>1814</x:v>
      </x:c>
      <x:c r="D158" s="4" t="s">
        <x:v>495</x:v>
      </x:c>
      <x:c r="E158" s="4" t="s">
        <x:v>495</x:v>
      </x:c>
      <x:c r="F158" s="65" t="s">
        <x:v>2266</x:v>
      </x:c>
      <x:c r="G158" s="4" t="s">
        <x:v>1336</x:v>
      </x:c>
      <x:c r="H158" s="4" t="s">
        <x:v>1337</x:v>
      </x:c>
      <x:c r="I158" s="4" t="s">
        <x:v>1834</x:v>
      </x:c>
      <x:c r="J158" s="4" t="s">
        <x:v>1835</x:v>
      </x:c>
      <x:c r="K158" s="4" t="s">
        <x:v>496</x:v>
      </x:c>
      <x:c r="L158" s="4" t="s">
        <x:v>169</x:v>
      </x:c>
      <x:c r="M158" s="4" t="s">
        <x:v>2267</x:v>
      </x:c>
      <x:c r="N158" s="4" t="s">
        <x:v>169</x:v>
      </x:c>
      <x:c r="O158" s="4" t="s">
        <x:v>187</x:v>
      </x:c>
      <x:c r="P158" s="4" t="s">
        <x:v>1817</x:v>
      </x:c>
      <x:c r="Q158" s="4" t="s">
        <x:v>1817</x:v>
      </x:c>
      <x:c r="R158" s="4" t="s">
        <x:v>1836</x:v>
      </x:c>
      <x:c r="S158" s="4" t="s">
        <x:v>14</x:v>
      </x:c>
      <x:c r="T158" s="4" t="s">
        <x:v>1837</x:v>
      </x:c>
      <x:c r="U158" s="4" t="s">
        <x:v>169</x:v>
      </x:c>
      <x:c r="V158" s="4" t="s">
        <x:v>169</x:v>
      </x:c>
      <x:c r="W158" s="4" t="s">
        <x:v>172</x:v>
      </x:c>
      <x:c r="X158" s="4" t="s">
        <x:v>171</x:v>
      </x:c>
      <x:c r="Y158" s="4" t="s">
        <x:v>172</x:v>
      </x:c>
      <x:c r="Z158" s="4" t="s">
        <x:v>172</x:v>
      </x:c>
      <x:c r="AA158" s="4" t="s">
        <x:v>172</x:v>
      </x:c>
      <x:c r="AB158" s="4" t="s">
        <x:v>172</x:v>
      </x:c>
      <x:c r="AC158" s="4" t="s">
        <x:v>172</x:v>
      </x:c>
      <x:c r="AD158" s="4" t="s">
        <x:v>193</x:v>
      </x:c>
      <x:c r="AE158" s="4" t="s">
        <x:v>1830</x:v>
      </x:c>
      <x:c r="AF158" s="4" t="s">
        <x:v>1830</x:v>
      </x:c>
      <x:c r="AG158" s="4" t="s">
        <x:v>1869</x:v>
      </x:c>
      <x:c r="AH158" s="4" t="s">
        <x:v>172</x:v>
      </x:c>
      <x:c r="AI158" s="4" t="s">
        <x:v>2268</x:v>
      </x:c>
      <x:c r="AJ158" s="4" t="s">
        <x:v>2269</x:v>
      </x:c>
      <x:c r="AK158" s="4" t="s">
        <x:v>169</x:v>
      </x:c>
      <x:c r="AL158" s="4" t="s">
        <x:v>1841</x:v>
      </x:c>
      <x:c r="AM158" s="66"/>
      <x:c r="AP158" s="67"/>
    </x:row>
    <x:row r="159">
      <x:c r="A159" s="4" t="s">
        <x:v>74</x:v>
      </x:c>
      <x:c r="B159" s="4" t="s">
        <x:v>632</x:v>
      </x:c>
      <x:c r="C159" s="4" t="s">
        <x:v>1814</x:v>
      </x:c>
      <x:c r="D159" s="4" t="s">
        <x:v>497</x:v>
      </x:c>
      <x:c r="E159" s="4" t="s">
        <x:v>497</x:v>
      </x:c>
      <x:c r="F159" s="65" t="s">
        <x:v>2270</x:v>
      </x:c>
      <x:c r="G159" s="4" t="s">
        <x:v>1336</x:v>
      </x:c>
      <x:c r="H159" s="4" t="s">
        <x:v>1337</x:v>
      </x:c>
      <x:c r="I159" s="4" t="s">
        <x:v>1834</x:v>
      </x:c>
      <x:c r="J159" s="4" t="s">
        <x:v>1835</x:v>
      </x:c>
      <x:c r="K159" s="4" t="s">
        <x:v>498</x:v>
      </x:c>
      <x:c r="L159" s="4" t="s">
        <x:v>169</x:v>
      </x:c>
      <x:c r="M159" s="4" t="s">
        <x:v>2257</x:v>
      </x:c>
      <x:c r="N159" s="4" t="s">
        <x:v>169</x:v>
      </x:c>
      <x:c r="O159" s="4" t="s">
        <x:v>187</x:v>
      </x:c>
      <x:c r="P159" s="4" t="s">
        <x:v>1817</x:v>
      </x:c>
      <x:c r="Q159" s="4" t="s">
        <x:v>1817</x:v>
      </x:c>
      <x:c r="R159" s="4" t="s">
        <x:v>1836</x:v>
      </x:c>
      <x:c r="S159" s="4" t="s">
        <x:v>14</x:v>
      </x:c>
      <x:c r="T159" s="4" t="s">
        <x:v>1837</x:v>
      </x:c>
      <x:c r="U159" s="4" t="s">
        <x:v>169</x:v>
      </x:c>
      <x:c r="V159" s="4" t="s">
        <x:v>169</x:v>
      </x:c>
      <x:c r="W159" s="4" t="s">
        <x:v>172</x:v>
      </x:c>
      <x:c r="X159" s="4" t="s">
        <x:v>171</x:v>
      </x:c>
      <x:c r="Y159" s="4" t="s">
        <x:v>172</x:v>
      </x:c>
      <x:c r="Z159" s="4" t="s">
        <x:v>172</x:v>
      </x:c>
      <x:c r="AA159" s="4" t="s">
        <x:v>172</x:v>
      </x:c>
      <x:c r="AB159" s="4" t="s">
        <x:v>172</x:v>
      </x:c>
      <x:c r="AC159" s="4" t="s">
        <x:v>172</x:v>
      </x:c>
      <x:c r="AD159" s="4" t="s">
        <x:v>193</x:v>
      </x:c>
      <x:c r="AE159" s="4" t="s">
        <x:v>1830</x:v>
      </x:c>
      <x:c r="AF159" s="4" t="s">
        <x:v>1830</x:v>
      </x:c>
      <x:c r="AG159" s="4" t="s">
        <x:v>1869</x:v>
      </x:c>
      <x:c r="AH159" s="4" t="s">
        <x:v>172</x:v>
      </x:c>
      <x:c r="AI159" s="4" t="s">
        <x:v>2271</x:v>
      </x:c>
      <x:c r="AJ159" s="4" t="s">
        <x:v>2272</x:v>
      </x:c>
      <x:c r="AK159" s="4" t="s">
        <x:v>169</x:v>
      </x:c>
      <x:c r="AL159" s="4" t="s">
        <x:v>1841</x:v>
      </x:c>
      <x:c r="AM159" s="66"/>
      <x:c r="AP159" s="67"/>
    </x:row>
    <x:row r="160">
      <x:c r="A160" s="4" t="s">
        <x:v>74</x:v>
      </x:c>
      <x:c r="B160" s="4" t="s">
        <x:v>1607</x:v>
      </x:c>
      <x:c r="C160" s="4" t="s">
        <x:v>1814</x:v>
      </x:c>
      <x:c r="D160" s="4" t="s">
        <x:v>499</x:v>
      </x:c>
      <x:c r="E160" s="4" t="s">
        <x:v>499</x:v>
      </x:c>
      <x:c r="F160" s="65" t="s">
        <x:v>2273</x:v>
      </x:c>
      <x:c r="G160" s="4" t="s">
        <x:v>1336</x:v>
      </x:c>
      <x:c r="H160" s="4" t="s">
        <x:v>1337</x:v>
      </x:c>
      <x:c r="I160" s="4" t="s">
        <x:v>1834</x:v>
      </x:c>
      <x:c r="J160" s="4" t="s">
        <x:v>1835</x:v>
      </x:c>
      <x:c r="K160" s="4" t="s">
        <x:v>500</x:v>
      </x:c>
      <x:c r="L160" s="4" t="s">
        <x:v>169</x:v>
      </x:c>
      <x:c r="M160" s="4" t="s">
        <x:v>2257</x:v>
      </x:c>
      <x:c r="N160" s="4" t="s">
        <x:v>169</x:v>
      </x:c>
      <x:c r="O160" s="4" t="s">
        <x:v>187</x:v>
      </x:c>
      <x:c r="P160" s="4" t="s">
        <x:v>1817</x:v>
      </x:c>
      <x:c r="Q160" s="4" t="s">
        <x:v>1817</x:v>
      </x:c>
      <x:c r="R160" s="4" t="s">
        <x:v>1836</x:v>
      </x:c>
      <x:c r="S160" s="4" t="s">
        <x:v>14</x:v>
      </x:c>
      <x:c r="T160" s="4" t="s">
        <x:v>1837</x:v>
      </x:c>
      <x:c r="U160" s="4" t="s">
        <x:v>169</x:v>
      </x:c>
      <x:c r="V160" s="4" t="s">
        <x:v>169</x:v>
      </x:c>
      <x:c r="W160" s="4" t="s">
        <x:v>172</x:v>
      </x:c>
      <x:c r="X160" s="4" t="s">
        <x:v>171</x:v>
      </x:c>
      <x:c r="Y160" s="4" t="s">
        <x:v>172</x:v>
      </x:c>
      <x:c r="Z160" s="4" t="s">
        <x:v>172</x:v>
      </x:c>
      <x:c r="AA160" s="4" t="s">
        <x:v>172</x:v>
      </x:c>
      <x:c r="AB160" s="4" t="s">
        <x:v>172</x:v>
      </x:c>
      <x:c r="AC160" s="4" t="s">
        <x:v>172</x:v>
      </x:c>
      <x:c r="AD160" s="4" t="s">
        <x:v>193</x:v>
      </x:c>
      <x:c r="AE160" s="4" t="s">
        <x:v>1830</x:v>
      </x:c>
      <x:c r="AF160" s="4" t="s">
        <x:v>1830</x:v>
      </x:c>
      <x:c r="AG160" s="4" t="s">
        <x:v>1869</x:v>
      </x:c>
      <x:c r="AH160" s="4" t="s">
        <x:v>172</x:v>
      </x:c>
      <x:c r="AI160" s="4" t="s">
        <x:v>2274</x:v>
      </x:c>
      <x:c r="AJ160" s="4" t="s">
        <x:v>2275</x:v>
      </x:c>
      <x:c r="AK160" s="4" t="s">
        <x:v>169</x:v>
      </x:c>
      <x:c r="AL160" s="4" t="s">
        <x:v>1841</x:v>
      </x:c>
      <x:c r="AM160" s="66"/>
      <x:c r="AP160" s="67"/>
    </x:row>
    <x:row r="161">
      <x:c r="A161" s="4" t="s">
        <x:v>74</x:v>
      </x:c>
      <x:c r="B161" s="4" t="s">
        <x:v>358</x:v>
      </x:c>
      <x:c r="C161" s="4" t="s">
        <x:v>1814</x:v>
      </x:c>
      <x:c r="D161" s="4" t="s">
        <x:v>501</x:v>
      </x:c>
      <x:c r="E161" s="4" t="s">
        <x:v>2276</x:v>
      </x:c>
      <x:c r="F161" s="65" t="s">
        <x:v>501</x:v>
      </x:c>
      <x:c r="G161" s="4" t="s">
        <x:v>1336</x:v>
      </x:c>
      <x:c r="H161" s="4" t="s">
        <x:v>1337</x:v>
      </x:c>
      <x:c r="I161" s="4" t="s">
        <x:v>1816</x:v>
      </x:c>
      <x:c r="J161" s="4" t="s">
        <x:v>199</x:v>
      </x:c>
      <x:c r="K161" s="4" t="s">
        <x:v>502</x:v>
      </x:c>
      <x:c r="L161" s="4" t="s">
        <x:v>107</x:v>
      </x:c>
      <x:c r="M161" s="4" t="s">
        <x:v>314</x:v>
      </x:c>
      <x:c r="N161" s="4" t="s">
        <x:v>314</x:v>
      </x:c>
      <x:c r="O161" s="4" t="s">
        <x:v>168</x:v>
      </x:c>
      <x:c r="P161" s="4" t="s">
        <x:v>1817</x:v>
      </x:c>
      <x:c r="Q161" s="4" t="s">
        <x:v>1817</x:v>
      </x:c>
      <x:c r="R161" s="4" t="s">
        <x:v>1818</x:v>
      </x:c>
      <x:c r="S161" s="4" t="s">
        <x:v>198</x:v>
      </x:c>
      <x:c r="T161" s="4" t="s">
        <x:v>1819</x:v>
      </x:c>
      <x:c r="U161" s="4" t="s">
        <x:v>169</x:v>
      </x:c>
      <x:c r="V161" s="4" t="s">
        <x:v>314</x:v>
      </x:c>
      <x:c r="W161" s="4" t="s">
        <x:v>171</x:v>
      </x:c>
      <x:c r="X161" s="4" t="s">
        <x:v>171</x:v>
      </x:c>
      <x:c r="Y161" s="4" t="s">
        <x:v>171</x:v>
      </x:c>
      <x:c r="Z161" s="4" t="s">
        <x:v>172</x:v>
      </x:c>
      <x:c r="AA161" s="4" t="s">
        <x:v>172</x:v>
      </x:c>
      <x:c r="AB161" s="4" t="s">
        <x:v>172</x:v>
      </x:c>
      <x:c r="AC161" s="4" t="s">
        <x:v>172</x:v>
      </x:c>
      <x:c r="AD161" s="4" t="s">
        <x:v>193</x:v>
      </x:c>
      <x:c r="AE161" s="4" t="s">
        <x:v>1830</x:v>
      </x:c>
      <x:c r="AF161" s="4" t="s">
        <x:v>1820</x:v>
      </x:c>
      <x:c r="AG161" s="4" t="s">
        <x:v>2277</x:v>
      </x:c>
      <x:c r="AH161" s="4" t="s">
        <x:v>172</x:v>
      </x:c>
      <x:c r="AI161" s="4" t="s">
        <x:v>1822</x:v>
      </x:c>
      <x:c r="AJ161" s="4" t="s">
        <x:v>1661</x:v>
      </x:c>
      <x:c r="AK161" s="4" t="s">
        <x:v>1927</x:v>
      </x:c>
      <x:c r="AL161" s="4" t="s">
        <x:v>1823</x:v>
      </x:c>
      <x:c r="AM161" s="66"/>
      <x:c r="AP161" s="67"/>
    </x:row>
    <x:row r="162">
      <x:c r="A162" s="4" t="s">
        <x:v>74</x:v>
      </x:c>
      <x:c r="B162" s="4" t="s">
        <x:v>1465</x:v>
      </x:c>
      <x:c r="C162" s="4" t="s">
        <x:v>1824</x:v>
      </x:c>
      <x:c r="D162" s="4" t="s">
        <x:v>504</x:v>
      </x:c>
      <x:c r="E162" s="4" t="s">
        <x:v>504</x:v>
      </x:c>
      <x:c r="F162" s="65" t="n">
        <x:v>46190.617800925924</x:v>
      </x:c>
      <x:c r="G162" s="4" t="s">
        <x:v>1336</x:v>
      </x:c>
      <x:c r="H162" s="4" t="s">
        <x:v>1337</x:v>
      </x:c>
      <x:c r="I162" s="4" t="s">
        <x:v>1825</x:v>
      </x:c>
      <x:c r="J162" s="4" t="s">
        <x:v>203</x:v>
      </x:c>
      <x:c r="K162" s="4" t="s">
        <x:v>107</x:v>
      </x:c>
      <x:c r="L162" s="4" t="s">
        <x:v>505</x:v>
      </x:c>
      <x:c r="M162" s="4" t="s">
        <x:v>169</x:v>
      </x:c>
      <x:c r="N162" s="4" t="s">
        <x:v>169</x:v>
      </x:c>
      <x:c r="O162" s="4" t="str">
        <x:v>已取消</x:v>
      </x:c>
      <x:c r="P162" s="4" t="s">
        <x:v>171</x:v>
      </x:c>
      <x:c r="Q162" s="4" t="s">
        <x:v>1817</x:v>
      </x:c>
      <x:c r="R162" s="4" t="s">
        <x:v>1827</x:v>
      </x:c>
      <x:c r="S162" s="4" t="s">
        <x:v>2106</x:v>
      </x:c>
      <x:c r="T162" s="4" t="s">
        <x:v>1829</x:v>
      </x:c>
      <x:c r="U162" s="4" t="s">
        <x:v>314</x:v>
      </x:c>
      <x:c r="V162" s="4" t="s">
        <x:v>314</x:v>
      </x:c>
      <x:c r="W162" s="4" t="s">
        <x:v>172</x:v>
      </x:c>
      <x:c r="X162" s="4" t="s">
        <x:v>171</x:v>
      </x:c>
      <x:c r="Y162" s="4" t="s">
        <x:v>172</x:v>
      </x:c>
      <x:c r="Z162" s="4" t="s">
        <x:v>172</x:v>
      </x:c>
      <x:c r="AA162" s="4" t="s">
        <x:v>172</x:v>
      </x:c>
      <x:c r="AB162" s="4" t="s">
        <x:v>172</x:v>
      </x:c>
      <x:c r="AC162" s="4" t="s">
        <x:v>172</x:v>
      </x:c>
      <x:c r="AD162" s="4" t="str">
        <x:v>疑似连续调整</x:v>
      </x:c>
      <x:c r="AE162" s="4" t="s">
        <x:v>1830</x:v>
      </x:c>
      <x:c r="AF162" s="4" t="s">
        <x:v>1830</x:v>
      </x:c>
      <x:c r="AG162" s="4" t="str">
        <x:v>条件委托已取消；算法编号1000001993332451；创建时间2026-06-17 21:39:24；撤销时间2026-06-17 22:49:38；是否触发否；周期关联等级STRONG_CONTEXT；取消/过期原因无法确认（已完成为不适用）。</x:v>
      </x:c>
      <x:c r="AH162" s="4" t="s">
        <x:v>172</x:v>
      </x:c>
      <x:c r="AI162" s="4" t="str">
        <x:v>/Users/luodaluo/Desktop/30天复盘原始数据/补充证据_历史委托条件委托截图/05_安卓端取消与过期完整生命周期/01_已取消/Screenshot_20260722_222207.jpg</x:v>
      </x:c>
      <x:c r="AJ162" s="4" t="s">
        <x:v>2278</x:v>
      </x:c>
      <x:c r="AK162" s="4" t="s">
        <x:v>169</x:v>
      </x:c>
      <x:c r="AL162" s="4" t="s">
        <x:v>1832</x:v>
      </x:c>
      <x:c r="AM162" s="66" t="str">
        <x:v>1000001993332451</x:v>
      </x:c>
      <x:c r="AN162" t="str">
        <x:v>撤销</x:v>
      </x:c>
      <x:c r="AO162" t="str">
        <x:v>否</x:v>
      </x:c>
      <x:c r="AP162" s="67" t="n">
        <x:v>46190.617800925924</x:v>
      </x:c>
      <x:c r="AQ162" t="str">
        <x:v>STRONG_CONTEXT</x:v>
      </x:c>
      <x:c r="AR162" t="str">
        <x:v>/Users/luodaluo/Desktop/30天复盘原始数据/补充证据_历史委托条件委托截图/05_安卓端取消与过期完整生命周期/01_已取消/Screenshot_20260722_222207.jpg</x:v>
      </x:c>
    </x:row>
    <x:row r="163">
      <x:c r="A163" s="4" t="s">
        <x:v>74</x:v>
      </x:c>
      <x:c r="B163" s="4" t="s">
        <x:v>1464</x:v>
      </x:c>
      <x:c r="C163" s="4" t="s">
        <x:v>1824</x:v>
      </x:c>
      <x:c r="D163" s="4" t="s">
        <x:v>504</x:v>
      </x:c>
      <x:c r="E163" s="4" t="s">
        <x:v>504</x:v>
      </x:c>
      <x:c r="F163" s="65" t="n">
        <x:v>46190.617800925924</x:v>
      </x:c>
      <x:c r="G163" s="4" t="s">
        <x:v>1336</x:v>
      </x:c>
      <x:c r="H163" s="4" t="s">
        <x:v>1337</x:v>
      </x:c>
      <x:c r="I163" s="4" t="s">
        <x:v>1825</x:v>
      </x:c>
      <x:c r="J163" s="4" t="s">
        <x:v>1826</x:v>
      </x:c>
      <x:c r="K163" s="4" t="s">
        <x:v>107</x:v>
      </x:c>
      <x:c r="L163" s="4" t="s">
        <x:v>506</x:v>
      </x:c>
      <x:c r="M163" s="4" t="s">
        <x:v>169</x:v>
      </x:c>
      <x:c r="N163" s="4" t="s">
        <x:v>169</x:v>
      </x:c>
      <x:c r="O163" s="4" t="str">
        <x:v>已取消</x:v>
      </x:c>
      <x:c r="P163" s="4" t="s">
        <x:v>171</x:v>
      </x:c>
      <x:c r="Q163" s="4" t="s">
        <x:v>1817</x:v>
      </x:c>
      <x:c r="R163" s="4" t="s">
        <x:v>1827</x:v>
      </x:c>
      <x:c r="S163" s="4" t="s">
        <x:v>1828</x:v>
      </x:c>
      <x:c r="T163" s="4" t="s">
        <x:v>1829</x:v>
      </x:c>
      <x:c r="U163" s="4" t="s">
        <x:v>314</x:v>
      </x:c>
      <x:c r="V163" s="4" t="s">
        <x:v>314</x:v>
      </x:c>
      <x:c r="W163" s="4" t="s">
        <x:v>172</x:v>
      </x:c>
      <x:c r="X163" s="4" t="s">
        <x:v>171</x:v>
      </x:c>
      <x:c r="Y163" s="4" t="s">
        <x:v>172</x:v>
      </x:c>
      <x:c r="Z163" s="4" t="s">
        <x:v>172</x:v>
      </x:c>
      <x:c r="AA163" s="4" t="s">
        <x:v>172</x:v>
      </x:c>
      <x:c r="AB163" s="4" t="s">
        <x:v>172</x:v>
      </x:c>
      <x:c r="AC163" s="4" t="s">
        <x:v>172</x:v>
      </x:c>
      <x:c r="AD163" s="4" t="str">
        <x:v>疑似连续调整</x:v>
      </x:c>
      <x:c r="AE163" s="4" t="s">
        <x:v>1830</x:v>
      </x:c>
      <x:c r="AF163" s="4" t="s">
        <x:v>1830</x:v>
      </x:c>
      <x:c r="AG163" s="4" t="str">
        <x:v>条件委托已取消；算法编号1000001993332450；创建时间2026-06-17 21:39:24；撤销时间2026-06-17 22:49:38；是否触发否；周期关联等级STRONG_CONTEXT；取消/过期原因无法确认（已完成为不适用）。</x:v>
      </x:c>
      <x:c r="AH163" s="4" t="s">
        <x:v>172</x:v>
      </x:c>
      <x:c r="AI163" s="4" t="str">
        <x:v>/Users/luodaluo/Desktop/30天复盘原始数据/补充证据_历史委托条件委托截图/05_安卓端取消与过期完整生命周期/01_已取消/Screenshot_20260722_222202.jpg</x:v>
      </x:c>
      <x:c r="AJ163" s="4" t="s">
        <x:v>2279</x:v>
      </x:c>
      <x:c r="AK163" s="4" t="s">
        <x:v>169</x:v>
      </x:c>
      <x:c r="AL163" s="4" t="s">
        <x:v>1832</x:v>
      </x:c>
      <x:c r="AM163" s="66" t="str">
        <x:v>1000001993332450</x:v>
      </x:c>
      <x:c r="AN163" t="str">
        <x:v>撤销</x:v>
      </x:c>
      <x:c r="AO163" t="str">
        <x:v>否</x:v>
      </x:c>
      <x:c r="AP163" s="67" t="n">
        <x:v>46190.617800925924</x:v>
      </x:c>
      <x:c r="AQ163" t="str">
        <x:v>STRONG_CONTEXT</x:v>
      </x:c>
      <x:c r="AR163" t="str">
        <x:v>/Users/luodaluo/Desktop/30天复盘原始数据/补充证据_历史委托条件委托截图/05_安卓端取消与过期完整生命周期/01_已取消/Screenshot_20260722_222202.jpg</x:v>
      </x:c>
    </x:row>
    <x:row r="164">
      <x:c r="A164" s="4" t="s">
        <x:v>74</x:v>
      </x:c>
      <x:c r="B164" s="4" t="s">
        <x:v>638</x:v>
      </x:c>
      <x:c r="C164" s="4" t="s">
        <x:v>1824</x:v>
      </x:c>
      <x:c r="D164" s="4" t="s">
        <x:v>507</x:v>
      </x:c>
      <x:c r="E164" s="4" t="s">
        <x:v>507</x:v>
      </x:c>
      <x:c r="F164" s="65" t="s">
        <x:v>2280</x:v>
      </x:c>
      <x:c r="G164" s="4" t="s">
        <x:v>1336</x:v>
      </x:c>
      <x:c r="H164" s="4" t="s">
        <x:v>1337</x:v>
      </x:c>
      <x:c r="I164" s="4" t="s">
        <x:v>1834</x:v>
      </x:c>
      <x:c r="J164" s="4" t="s">
        <x:v>1835</x:v>
      </x:c>
      <x:c r="K164" s="4" t="s">
        <x:v>508</x:v>
      </x:c>
      <x:c r="L164" s="4" t="s">
        <x:v>169</x:v>
      </x:c>
      <x:c r="M164" s="4" t="s">
        <x:v>632</x:v>
      </x:c>
      <x:c r="N164" s="4" t="s">
        <x:v>169</x:v>
      </x:c>
      <x:c r="O164" s="4" t="s">
        <x:v>187</x:v>
      </x:c>
      <x:c r="P164" s="4" t="s">
        <x:v>1817</x:v>
      </x:c>
      <x:c r="Q164" s="4" t="s">
        <x:v>1817</x:v>
      </x:c>
      <x:c r="R164" s="4" t="s">
        <x:v>1836</x:v>
      </x:c>
      <x:c r="S164" s="4" t="s">
        <x:v>223</x:v>
      </x:c>
      <x:c r="T164" s="4" t="s">
        <x:v>1837</x:v>
      </x:c>
      <x:c r="U164" s="4" t="s">
        <x:v>314</x:v>
      </x:c>
      <x:c r="V164" s="4" t="s">
        <x:v>314</x:v>
      </x:c>
      <x:c r="W164" s="4" t="s">
        <x:v>172</x:v>
      </x:c>
      <x:c r="X164" s="4" t="s">
        <x:v>171</x:v>
      </x:c>
      <x:c r="Y164" s="4" t="s">
        <x:v>172</x:v>
      </x:c>
      <x:c r="Z164" s="4" t="s">
        <x:v>172</x:v>
      </x:c>
      <x:c r="AA164" s="4" t="s">
        <x:v>172</x:v>
      </x:c>
      <x:c r="AB164" s="4" t="s">
        <x:v>172</x:v>
      </x:c>
      <x:c r="AC164" s="4" t="s">
        <x:v>172</x:v>
      </x:c>
      <x:c r="AD164" s="4" t="s">
        <x:v>188</x:v>
      </x:c>
      <x:c r="AE164" s="4" t="s">
        <x:v>1820</x:v>
      </x:c>
      <x:c r="AF164" s="4" t="s">
        <x:v>1830</x:v>
      </x:c>
      <x:c r="AG164" s="4" t="s">
        <x:v>1962</x:v>
      </x:c>
      <x:c r="AH164" s="4" t="s">
        <x:v>172</x:v>
      </x:c>
      <x:c r="AI164" s="4" t="s">
        <x:v>2281</x:v>
      </x:c>
      <x:c r="AJ164" s="4" t="s">
        <x:v>2282</x:v>
      </x:c>
      <x:c r="AK164" s="4" t="s">
        <x:v>169</x:v>
      </x:c>
      <x:c r="AL164" s="4" t="s">
        <x:v>1841</x:v>
      </x:c>
      <x:c r="AM164" s="66"/>
      <x:c r="AP164" s="67"/>
    </x:row>
    <x:row r="165">
      <x:c r="A165" s="4" t="s">
        <x:v>74</x:v>
      </x:c>
      <x:c r="B165" s="4" t="s">
        <x:v>1911</x:v>
      </x:c>
      <x:c r="C165" s="4" t="s">
        <x:v>1824</x:v>
      </x:c>
      <x:c r="D165" s="4" t="s">
        <x:v>510</x:v>
      </x:c>
      <x:c r="E165" s="4" t="s">
        <x:v>510</x:v>
      </x:c>
      <x:c r="F165" s="65" t="s">
        <x:v>2283</x:v>
      </x:c>
      <x:c r="G165" s="4" t="s">
        <x:v>1336</x:v>
      </x:c>
      <x:c r="H165" s="4" t="s">
        <x:v>1337</x:v>
      </x:c>
      <x:c r="I165" s="4" t="s">
        <x:v>1834</x:v>
      </x:c>
      <x:c r="J165" s="4" t="s">
        <x:v>1835</x:v>
      </x:c>
      <x:c r="K165" s="4" t="s">
        <x:v>508</x:v>
      </x:c>
      <x:c r="L165" s="4" t="s">
        <x:v>169</x:v>
      </x:c>
      <x:c r="M165" s="4" t="s">
        <x:v>314</x:v>
      </x:c>
      <x:c r="N165" s="4" t="s">
        <x:v>169</x:v>
      </x:c>
      <x:c r="O165" s="4" t="s">
        <x:v>187</x:v>
      </x:c>
      <x:c r="P165" s="4" t="s">
        <x:v>1817</x:v>
      </x:c>
      <x:c r="Q165" s="4" t="s">
        <x:v>1817</x:v>
      </x:c>
      <x:c r="R165" s="4" t="s">
        <x:v>1836</x:v>
      </x:c>
      <x:c r="S165" s="4" t="s">
        <x:v>223</x:v>
      </x:c>
      <x:c r="T165" s="4" t="s">
        <x:v>1837</x:v>
      </x:c>
      <x:c r="U165" s="4" t="s">
        <x:v>314</x:v>
      </x:c>
      <x:c r="V165" s="4" t="s">
        <x:v>314</x:v>
      </x:c>
      <x:c r="W165" s="4" t="s">
        <x:v>172</x:v>
      </x:c>
      <x:c r="X165" s="4" t="s">
        <x:v>171</x:v>
      </x:c>
      <x:c r="Y165" s="4" t="s">
        <x:v>172</x:v>
      </x:c>
      <x:c r="Z165" s="4" t="s">
        <x:v>172</x:v>
      </x:c>
      <x:c r="AA165" s="4" t="s">
        <x:v>172</x:v>
      </x:c>
      <x:c r="AB165" s="4" t="s">
        <x:v>172</x:v>
      </x:c>
      <x:c r="AC165" s="4" t="s">
        <x:v>172</x:v>
      </x:c>
      <x:c r="AD165" s="4" t="s">
        <x:v>193</x:v>
      </x:c>
      <x:c r="AE165" s="4" t="s">
        <x:v>1830</x:v>
      </x:c>
      <x:c r="AF165" s="4" t="s">
        <x:v>1830</x:v>
      </x:c>
      <x:c r="AG165" s="4" t="s">
        <x:v>1962</x:v>
      </x:c>
      <x:c r="AH165" s="4" t="s">
        <x:v>172</x:v>
      </x:c>
      <x:c r="AI165" s="4" t="s">
        <x:v>2284</x:v>
      </x:c>
      <x:c r="AJ165" s="4" t="s">
        <x:v>2285</x:v>
      </x:c>
      <x:c r="AK165" s="4" t="s">
        <x:v>169</x:v>
      </x:c>
      <x:c r="AL165" s="4" t="s">
        <x:v>1841</x:v>
      </x:c>
      <x:c r="AM165" s="66"/>
      <x:c r="AP165" s="67"/>
    </x:row>
    <x:row r="166">
      <x:c r="A166" s="4" t="s">
        <x:v>74</x:v>
      </x:c>
      <x:c r="B166" s="4" t="s">
        <x:v>373</x:v>
      </x:c>
      <x:c r="C166" s="4" t="s">
        <x:v>1824</x:v>
      </x:c>
      <x:c r="D166" s="4" t="s">
        <x:v>511</x:v>
      </x:c>
      <x:c r="E166" s="4" t="s">
        <x:v>511</x:v>
      </x:c>
      <x:c r="F166" s="65" t="s">
        <x:v>2286</x:v>
      </x:c>
      <x:c r="G166" s="4" t="s">
        <x:v>1336</x:v>
      </x:c>
      <x:c r="H166" s="4" t="s">
        <x:v>1337</x:v>
      </x:c>
      <x:c r="I166" s="4" t="s">
        <x:v>1834</x:v>
      </x:c>
      <x:c r="J166" s="4" t="s">
        <x:v>1835</x:v>
      </x:c>
      <x:c r="K166" s="4" t="s">
        <x:v>512</x:v>
      </x:c>
      <x:c r="L166" s="4" t="s">
        <x:v>169</x:v>
      </x:c>
      <x:c r="M166" s="4" t="s">
        <x:v>314</x:v>
      </x:c>
      <x:c r="N166" s="4" t="s">
        <x:v>169</x:v>
      </x:c>
      <x:c r="O166" s="4" t="s">
        <x:v>187</x:v>
      </x:c>
      <x:c r="P166" s="4" t="s">
        <x:v>1817</x:v>
      </x:c>
      <x:c r="Q166" s="4" t="s">
        <x:v>1817</x:v>
      </x:c>
      <x:c r="R166" s="4" t="s">
        <x:v>1836</x:v>
      </x:c>
      <x:c r="S166" s="4" t="s">
        <x:v>223</x:v>
      </x:c>
      <x:c r="T166" s="4" t="s">
        <x:v>1837</x:v>
      </x:c>
      <x:c r="U166" s="4" t="s">
        <x:v>314</x:v>
      </x:c>
      <x:c r="V166" s="4" t="s">
        <x:v>314</x:v>
      </x:c>
      <x:c r="W166" s="4" t="s">
        <x:v>172</x:v>
      </x:c>
      <x:c r="X166" s="4" t="s">
        <x:v>171</x:v>
      </x:c>
      <x:c r="Y166" s="4" t="s">
        <x:v>172</x:v>
      </x:c>
      <x:c r="Z166" s="4" t="s">
        <x:v>172</x:v>
      </x:c>
      <x:c r="AA166" s="4" t="s">
        <x:v>172</x:v>
      </x:c>
      <x:c r="AB166" s="4" t="s">
        <x:v>172</x:v>
      </x:c>
      <x:c r="AC166" s="4" t="s">
        <x:v>172</x:v>
      </x:c>
      <x:c r="AD166" s="4" t="s">
        <x:v>193</x:v>
      </x:c>
      <x:c r="AE166" s="4" t="s">
        <x:v>1830</x:v>
      </x:c>
      <x:c r="AF166" s="4" t="s">
        <x:v>1830</x:v>
      </x:c>
      <x:c r="AG166" s="4" t="s">
        <x:v>1962</x:v>
      </x:c>
      <x:c r="AH166" s="4" t="s">
        <x:v>172</x:v>
      </x:c>
      <x:c r="AI166" s="4" t="s">
        <x:v>2287</x:v>
      </x:c>
      <x:c r="AJ166" s="4" t="s">
        <x:v>2288</x:v>
      </x:c>
      <x:c r="AK166" s="4" t="s">
        <x:v>169</x:v>
      </x:c>
      <x:c r="AL166" s="4" t="s">
        <x:v>1841</x:v>
      </x:c>
      <x:c r="AM166" s="66"/>
      <x:c r="AP166" s="67"/>
    </x:row>
    <x:row r="167">
      <x:c r="A167" s="4" t="s">
        <x:v>74</x:v>
      </x:c>
      <x:c r="B167" s="4" t="s">
        <x:v>1918</x:v>
      </x:c>
      <x:c r="C167" s="4" t="s">
        <x:v>1824</x:v>
      </x:c>
      <x:c r="D167" s="4" t="s">
        <x:v>513</x:v>
      </x:c>
      <x:c r="E167" s="4" t="s">
        <x:v>513</x:v>
      </x:c>
      <x:c r="F167" s="65" t="n">
        <x:v>46190.65537037037</x:v>
      </x:c>
      <x:c r="G167" s="4" t="s">
        <x:v>1336</x:v>
      </x:c>
      <x:c r="H167" s="4" t="s">
        <x:v>1337</x:v>
      </x:c>
      <x:c r="I167" s="4" t="s">
        <x:v>1825</x:v>
      </x:c>
      <x:c r="J167" s="4" t="s">
        <x:v>1826</x:v>
      </x:c>
      <x:c r="K167" s="4" t="s">
        <x:v>107</x:v>
      </x:c>
      <x:c r="L167" s="4" t="s">
        <x:v>514</x:v>
      </x:c>
      <x:c r="M167" s="4" t="s">
        <x:v>169</x:v>
      </x:c>
      <x:c r="N167" s="4" t="s">
        <x:v>169</x:v>
      </x:c>
      <x:c r="O167" s="4" t="str">
        <x:v>已取消</x:v>
      </x:c>
      <x:c r="P167" s="4" t="s">
        <x:v>171</x:v>
      </x:c>
      <x:c r="Q167" s="4" t="s">
        <x:v>1817</x:v>
      </x:c>
      <x:c r="R167" s="4" t="s">
        <x:v>1827</x:v>
      </x:c>
      <x:c r="S167" s="4" t="s">
        <x:v>1828</x:v>
      </x:c>
      <x:c r="T167" s="4" t="s">
        <x:v>1829</x:v>
      </x:c>
      <x:c r="U167" s="4" t="s">
        <x:v>314</x:v>
      </x:c>
      <x:c r="V167" s="4" t="s">
        <x:v>314</x:v>
      </x:c>
      <x:c r="W167" s="4" t="s">
        <x:v>172</x:v>
      </x:c>
      <x:c r="X167" s="4" t="s">
        <x:v>171</x:v>
      </x:c>
      <x:c r="Y167" s="4" t="s">
        <x:v>172</x:v>
      </x:c>
      <x:c r="Z167" s="4" t="s">
        <x:v>172</x:v>
      </x:c>
      <x:c r="AA167" s="4" t="s">
        <x:v>172</x:v>
      </x:c>
      <x:c r="AB167" s="4" t="s">
        <x:v>172</x:v>
      </x:c>
      <x:c r="AC167" s="4" t="s">
        <x:v>172</x:v>
      </x:c>
      <x:c r="AD167" s="4" t="str">
        <x:v>疑似连续调整</x:v>
      </x:c>
      <x:c r="AE167" s="4" t="s">
        <x:v>1830</x:v>
      </x:c>
      <x:c r="AF167" s="4" t="s">
        <x:v>1830</x:v>
      </x:c>
      <x:c r="AG167" s="4" t="str">
        <x:v>条件委托已取消；算法编号1000001993957176；创建时间2026-06-17 22:49:38；撤销时间2026-06-17 23:43:44；是否触发否；周期关联等级STRONG_CONTEXT；取消/过期原因无法确认（已完成为不适用）。</x:v>
      </x:c>
      <x:c r="AH167" s="4" t="s">
        <x:v>172</x:v>
      </x:c>
      <x:c r="AI167" s="4" t="str">
        <x:v>/Users/luodaluo/Desktop/30天复盘原始数据/补充证据_历史委托条件委托截图/05_安卓端取消与过期完整生命周期/01_已取消/Screenshot_20260722_222218.jpg</x:v>
      </x:c>
      <x:c r="AJ167" s="4" t="s">
        <x:v>2289</x:v>
      </x:c>
      <x:c r="AK167" s="4" t="s">
        <x:v>169</x:v>
      </x:c>
      <x:c r="AL167" s="4" t="s">
        <x:v>1832</x:v>
      </x:c>
      <x:c r="AM167" s="66" t="str">
        <x:v>1000001993957176</x:v>
      </x:c>
      <x:c r="AN167" t="str">
        <x:v>撤销</x:v>
      </x:c>
      <x:c r="AO167" t="str">
        <x:v>否</x:v>
      </x:c>
      <x:c r="AP167" s="67" t="n">
        <x:v>46190.65537037037</x:v>
      </x:c>
      <x:c r="AQ167" t="str">
        <x:v>STRONG_CONTEXT</x:v>
      </x:c>
      <x:c r="AR167" t="str">
        <x:v>/Users/luodaluo/Desktop/30天复盘原始数据/补充证据_历史委托条件委托截图/05_安卓端取消与过期完整生命周期/01_已取消/Screenshot_20260722_222218.jpg</x:v>
      </x:c>
    </x:row>
    <x:row r="168">
      <x:c r="A168" s="4" t="s">
        <x:v>74</x:v>
      </x:c>
      <x:c r="B168" s="4" t="s">
        <x:v>1721</x:v>
      </x:c>
      <x:c r="C168" s="4" t="s">
        <x:v>1824</x:v>
      </x:c>
      <x:c r="D168" s="4" t="s">
        <x:v>513</x:v>
      </x:c>
      <x:c r="E168" s="4" t="s">
        <x:v>513</x:v>
      </x:c>
      <x:c r="F168" s="65" t="n">
        <x:v>46190.66685185185</x:v>
      </x:c>
      <x:c r="G168" s="4" t="s">
        <x:v>1336</x:v>
      </x:c>
      <x:c r="H168" s="4" t="s">
        <x:v>1337</x:v>
      </x:c>
      <x:c r="I168" s="4" t="s">
        <x:v>1825</x:v>
      </x:c>
      <x:c r="J168" s="4" t="s">
        <x:v>203</x:v>
      </x:c>
      <x:c r="K168" s="4" t="s">
        <x:v>107</x:v>
      </x:c>
      <x:c r="L168" s="4" t="s">
        <x:v>409</x:v>
      </x:c>
      <x:c r="M168" s="4" t="s">
        <x:v>169</x:v>
      </x:c>
      <x:c r="N168" s="4" t="s">
        <x:v>169</x:v>
      </x:c>
      <x:c r="O168" s="4" t="str">
        <x:v>已取消</x:v>
      </x:c>
      <x:c r="P168" s="4" t="s">
        <x:v>171</x:v>
      </x:c>
      <x:c r="Q168" s="4" t="s">
        <x:v>1817</x:v>
      </x:c>
      <x:c r="R168" s="4" t="s">
        <x:v>1827</x:v>
      </x:c>
      <x:c r="S168" s="4" t="s">
        <x:v>2106</x:v>
      </x:c>
      <x:c r="T168" s="4" t="s">
        <x:v>1829</x:v>
      </x:c>
      <x:c r="U168" s="4" t="s">
        <x:v>314</x:v>
      </x:c>
      <x:c r="V168" s="4" t="s">
        <x:v>314</x:v>
      </x:c>
      <x:c r="W168" s="4" t="s">
        <x:v>172</x:v>
      </x:c>
      <x:c r="X168" s="4" t="s">
        <x:v>171</x:v>
      </x:c>
      <x:c r="Y168" s="4" t="s">
        <x:v>172</x:v>
      </x:c>
      <x:c r="Z168" s="4" t="s">
        <x:v>172</x:v>
      </x:c>
      <x:c r="AA168" s="4" t="s">
        <x:v>172</x:v>
      </x:c>
      <x:c r="AB168" s="4" t="s">
        <x:v>172</x:v>
      </x:c>
      <x:c r="AC168" s="4" t="s">
        <x:v>172</x:v>
      </x:c>
      <x:c r="AD168" s="4" t="str">
        <x:v>疑似连续调整</x:v>
      </x:c>
      <x:c r="AE168" s="4" t="s">
        <x:v>1830</x:v>
      </x:c>
      <x:c r="AF168" s="4" t="s">
        <x:v>1830</x:v>
      </x:c>
      <x:c r="AG168" s="4" t="str">
        <x:v>条件委托已取消；算法编号1000001993957175；创建时间2026-06-17 22:49:38；撤销时间2026-06-18 00:00:16；是否触发否；周期关联等级STRONG_CONTEXT；取消/过期原因无法确认（已完成为不适用）。</x:v>
      </x:c>
      <x:c r="AH168" s="4" t="s">
        <x:v>172</x:v>
      </x:c>
      <x:c r="AI168" s="4" t="str">
        <x:v>/Users/luodaluo/Desktop/30天复盘原始数据/补充证据_历史委托条件委托截图/05_安卓端取消与过期完整生命周期/01_已取消/Screenshot_20260722_222211.jpg</x:v>
      </x:c>
      <x:c r="AJ168" s="4" t="s">
        <x:v>2290</x:v>
      </x:c>
      <x:c r="AK168" s="4" t="s">
        <x:v>169</x:v>
      </x:c>
      <x:c r="AL168" s="4" t="s">
        <x:v>1832</x:v>
      </x:c>
      <x:c r="AM168" s="66" t="str">
        <x:v>1000001993957175</x:v>
      </x:c>
      <x:c r="AN168" t="str">
        <x:v>撤销</x:v>
      </x:c>
      <x:c r="AO168" t="str">
        <x:v>否</x:v>
      </x:c>
      <x:c r="AP168" s="67" t="n">
        <x:v>46190.66685185185</x:v>
      </x:c>
      <x:c r="AQ168" t="str">
        <x:v>STRONG_CONTEXT</x:v>
      </x:c>
      <x:c r="AR168" t="str">
        <x:v>/Users/luodaluo/Desktop/30天复盘原始数据/补充证据_历史委托条件委托截图/05_安卓端取消与过期完整生命周期/01_已取消/Screenshot_20260722_222211.jpg</x:v>
      </x:c>
    </x:row>
    <x:row r="169">
      <x:c r="A169" s="4" t="s">
        <x:v>74</x:v>
      </x:c>
      <x:c r="B169" s="4" t="s">
        <x:v>1720</x:v>
      </x:c>
      <x:c r="C169" s="4" t="s">
        <x:v>1824</x:v>
      </x:c>
      <x:c r="D169" s="4" t="s">
        <x:v>515</x:v>
      </x:c>
      <x:c r="E169" s="4" t="s">
        <x:v>515</x:v>
      </x:c>
      <x:c r="F169" s="65" t="s">
        <x:v>2291</x:v>
      </x:c>
      <x:c r="G169" s="4" t="s">
        <x:v>1336</x:v>
      </x:c>
      <x:c r="H169" s="4" t="s">
        <x:v>1337</x:v>
      </x:c>
      <x:c r="I169" s="4" t="s">
        <x:v>1834</x:v>
      </x:c>
      <x:c r="J169" s="4" t="s">
        <x:v>1835</x:v>
      </x:c>
      <x:c r="K169" s="4" t="s">
        <x:v>516</x:v>
      </x:c>
      <x:c r="L169" s="4" t="s">
        <x:v>169</x:v>
      </x:c>
      <x:c r="M169" s="4" t="s">
        <x:v>314</x:v>
      </x:c>
      <x:c r="N169" s="4" t="s">
        <x:v>169</x:v>
      </x:c>
      <x:c r="O169" s="4" t="s">
        <x:v>187</x:v>
      </x:c>
      <x:c r="P169" s="4" t="s">
        <x:v>1817</x:v>
      </x:c>
      <x:c r="Q169" s="4" t="s">
        <x:v>1817</x:v>
      </x:c>
      <x:c r="R169" s="4" t="s">
        <x:v>1836</x:v>
      </x:c>
      <x:c r="S169" s="4" t="s">
        <x:v>223</x:v>
      </x:c>
      <x:c r="T169" s="4" t="s">
        <x:v>1837</x:v>
      </x:c>
      <x:c r="U169" s="4" t="s">
        <x:v>314</x:v>
      </x:c>
      <x:c r="V169" s="4" t="s">
        <x:v>314</x:v>
      </x:c>
      <x:c r="W169" s="4" t="s">
        <x:v>172</x:v>
      </x:c>
      <x:c r="X169" s="4" t="s">
        <x:v>171</x:v>
      </x:c>
      <x:c r="Y169" s="4" t="s">
        <x:v>172</x:v>
      </x:c>
      <x:c r="Z169" s="4" t="s">
        <x:v>172</x:v>
      </x:c>
      <x:c r="AA169" s="4" t="s">
        <x:v>172</x:v>
      </x:c>
      <x:c r="AB169" s="4" t="s">
        <x:v>172</x:v>
      </x:c>
      <x:c r="AC169" s="4" t="s">
        <x:v>172</x:v>
      </x:c>
      <x:c r="AD169" s="4" t="s">
        <x:v>193</x:v>
      </x:c>
      <x:c r="AE169" s="4" t="s">
        <x:v>1830</x:v>
      </x:c>
      <x:c r="AF169" s="4" t="s">
        <x:v>1830</x:v>
      </x:c>
      <x:c r="AG169" s="4" t="s">
        <x:v>1962</x:v>
      </x:c>
      <x:c r="AH169" s="4" t="s">
        <x:v>172</x:v>
      </x:c>
      <x:c r="AI169" s="4" t="s">
        <x:v>2292</x:v>
      </x:c>
      <x:c r="AJ169" s="4" t="s">
        <x:v>2293</x:v>
      </x:c>
      <x:c r="AK169" s="4" t="s">
        <x:v>169</x:v>
      </x:c>
      <x:c r="AL169" s="4" t="s">
        <x:v>1841</x:v>
      </x:c>
      <x:c r="AM169" s="66"/>
      <x:c r="AP169" s="67"/>
    </x:row>
    <x:row r="170">
      <x:c r="A170" s="4" t="s">
        <x:v>74</x:v>
      </x:c>
      <x:c r="B170" s="4" t="s">
        <x:v>1927</x:v>
      </x:c>
      <x:c r="C170" s="4" t="s">
        <x:v>1824</x:v>
      </x:c>
      <x:c r="D170" s="4" t="s">
        <x:v>517</x:v>
      </x:c>
      <x:c r="E170" s="4" t="s">
        <x:v>517</x:v>
      </x:c>
      <x:c r="F170" s="65" t="s">
        <x:v>2294</x:v>
      </x:c>
      <x:c r="G170" s="4" t="s">
        <x:v>1336</x:v>
      </x:c>
      <x:c r="H170" s="4" t="s">
        <x:v>1337</x:v>
      </x:c>
      <x:c r="I170" s="4" t="s">
        <x:v>1834</x:v>
      </x:c>
      <x:c r="J170" s="4" t="s">
        <x:v>1835</x:v>
      </x:c>
      <x:c r="K170" s="4" t="s">
        <x:v>518</x:v>
      </x:c>
      <x:c r="L170" s="4" t="s">
        <x:v>169</x:v>
      </x:c>
      <x:c r="M170" s="4" t="s">
        <x:v>314</x:v>
      </x:c>
      <x:c r="N170" s="4" t="s">
        <x:v>169</x:v>
      </x:c>
      <x:c r="O170" s="4" t="s">
        <x:v>187</x:v>
      </x:c>
      <x:c r="P170" s="4" t="s">
        <x:v>1817</x:v>
      </x:c>
      <x:c r="Q170" s="4" t="s">
        <x:v>1817</x:v>
      </x:c>
      <x:c r="R170" s="4" t="s">
        <x:v>1836</x:v>
      </x:c>
      <x:c r="S170" s="4" t="s">
        <x:v>223</x:v>
      </x:c>
      <x:c r="T170" s="4" t="s">
        <x:v>1837</x:v>
      </x:c>
      <x:c r="U170" s="4" t="s">
        <x:v>314</x:v>
      </x:c>
      <x:c r="V170" s="4" t="s">
        <x:v>314</x:v>
      </x:c>
      <x:c r="W170" s="4" t="s">
        <x:v>172</x:v>
      </x:c>
      <x:c r="X170" s="4" t="s">
        <x:v>171</x:v>
      </x:c>
      <x:c r="Y170" s="4" t="s">
        <x:v>172</x:v>
      </x:c>
      <x:c r="Z170" s="4" t="s">
        <x:v>172</x:v>
      </x:c>
      <x:c r="AA170" s="4" t="s">
        <x:v>172</x:v>
      </x:c>
      <x:c r="AB170" s="4" t="s">
        <x:v>172</x:v>
      </x:c>
      <x:c r="AC170" s="4" t="s">
        <x:v>172</x:v>
      </x:c>
      <x:c r="AD170" s="4" t="s">
        <x:v>193</x:v>
      </x:c>
      <x:c r="AE170" s="4" t="s">
        <x:v>1830</x:v>
      </x:c>
      <x:c r="AF170" s="4" t="s">
        <x:v>1830</x:v>
      </x:c>
      <x:c r="AG170" s="4" t="s">
        <x:v>1962</x:v>
      </x:c>
      <x:c r="AH170" s="4" t="s">
        <x:v>172</x:v>
      </x:c>
      <x:c r="AI170" s="4" t="s">
        <x:v>2295</x:v>
      </x:c>
      <x:c r="AJ170" s="4" t="s">
        <x:v>2296</x:v>
      </x:c>
      <x:c r="AK170" s="4" t="s">
        <x:v>169</x:v>
      </x:c>
      <x:c r="AL170" s="4" t="s">
        <x:v>1841</x:v>
      </x:c>
      <x:c r="AM170" s="66"/>
      <x:c r="AP170" s="67"/>
    </x:row>
    <x:row r="171">
      <x:c r="A171" s="4" t="s">
        <x:v>74</x:v>
      </x:c>
      <x:c r="B171" s="4" t="s">
        <x:v>1855</x:v>
      </x:c>
      <x:c r="C171" s="4" t="s">
        <x:v>1824</x:v>
      </x:c>
      <x:c r="D171" s="4" t="s">
        <x:v>519</x:v>
      </x:c>
      <x:c r="E171" s="4" t="s">
        <x:v>519</x:v>
      </x:c>
      <x:c r="F171" s="65" t="s">
        <x:v>2297</x:v>
      </x:c>
      <x:c r="G171" s="4" t="s">
        <x:v>1336</x:v>
      </x:c>
      <x:c r="H171" s="4" t="s">
        <x:v>1337</x:v>
      </x:c>
      <x:c r="I171" s="4" t="s">
        <x:v>1834</x:v>
      </x:c>
      <x:c r="J171" s="4" t="s">
        <x:v>1835</x:v>
      </x:c>
      <x:c r="K171" s="4" t="s">
        <x:v>518</x:v>
      </x:c>
      <x:c r="L171" s="4" t="s">
        <x:v>169</x:v>
      </x:c>
      <x:c r="M171" s="4" t="s">
        <x:v>314</x:v>
      </x:c>
      <x:c r="N171" s="4" t="s">
        <x:v>169</x:v>
      </x:c>
      <x:c r="O171" s="4" t="s">
        <x:v>187</x:v>
      </x:c>
      <x:c r="P171" s="4" t="s">
        <x:v>1817</x:v>
      </x:c>
      <x:c r="Q171" s="4" t="s">
        <x:v>1817</x:v>
      </x:c>
      <x:c r="R171" s="4" t="s">
        <x:v>1836</x:v>
      </x:c>
      <x:c r="S171" s="4" t="s">
        <x:v>223</x:v>
      </x:c>
      <x:c r="T171" s="4" t="s">
        <x:v>1837</x:v>
      </x:c>
      <x:c r="U171" s="4" t="s">
        <x:v>314</x:v>
      </x:c>
      <x:c r="V171" s="4" t="s">
        <x:v>314</x:v>
      </x:c>
      <x:c r="W171" s="4" t="s">
        <x:v>172</x:v>
      </x:c>
      <x:c r="X171" s="4" t="s">
        <x:v>171</x:v>
      </x:c>
      <x:c r="Y171" s="4" t="s">
        <x:v>172</x:v>
      </x:c>
      <x:c r="Z171" s="4" t="s">
        <x:v>172</x:v>
      </x:c>
      <x:c r="AA171" s="4" t="s">
        <x:v>172</x:v>
      </x:c>
      <x:c r="AB171" s="4" t="s">
        <x:v>172</x:v>
      </x:c>
      <x:c r="AC171" s="4" t="s">
        <x:v>172</x:v>
      </x:c>
      <x:c r="AD171" s="4" t="s">
        <x:v>195</x:v>
      </x:c>
      <x:c r="AE171" s="4" t="s">
        <x:v>1848</x:v>
      </x:c>
      <x:c r="AF171" s="4" t="s">
        <x:v>1830</x:v>
      </x:c>
      <x:c r="AG171" s="4" t="s">
        <x:v>1962</x:v>
      </x:c>
      <x:c r="AH171" s="4" t="s">
        <x:v>171</x:v>
      </x:c>
      <x:c r="AI171" s="4" t="s">
        <x:v>2298</x:v>
      </x:c>
      <x:c r="AJ171" s="4" t="s">
        <x:v>2299</x:v>
      </x:c>
      <x:c r="AK171" s="4" t="s">
        <x:v>169</x:v>
      </x:c>
      <x:c r="AL171" s="4" t="s">
        <x:v>1841</x:v>
      </x:c>
      <x:c r="AM171" s="66"/>
      <x:c r="AP171" s="67"/>
    </x:row>
    <x:row r="172">
      <x:c r="A172" s="4" t="s">
        <x:v>74</x:v>
      </x:c>
      <x:c r="B172" s="4" t="s">
        <x:v>1501</x:v>
      </x:c>
      <x:c r="C172" s="4" t="s">
        <x:v>1824</x:v>
      </x:c>
      <x:c r="D172" s="4" t="s">
        <x:v>520</x:v>
      </x:c>
      <x:c r="E172" s="4" t="s">
        <x:v>2300</x:v>
      </x:c>
      <x:c r="F172" s="65" t="s">
        <x:v>520</x:v>
      </x:c>
      <x:c r="G172" s="4" t="s">
        <x:v>1336</x:v>
      </x:c>
      <x:c r="H172" s="4" t="s">
        <x:v>1337</x:v>
      </x:c>
      <x:c r="I172" s="4" t="s">
        <x:v>1816</x:v>
      </x:c>
      <x:c r="J172" s="4" t="s">
        <x:v>199</x:v>
      </x:c>
      <x:c r="K172" s="4" t="s">
        <x:v>518</x:v>
      </x:c>
      <x:c r="L172" s="4" t="s">
        <x:v>107</x:v>
      </x:c>
      <x:c r="M172" s="4" t="s">
        <x:v>314</x:v>
      </x:c>
      <x:c r="N172" s="4" t="s">
        <x:v>2301</x:v>
      </x:c>
      <x:c r="O172" s="4" t="s">
        <x:v>187</x:v>
      </x:c>
      <x:c r="P172" s="4" t="s">
        <x:v>1817</x:v>
      </x:c>
      <x:c r="Q172" s="4" t="s">
        <x:v>1817</x:v>
      </x:c>
      <x:c r="R172" s="4" t="s">
        <x:v>1818</x:v>
      </x:c>
      <x:c r="S172" s="4" t="s">
        <x:v>227</x:v>
      </x:c>
      <x:c r="T172" s="4" t="s">
        <x:v>1843</x:v>
      </x:c>
      <x:c r="U172" s="4" t="s">
        <x:v>314</x:v>
      </x:c>
      <x:c r="V172" s="4" t="s">
        <x:v>521</x:v>
      </x:c>
      <x:c r="W172" s="4" t="s">
        <x:v>171</x:v>
      </x:c>
      <x:c r="X172" s="4" t="s">
        <x:v>171</x:v>
      </x:c>
      <x:c r="Y172" s="4" t="s">
        <x:v>172</x:v>
      </x:c>
      <x:c r="Z172" s="4" t="s">
        <x:v>171</x:v>
      </x:c>
      <x:c r="AA172" s="4" t="s">
        <x:v>172</x:v>
      </x:c>
      <x:c r="AB172" s="4" t="s">
        <x:v>172</x:v>
      </x:c>
      <x:c r="AC172" s="4" t="s">
        <x:v>171</x:v>
      </x:c>
      <x:c r="AD172" s="4" t="s">
        <x:v>195</x:v>
      </x:c>
      <x:c r="AE172" s="4" t="s">
        <x:v>1848</x:v>
      </x:c>
      <x:c r="AF172" s="4" t="s">
        <x:v>1820</x:v>
      </x:c>
      <x:c r="AG172" s="4" t="s">
        <x:v>2302</x:v>
      </x:c>
      <x:c r="AH172" s="4" t="s">
        <x:v>171</x:v>
      </x:c>
      <x:c r="AI172" s="4" t="s">
        <x:v>1822</x:v>
      </x:c>
      <x:c r="AJ172" s="4" t="s">
        <x:v>2303</x:v>
      </x:c>
      <x:c r="AK172" s="4" t="s">
        <x:v>200</x:v>
      </x:c>
      <x:c r="AL172" s="4" t="s">
        <x:v>1823</x:v>
      </x:c>
      <x:c r="AM172" s="66"/>
      <x:c r="AP172" s="67"/>
    </x:row>
    <x:row r="173">
      <x:c r="A173" s="4" t="s">
        <x:v>74</x:v>
      </x:c>
      <x:c r="B173" s="4" t="s">
        <x:v>1935</x:v>
      </x:c>
      <x:c r="C173" s="4" t="s">
        <x:v>1824</x:v>
      </x:c>
      <x:c r="D173" s="4" t="s">
        <x:v>523</x:v>
      </x:c>
      <x:c r="E173" s="4" t="s">
        <x:v>523</x:v>
      </x:c>
      <x:c r="F173" s="65" t="s">
        <x:v>2304</x:v>
      </x:c>
      <x:c r="G173" s="4" t="s">
        <x:v>1336</x:v>
      </x:c>
      <x:c r="H173" s="4" t="s">
        <x:v>1337</x:v>
      </x:c>
      <x:c r="I173" s="4" t="s">
        <x:v>1834</x:v>
      </x:c>
      <x:c r="J173" s="4" t="s">
        <x:v>1835</x:v>
      </x:c>
      <x:c r="K173" s="4" t="s">
        <x:v>524</x:v>
      </x:c>
      <x:c r="L173" s="4" t="s">
        <x:v>169</x:v>
      </x:c>
      <x:c r="M173" s="4" t="s">
        <x:v>2305</x:v>
      </x:c>
      <x:c r="N173" s="4" t="s">
        <x:v>169</x:v>
      </x:c>
      <x:c r="O173" s="4" t="s">
        <x:v>187</x:v>
      </x:c>
      <x:c r="P173" s="4" t="s">
        <x:v>1817</x:v>
      </x:c>
      <x:c r="Q173" s="4" t="s">
        <x:v>1817</x:v>
      </x:c>
      <x:c r="R173" s="4" t="s">
        <x:v>1836</x:v>
      </x:c>
      <x:c r="S173" s="4" t="s">
        <x:v>223</x:v>
      </x:c>
      <x:c r="T173" s="4" t="s">
        <x:v>1837</x:v>
      </x:c>
      <x:c r="U173" s="4" t="s">
        <x:v>521</x:v>
      </x:c>
      <x:c r="V173" s="4" t="s">
        <x:v>521</x:v>
      </x:c>
      <x:c r="W173" s="4" t="s">
        <x:v>172</x:v>
      </x:c>
      <x:c r="X173" s="4" t="s">
        <x:v>171</x:v>
      </x:c>
      <x:c r="Y173" s="4" t="s">
        <x:v>172</x:v>
      </x:c>
      <x:c r="Z173" s="4" t="s">
        <x:v>172</x:v>
      </x:c>
      <x:c r="AA173" s="4" t="s">
        <x:v>172</x:v>
      </x:c>
      <x:c r="AB173" s="4" t="s">
        <x:v>172</x:v>
      </x:c>
      <x:c r="AC173" s="4" t="s">
        <x:v>172</x:v>
      </x:c>
      <x:c r="AD173" s="4" t="s">
        <x:v>193</x:v>
      </x:c>
      <x:c r="AE173" s="4" t="s">
        <x:v>1830</x:v>
      </x:c>
      <x:c r="AF173" s="4" t="s">
        <x:v>1830</x:v>
      </x:c>
      <x:c r="AG173" s="4" t="s">
        <x:v>2306</x:v>
      </x:c>
      <x:c r="AH173" s="4" t="s">
        <x:v>172</x:v>
      </x:c>
      <x:c r="AI173" s="4" t="s">
        <x:v>2307</x:v>
      </x:c>
      <x:c r="AJ173" s="4" t="s">
        <x:v>2308</x:v>
      </x:c>
      <x:c r="AK173" s="4" t="s">
        <x:v>169</x:v>
      </x:c>
      <x:c r="AL173" s="4" t="s">
        <x:v>1841</x:v>
      </x:c>
      <x:c r="AM173" s="66"/>
      <x:c r="AP173" s="67"/>
    </x:row>
    <x:row r="174">
      <x:c r="A174" s="4" t="s">
        <x:v>74</x:v>
      </x:c>
      <x:c r="B174" s="4" t="s">
        <x:v>1937</x:v>
      </x:c>
      <x:c r="C174" s="4" t="s">
        <x:v>1824</x:v>
      </x:c>
      <x:c r="D174" s="4" t="s">
        <x:v>526</x:v>
      </x:c>
      <x:c r="E174" s="4" t="s">
        <x:v>526</x:v>
      </x:c>
      <x:c r="F174" s="65" t="n">
        <x:v>46190.66685185185</x:v>
      </x:c>
      <x:c r="G174" s="4" t="s">
        <x:v>1336</x:v>
      </x:c>
      <x:c r="H174" s="4" t="s">
        <x:v>1337</x:v>
      </x:c>
      <x:c r="I174" s="4" t="s">
        <x:v>1825</x:v>
      </x:c>
      <x:c r="J174" s="4" t="s">
        <x:v>1826</x:v>
      </x:c>
      <x:c r="K174" s="4" t="s">
        <x:v>107</x:v>
      </x:c>
      <x:c r="L174" s="4" t="s">
        <x:v>527</x:v>
      </x:c>
      <x:c r="M174" s="4" t="s">
        <x:v>169</x:v>
      </x:c>
      <x:c r="N174" s="4" t="s">
        <x:v>169</x:v>
      </x:c>
      <x:c r="O174" s="4" t="str">
        <x:v>已取消</x:v>
      </x:c>
      <x:c r="P174" s="4" t="s">
        <x:v>171</x:v>
      </x:c>
      <x:c r="Q174" s="4" t="s">
        <x:v>1817</x:v>
      </x:c>
      <x:c r="R174" s="4" t="s">
        <x:v>1827</x:v>
      </x:c>
      <x:c r="S174" s="4" t="s">
        <x:v>1828</x:v>
      </x:c>
      <x:c r="T174" s="4" t="s">
        <x:v>1829</x:v>
      </x:c>
      <x:c r="U174" s="4" t="s">
        <x:v>521</x:v>
      </x:c>
      <x:c r="V174" s="4" t="s">
        <x:v>521</x:v>
      </x:c>
      <x:c r="W174" s="4" t="s">
        <x:v>172</x:v>
      </x:c>
      <x:c r="X174" s="4" t="s">
        <x:v>171</x:v>
      </x:c>
      <x:c r="Y174" s="4" t="s">
        <x:v>172</x:v>
      </x:c>
      <x:c r="Z174" s="4" t="s">
        <x:v>172</x:v>
      </x:c>
      <x:c r="AA174" s="4" t="s">
        <x:v>172</x:v>
      </x:c>
      <x:c r="AB174" s="4" t="s">
        <x:v>172</x:v>
      </x:c>
      <x:c r="AC174" s="4" t="s">
        <x:v>172</x:v>
      </x:c>
      <x:c r="AD174" s="4" t="str">
        <x:v>疑似连续调整</x:v>
      </x:c>
      <x:c r="AE174" s="4" t="s">
        <x:v>1830</x:v>
      </x:c>
      <x:c r="AF174" s="4" t="s">
        <x:v>1830</x:v>
      </x:c>
      <x:c r="AG174" s="4" t="str">
        <x:v>条件委托已取消；算法编号1000001994401535；创建时间2026-06-17 23:43:45；撤销时间2026-06-18 00:00:16；是否触发否；周期关联等级STRONG_CONTEXT；取消/过期原因无法确认（已完成为不适用）。</x:v>
      </x:c>
      <x:c r="AH174" s="4" t="s">
        <x:v>172</x:v>
      </x:c>
      <x:c r="AI174" s="4" t="str">
        <x:v>/Users/luodaluo/Desktop/30天复盘原始数据/补充证据_历史委托条件委托截图/05_安卓端取消与过期完整生命周期/01_已取消/Screenshot_20260722_222224.jpg</x:v>
      </x:c>
      <x:c r="AJ174" s="4" t="s">
        <x:v>2309</x:v>
      </x:c>
      <x:c r="AK174" s="4" t="s">
        <x:v>169</x:v>
      </x:c>
      <x:c r="AL174" s="4" t="s">
        <x:v>1832</x:v>
      </x:c>
      <x:c r="AM174" s="66" t="str">
        <x:v>1000001994401535</x:v>
      </x:c>
      <x:c r="AN174" t="str">
        <x:v>撤销</x:v>
      </x:c>
      <x:c r="AO174" t="str">
        <x:v>否</x:v>
      </x:c>
      <x:c r="AP174" s="67" t="n">
        <x:v>46190.66685185185</x:v>
      </x:c>
      <x:c r="AQ174" t="str">
        <x:v>STRONG_CONTEXT</x:v>
      </x:c>
      <x:c r="AR174" t="str">
        <x:v>/Users/luodaluo/Desktop/30天复盘原始数据/补充证据_历史委托条件委托截图/05_安卓端取消与过期完整生命周期/01_已取消/Screenshot_20260722_222224.jpg</x:v>
      </x:c>
    </x:row>
    <x:row r="175">
      <x:c r="A175" s="4" t="s">
        <x:v>74</x:v>
      </x:c>
      <x:c r="B175" s="4" t="s">
        <x:v>1939</x:v>
      </x:c>
      <x:c r="C175" s="4" t="s">
        <x:v>1824</x:v>
      </x:c>
      <x:c r="D175" s="4" t="s">
        <x:v>528</x:v>
      </x:c>
      <x:c r="E175" s="4" t="s">
        <x:v>2310</x:v>
      </x:c>
      <x:c r="F175" s="65" t="s">
        <x:v>528</x:v>
      </x:c>
      <x:c r="G175" s="4" t="s">
        <x:v>1336</x:v>
      </x:c>
      <x:c r="H175" s="4" t="s">
        <x:v>1337</x:v>
      </x:c>
      <x:c r="I175" s="4" t="s">
        <x:v>1816</x:v>
      </x:c>
      <x:c r="J175" s="4" t="s">
        <x:v>199</x:v>
      </x:c>
      <x:c r="K175" s="4" t="s">
        <x:v>529</x:v>
      </x:c>
      <x:c r="L175" s="4" t="s">
        <x:v>107</x:v>
      </x:c>
      <x:c r="M175" s="4" t="s">
        <x:v>2305</x:v>
      </x:c>
      <x:c r="N175" s="4" t="s">
        <x:v>2305</x:v>
      </x:c>
      <x:c r="O175" s="4" t="s">
        <x:v>168</x:v>
      </x:c>
      <x:c r="P175" s="4" t="s">
        <x:v>1817</x:v>
      </x:c>
      <x:c r="Q175" s="4" t="s">
        <x:v>1817</x:v>
      </x:c>
      <x:c r="R175" s="4" t="s">
        <x:v>1818</x:v>
      </x:c>
      <x:c r="S175" s="4" t="s">
        <x:v>227</x:v>
      </x:c>
      <x:c r="T175" s="4" t="s">
        <x:v>1843</x:v>
      </x:c>
      <x:c r="U175" s="4" t="s">
        <x:v>521</x:v>
      </x:c>
      <x:c r="V175" s="4" t="s">
        <x:v>530</x:v>
      </x:c>
      <x:c r="W175" s="4" t="s">
        <x:v>171</x:v>
      </x:c>
      <x:c r="X175" s="4" t="s">
        <x:v>171</x:v>
      </x:c>
      <x:c r="Y175" s="4" t="s">
        <x:v>172</x:v>
      </x:c>
      <x:c r="Z175" s="4" t="s">
        <x:v>171</x:v>
      </x:c>
      <x:c r="AA175" s="4" t="s">
        <x:v>172</x:v>
      </x:c>
      <x:c r="AB175" s="4" t="s">
        <x:v>172</x:v>
      </x:c>
      <x:c r="AC175" s="4" t="s">
        <x:v>172</x:v>
      </x:c>
      <x:c r="AD175" s="4" t="s">
        <x:v>193</x:v>
      </x:c>
      <x:c r="AE175" s="4" t="s">
        <x:v>1830</x:v>
      </x:c>
      <x:c r="AF175" s="4" t="s">
        <x:v>1820</x:v>
      </x:c>
      <x:c r="AG175" s="4" t="s">
        <x:v>2311</x:v>
      </x:c>
      <x:c r="AH175" s="4" t="s">
        <x:v>172</x:v>
      </x:c>
      <x:c r="AI175" s="4" t="s">
        <x:v>1822</x:v>
      </x:c>
      <x:c r="AJ175" s="4" t="s">
        <x:v>2312</x:v>
      </x:c>
      <x:c r="AK175" s="4" t="s">
        <x:v>638</x:v>
      </x:c>
      <x:c r="AL175" s="4" t="s">
        <x:v>1823</x:v>
      </x:c>
      <x:c r="AM175" s="66"/>
      <x:c r="AP175" s="67"/>
    </x:row>
    <x:row r="176">
      <x:c r="A176" s="4" t="s">
        <x:v>74</x:v>
      </x:c>
      <x:c r="B176" s="4" t="s">
        <x:v>1944</x:v>
      </x:c>
      <x:c r="C176" s="4" t="s">
        <x:v>1824</x:v>
      </x:c>
      <x:c r="D176" s="4" t="s">
        <x:v>532</x:v>
      </x:c>
      <x:c r="E176" s="4" t="s">
        <x:v>532</x:v>
      </x:c>
      <x:c r="F176" s="65" t="s">
        <x:v>2313</x:v>
      </x:c>
      <x:c r="G176" s="4" t="s">
        <x:v>1336</x:v>
      </x:c>
      <x:c r="H176" s="4" t="s">
        <x:v>1337</x:v>
      </x:c>
      <x:c r="I176" s="4" t="s">
        <x:v>1834</x:v>
      </x:c>
      <x:c r="J176" s="4" t="s">
        <x:v>1835</x:v>
      </x:c>
      <x:c r="K176" s="4" t="s">
        <x:v>533</x:v>
      </x:c>
      <x:c r="L176" s="4" t="s">
        <x:v>169</x:v>
      </x:c>
      <x:c r="M176" s="4" t="s">
        <x:v>2314</x:v>
      </x:c>
      <x:c r="N176" s="4" t="s">
        <x:v>169</x:v>
      </x:c>
      <x:c r="O176" s="4" t="s">
        <x:v>187</x:v>
      </x:c>
      <x:c r="P176" s="4" t="s">
        <x:v>1817</x:v>
      </x:c>
      <x:c r="Q176" s="4" t="s">
        <x:v>1817</x:v>
      </x:c>
      <x:c r="R176" s="4" t="s">
        <x:v>1836</x:v>
      </x:c>
      <x:c r="S176" s="4" t="s">
        <x:v>223</x:v>
      </x:c>
      <x:c r="T176" s="4" t="s">
        <x:v>1837</x:v>
      </x:c>
      <x:c r="U176" s="4" t="s">
        <x:v>530</x:v>
      </x:c>
      <x:c r="V176" s="4" t="s">
        <x:v>530</x:v>
      </x:c>
      <x:c r="W176" s="4" t="s">
        <x:v>172</x:v>
      </x:c>
      <x:c r="X176" s="4" t="s">
        <x:v>171</x:v>
      </x:c>
      <x:c r="Y176" s="4" t="s">
        <x:v>172</x:v>
      </x:c>
      <x:c r="Z176" s="4" t="s">
        <x:v>172</x:v>
      </x:c>
      <x:c r="AA176" s="4" t="s">
        <x:v>172</x:v>
      </x:c>
      <x:c r="AB176" s="4" t="s">
        <x:v>172</x:v>
      </x:c>
      <x:c r="AC176" s="4" t="s">
        <x:v>172</x:v>
      </x:c>
      <x:c r="AD176" s="4" t="s">
        <x:v>195</x:v>
      </x:c>
      <x:c r="AE176" s="4" t="s">
        <x:v>1848</x:v>
      </x:c>
      <x:c r="AF176" s="4" t="s">
        <x:v>1830</x:v>
      </x:c>
      <x:c r="AG176" s="4" t="s">
        <x:v>2315</x:v>
      </x:c>
      <x:c r="AH176" s="4" t="s">
        <x:v>171</x:v>
      </x:c>
      <x:c r="AI176" s="4" t="s">
        <x:v>2316</x:v>
      </x:c>
      <x:c r="AJ176" s="4" t="s">
        <x:v>2317</x:v>
      </x:c>
      <x:c r="AK176" s="4" t="s">
        <x:v>169</x:v>
      </x:c>
      <x:c r="AL176" s="4" t="s">
        <x:v>1841</x:v>
      </x:c>
      <x:c r="AM176" s="66"/>
      <x:c r="AP176" s="67"/>
    </x:row>
    <x:row r="177">
      <x:c r="A177" s="4" t="s">
        <x:v>74</x:v>
      </x:c>
      <x:c r="B177" s="4" t="s">
        <x:v>1946</x:v>
      </x:c>
      <x:c r="C177" s="4" t="s">
        <x:v>1824</x:v>
      </x:c>
      <x:c r="D177" s="4" t="s">
        <x:v>535</x:v>
      </x:c>
      <x:c r="E177" s="4" t="s">
        <x:v>535</x:v>
      </x:c>
      <x:c r="F177" s="65" t="s">
        <x:v>2318</x:v>
      </x:c>
      <x:c r="G177" s="4" t="s">
        <x:v>1336</x:v>
      </x:c>
      <x:c r="H177" s="4" t="s">
        <x:v>1337</x:v>
      </x:c>
      <x:c r="I177" s="4" t="s">
        <x:v>1847</x:v>
      </x:c>
      <x:c r="J177" s="4" t="s">
        <x:v>1835</x:v>
      </x:c>
      <x:c r="K177" s="4" t="s">
        <x:v>536</x:v>
      </x:c>
      <x:c r="L177" s="4" t="s">
        <x:v>169</x:v>
      </x:c>
      <x:c r="M177" s="4" t="s">
        <x:v>530</x:v>
      </x:c>
      <x:c r="N177" s="4" t="s">
        <x:v>169</x:v>
      </x:c>
      <x:c r="O177" s="4" t="s">
        <x:v>187</x:v>
      </x:c>
      <x:c r="P177" s="4" t="s">
        <x:v>1817</x:v>
      </x:c>
      <x:c r="Q177" s="4" t="s">
        <x:v>1817</x:v>
      </x:c>
      <x:c r="R177" s="4" t="s">
        <x:v>1836</x:v>
      </x:c>
      <x:c r="S177" s="4" t="s">
        <x:v>234</x:v>
      </x:c>
      <x:c r="T177" s="4" t="s">
        <x:v>1837</x:v>
      </x:c>
      <x:c r="U177" s="4" t="s">
        <x:v>530</x:v>
      </x:c>
      <x:c r="V177" s="4" t="s">
        <x:v>530</x:v>
      </x:c>
      <x:c r="W177" s="4" t="s">
        <x:v>172</x:v>
      </x:c>
      <x:c r="X177" s="4" t="s">
        <x:v>171</x:v>
      </x:c>
      <x:c r="Y177" s="4" t="s">
        <x:v>172</x:v>
      </x:c>
      <x:c r="Z177" s="4" t="s">
        <x:v>172</x:v>
      </x:c>
      <x:c r="AA177" s="4" t="s">
        <x:v>172</x:v>
      </x:c>
      <x:c r="AB177" s="4" t="s">
        <x:v>172</x:v>
      </x:c>
      <x:c r="AC177" s="4" t="s">
        <x:v>172</x:v>
      </x:c>
      <x:c r="AD177" s="4" t="s">
        <x:v>195</x:v>
      </x:c>
      <x:c r="AE177" s="4" t="s">
        <x:v>1848</x:v>
      </x:c>
      <x:c r="AF177" s="4" t="s">
        <x:v>1830</x:v>
      </x:c>
      <x:c r="AG177" s="4" t="s">
        <x:v>2319</x:v>
      </x:c>
      <x:c r="AH177" s="4" t="s">
        <x:v>171</x:v>
      </x:c>
      <x:c r="AI177" s="4" t="s">
        <x:v>2320</x:v>
      </x:c>
      <x:c r="AJ177" s="4" t="s">
        <x:v>2321</x:v>
      </x:c>
      <x:c r="AK177" s="4" t="s">
        <x:v>169</x:v>
      </x:c>
      <x:c r="AL177" s="4" t="s">
        <x:v>1841</x:v>
      </x:c>
      <x:c r="AM177" s="66"/>
      <x:c r="AP177" s="67"/>
    </x:row>
    <x:row r="178">
      <x:c r="A178" s="4" t="s">
        <x:v>74</x:v>
      </x:c>
      <x:c r="B178" s="4" t="s">
        <x:v>1948</x:v>
      </x:c>
      <x:c r="C178" s="4" t="s">
        <x:v>1824</x:v>
      </x:c>
      <x:c r="D178" s="4" t="s">
        <x:v>538</x:v>
      </x:c>
      <x:c r="E178" s="4" t="s">
        <x:v>538</x:v>
      </x:c>
      <x:c r="F178" s="65" t="n">
        <x:v>46190.66748842593</x:v>
      </x:c>
      <x:c r="G178" s="4" t="s">
        <x:v>1336</x:v>
      </x:c>
      <x:c r="H178" s="4" t="s">
        <x:v>1337</x:v>
      </x:c>
      <x:c r="I178" s="4" t="s">
        <x:v>1825</x:v>
      </x:c>
      <x:c r="J178" s="4" t="s">
        <x:v>1826</x:v>
      </x:c>
      <x:c r="K178" s="4" t="s">
        <x:v>107</x:v>
      </x:c>
      <x:c r="L178" s="4" t="s">
        <x:v>539</x:v>
      </x:c>
      <x:c r="M178" s="4" t="s">
        <x:v>169</x:v>
      </x:c>
      <x:c r="N178" s="4" t="s">
        <x:v>169</x:v>
      </x:c>
      <x:c r="O178" s="4" t="str">
        <x:v>已取消</x:v>
      </x:c>
      <x:c r="P178" s="4" t="s">
        <x:v>171</x:v>
      </x:c>
      <x:c r="Q178" s="4" t="s">
        <x:v>1817</x:v>
      </x:c>
      <x:c r="R178" s="4" t="s">
        <x:v>1827</x:v>
      </x:c>
      <x:c r="S178" s="4" t="s">
        <x:v>1828</x:v>
      </x:c>
      <x:c r="T178" s="4" t="s">
        <x:v>1829</x:v>
      </x:c>
      <x:c r="U178" s="4" t="s">
        <x:v>530</x:v>
      </x:c>
      <x:c r="V178" s="4" t="s">
        <x:v>530</x:v>
      </x:c>
      <x:c r="W178" s="4" t="s">
        <x:v>172</x:v>
      </x:c>
      <x:c r="X178" s="4" t="s">
        <x:v>171</x:v>
      </x:c>
      <x:c r="Y178" s="4" t="s">
        <x:v>172</x:v>
      </x:c>
      <x:c r="Z178" s="4" t="s">
        <x:v>172</x:v>
      </x:c>
      <x:c r="AA178" s="4" t="s">
        <x:v>172</x:v>
      </x:c>
      <x:c r="AB178" s="4" t="s">
        <x:v>172</x:v>
      </x:c>
      <x:c r="AC178" s="4" t="s">
        <x:v>172</x:v>
      </x:c>
      <x:c r="AD178" s="4" t="str">
        <x:v>疑似连续调整</x:v>
      </x:c>
      <x:c r="AE178" s="4" t="s">
        <x:v>1830</x:v>
      </x:c>
      <x:c r="AF178" s="4" t="s">
        <x:v>1830</x:v>
      </x:c>
      <x:c r="AG178" s="4" t="str">
        <x:v>条件委托已取消；算法编号1000001994540913；创建时间2026-06-18 00:00:16；撤销时间2026-06-18 00:01:11；是否触发否；周期关联等级STRONG_CONTEXT；取消/过期原因无法确认（已完成为不适用）。</x:v>
      </x:c>
      <x:c r="AH178" s="4" t="s">
        <x:v>172</x:v>
      </x:c>
      <x:c r="AI178" s="4" t="str">
        <x:v>/Users/luodaluo/Desktop/30天复盘原始数据/补充证据_历史委托条件委托截图/05_安卓端取消与过期完整生命周期/01_已取消/Screenshot_20260722_222316.jpg</x:v>
      </x:c>
      <x:c r="AJ178" s="4" t="s">
        <x:v>2322</x:v>
      </x:c>
      <x:c r="AK178" s="4" t="s">
        <x:v>169</x:v>
      </x:c>
      <x:c r="AL178" s="4" t="s">
        <x:v>1832</x:v>
      </x:c>
      <x:c r="AM178" s="66" t="str">
        <x:v>1000001994540913</x:v>
      </x:c>
      <x:c r="AN178" t="str">
        <x:v>撤销</x:v>
      </x:c>
      <x:c r="AO178" t="str">
        <x:v>否</x:v>
      </x:c>
      <x:c r="AP178" s="67" t="n">
        <x:v>46190.66748842593</x:v>
      </x:c>
      <x:c r="AQ178" t="str">
        <x:v>STRONG_CONTEXT</x:v>
      </x:c>
      <x:c r="AR178" t="str">
        <x:v>/Users/luodaluo/Desktop/30天复盘原始数据/补充证据_历史委托条件委托截图/05_安卓端取消与过期完整生命周期/01_已取消/Screenshot_20260722_222316.jpg</x:v>
      </x:c>
    </x:row>
    <x:row r="179">
      <x:c r="A179" s="4" t="s">
        <x:v>74</x:v>
      </x:c>
      <x:c r="B179" s="4" t="s">
        <x:v>1953</x:v>
      </x:c>
      <x:c r="C179" s="4" t="s">
        <x:v>1824</x:v>
      </x:c>
      <x:c r="D179" s="4" t="s">
        <x:v>538</x:v>
      </x:c>
      <x:c r="E179" s="4" t="s">
        <x:v>538</x:v>
      </x:c>
      <x:c r="F179" s="65" t="n">
        <x:v>46190.69497685185</x:v>
      </x:c>
      <x:c r="G179" s="4" t="s">
        <x:v>1336</x:v>
      </x:c>
      <x:c r="H179" s="4" t="s">
        <x:v>1337</x:v>
      </x:c>
      <x:c r="I179" s="4" t="s">
        <x:v>1825</x:v>
      </x:c>
      <x:c r="J179" s="4" t="s">
        <x:v>203</x:v>
      </x:c>
      <x:c r="K179" s="4" t="s">
        <x:v>107</x:v>
      </x:c>
      <x:c r="L179" s="4" t="s">
        <x:v>536</x:v>
      </x:c>
      <x:c r="M179" s="4" t="s">
        <x:v>169</x:v>
      </x:c>
      <x:c r="N179" s="4" t="s">
        <x:v>169</x:v>
      </x:c>
      <x:c r="O179" s="4" t="str">
        <x:v>已取消</x:v>
      </x:c>
      <x:c r="P179" s="4" t="s">
        <x:v>171</x:v>
      </x:c>
      <x:c r="Q179" s="4" t="s">
        <x:v>1817</x:v>
      </x:c>
      <x:c r="R179" s="4" t="s">
        <x:v>1827</x:v>
      </x:c>
      <x:c r="S179" s="4" t="s">
        <x:v>2106</x:v>
      </x:c>
      <x:c r="T179" s="4" t="s">
        <x:v>1829</x:v>
      </x:c>
      <x:c r="U179" s="4" t="s">
        <x:v>530</x:v>
      </x:c>
      <x:c r="V179" s="4" t="s">
        <x:v>530</x:v>
      </x:c>
      <x:c r="W179" s="4" t="s">
        <x:v>172</x:v>
      </x:c>
      <x:c r="X179" s="4" t="s">
        <x:v>171</x:v>
      </x:c>
      <x:c r="Y179" s="4" t="s">
        <x:v>172</x:v>
      </x:c>
      <x:c r="Z179" s="4" t="s">
        <x:v>172</x:v>
      </x:c>
      <x:c r="AA179" s="4" t="s">
        <x:v>172</x:v>
      </x:c>
      <x:c r="AB179" s="4" t="s">
        <x:v>172</x:v>
      </x:c>
      <x:c r="AC179" s="4" t="s">
        <x:v>172</x:v>
      </x:c>
      <x:c r="AD179" s="4" t="str">
        <x:v>疑似连续调整</x:v>
      </x:c>
      <x:c r="AE179" s="4" t="s">
        <x:v>1830</x:v>
      </x:c>
      <x:c r="AF179" s="4" t="s">
        <x:v>1830</x:v>
      </x:c>
      <x:c r="AG179" s="4" t="str">
        <x:v>条件委托已取消；算法编号1000001994540911；创建时间2026-06-18 00:00:16；撤销时间2026-06-18 00:40:46；是否触发否；周期关联等级STRONG_CONTEXT；取消/过期原因无法确认（已完成为不适用）。</x:v>
      </x:c>
      <x:c r="AH179" s="4" t="s">
        <x:v>172</x:v>
      </x:c>
      <x:c r="AI179" s="4" t="str">
        <x:v>/Users/luodaluo/Desktop/30天复盘原始数据/补充证据_历史委托条件委托截图/05_安卓端取消与过期完整生命周期/01_已取消/Screenshot_20260722_222228.jpg</x:v>
      </x:c>
      <x:c r="AJ179" s="4" t="s">
        <x:v>2323</x:v>
      </x:c>
      <x:c r="AK179" s="4" t="s">
        <x:v>169</x:v>
      </x:c>
      <x:c r="AL179" s="4" t="s">
        <x:v>1832</x:v>
      </x:c>
      <x:c r="AM179" s="66" t="str">
        <x:v>1000001994540911</x:v>
      </x:c>
      <x:c r="AN179" t="str">
        <x:v>撤销</x:v>
      </x:c>
      <x:c r="AO179" t="str">
        <x:v>否</x:v>
      </x:c>
      <x:c r="AP179" s="67" t="n">
        <x:v>46190.69497685185</x:v>
      </x:c>
      <x:c r="AQ179" t="str">
        <x:v>STRONG_CONTEXT</x:v>
      </x:c>
      <x:c r="AR179" t="str">
        <x:v>/Users/luodaluo/Desktop/30天复盘原始数据/补充证据_历史委托条件委托截图/05_安卓端取消与过期完整生命周期/01_已取消/Screenshot_20260722_222228.jpg</x:v>
      </x:c>
    </x:row>
    <x:row r="180">
      <x:c r="A180" s="4" t="s">
        <x:v>74</x:v>
      </x:c>
      <x:c r="B180" s="4" t="s">
        <x:v>1955</x:v>
      </x:c>
      <x:c r="C180" s="4" t="s">
        <x:v>1824</x:v>
      </x:c>
      <x:c r="D180" s="4" t="s">
        <x:v>540</x:v>
      </x:c>
      <x:c r="E180" s="4" t="s">
        <x:v>540</x:v>
      </x:c>
      <x:c r="F180" s="65" t="n">
        <x:v>46190.695810185185</x:v>
      </x:c>
      <x:c r="G180" s="4" t="s">
        <x:v>1336</x:v>
      </x:c>
      <x:c r="H180" s="4" t="s">
        <x:v>1337</x:v>
      </x:c>
      <x:c r="I180" s="4" t="s">
        <x:v>1825</x:v>
      </x:c>
      <x:c r="J180" s="4" t="s">
        <x:v>1826</x:v>
      </x:c>
      <x:c r="K180" s="4" t="s">
        <x:v>107</x:v>
      </x:c>
      <x:c r="L180" s="4" t="s">
        <x:v>541</x:v>
      </x:c>
      <x:c r="M180" s="4" t="s">
        <x:v>169</x:v>
      </x:c>
      <x:c r="N180" s="4" t="s">
        <x:v>169</x:v>
      </x:c>
      <x:c r="O180" s="4" t="str">
        <x:v>已取消</x:v>
      </x:c>
      <x:c r="P180" s="4" t="s">
        <x:v>171</x:v>
      </x:c>
      <x:c r="Q180" s="4" t="s">
        <x:v>1817</x:v>
      </x:c>
      <x:c r="R180" s="4" t="s">
        <x:v>1827</x:v>
      </x:c>
      <x:c r="S180" s="4" t="s">
        <x:v>1828</x:v>
      </x:c>
      <x:c r="T180" s="4" t="s">
        <x:v>1829</x:v>
      </x:c>
      <x:c r="U180" s="4" t="s">
        <x:v>530</x:v>
      </x:c>
      <x:c r="V180" s="4" t="s">
        <x:v>530</x:v>
      </x:c>
      <x:c r="W180" s="4" t="s">
        <x:v>172</x:v>
      </x:c>
      <x:c r="X180" s="4" t="s">
        <x:v>171</x:v>
      </x:c>
      <x:c r="Y180" s="4" t="s">
        <x:v>172</x:v>
      </x:c>
      <x:c r="Z180" s="4" t="s">
        <x:v>172</x:v>
      </x:c>
      <x:c r="AA180" s="4" t="s">
        <x:v>172</x:v>
      </x:c>
      <x:c r="AB180" s="4" t="s">
        <x:v>172</x:v>
      </x:c>
      <x:c r="AC180" s="4" t="s">
        <x:v>172</x:v>
      </x:c>
      <x:c r="AD180" s="4" t="str">
        <x:v>疑似连续调整</x:v>
      </x:c>
      <x:c r="AE180" s="4" t="s">
        <x:v>1830</x:v>
      </x:c>
      <x:c r="AF180" s="4" t="s">
        <x:v>1830</x:v>
      </x:c>
      <x:c r="AG180" s="4" t="str">
        <x:v>条件委托已取消；算法编号1000001994548658；创建时间2026-06-18 00:01:11；撤销时间2026-06-18 00:41:58；是否触发否；周期关联等级STRONG_CONTEXT；取消/过期原因无法确认（已完成为不适用）。</x:v>
      </x:c>
      <x:c r="AH180" s="4" t="s">
        <x:v>172</x:v>
      </x:c>
      <x:c r="AI180" s="4" t="str">
        <x:v>/Users/luodaluo/Desktop/30天复盘原始数据/补充证据_历史委托条件委托截图/05_安卓端取消与过期完整生命周期/01_已取消/Screenshot_20260722_222324.jpg</x:v>
      </x:c>
      <x:c r="AJ180" s="4" t="s">
        <x:v>2324</x:v>
      </x:c>
      <x:c r="AK180" s="4" t="s">
        <x:v>169</x:v>
      </x:c>
      <x:c r="AL180" s="4" t="s">
        <x:v>1832</x:v>
      </x:c>
      <x:c r="AM180" s="66" t="str">
        <x:v>1000001994548658</x:v>
      </x:c>
      <x:c r="AN180" t="str">
        <x:v>撤销</x:v>
      </x:c>
      <x:c r="AO180" t="str">
        <x:v>否</x:v>
      </x:c>
      <x:c r="AP180" s="67" t="n">
        <x:v>46190.695810185185</x:v>
      </x:c>
      <x:c r="AQ180" t="str">
        <x:v>STRONG_CONTEXT</x:v>
      </x:c>
      <x:c r="AR180" t="str">
        <x:v>/Users/luodaluo/Desktop/30天复盘原始数据/补充证据_历史委托条件委托截图/05_安卓端取消与过期完整生命周期/01_已取消/Screenshot_20260722_222324.jpg</x:v>
      </x:c>
    </x:row>
    <x:row r="181">
      <x:c r="A181" s="4" t="s">
        <x:v>74</x:v>
      </x:c>
      <x:c r="B181" s="4" t="s">
        <x:v>1960</x:v>
      </x:c>
      <x:c r="C181" s="4" t="s">
        <x:v>1824</x:v>
      </x:c>
      <x:c r="D181" s="4" t="s">
        <x:v>542</x:v>
      </x:c>
      <x:c r="E181" s="4" t="s">
        <x:v>542</x:v>
      </x:c>
      <x:c r="F181" s="65" t="s">
        <x:v>2325</x:v>
      </x:c>
      <x:c r="G181" s="4" t="s">
        <x:v>1336</x:v>
      </x:c>
      <x:c r="H181" s="4" t="s">
        <x:v>1337</x:v>
      </x:c>
      <x:c r="I181" s="4" t="s">
        <x:v>1834</x:v>
      </x:c>
      <x:c r="J181" s="4" t="s">
        <x:v>1835</x:v>
      </x:c>
      <x:c r="K181" s="4" t="s">
        <x:v>327</x:v>
      </x:c>
      <x:c r="L181" s="4" t="s">
        <x:v>169</x:v>
      </x:c>
      <x:c r="M181" s="4" t="s">
        <x:v>2326</x:v>
      </x:c>
      <x:c r="N181" s="4" t="s">
        <x:v>169</x:v>
      </x:c>
      <x:c r="O181" s="4" t="s">
        <x:v>187</x:v>
      </x:c>
      <x:c r="P181" s="4" t="s">
        <x:v>1817</x:v>
      </x:c>
      <x:c r="Q181" s="4" t="s">
        <x:v>1817</x:v>
      </x:c>
      <x:c r="R181" s="4" t="s">
        <x:v>1836</x:v>
      </x:c>
      <x:c r="S181" s="4" t="s">
        <x:v>223</x:v>
      </x:c>
      <x:c r="T181" s="4" t="s">
        <x:v>1837</x:v>
      </x:c>
      <x:c r="U181" s="4" t="s">
        <x:v>530</x:v>
      </x:c>
      <x:c r="V181" s="4" t="s">
        <x:v>530</x:v>
      </x:c>
      <x:c r="W181" s="4" t="s">
        <x:v>172</x:v>
      </x:c>
      <x:c r="X181" s="4" t="s">
        <x:v>171</x:v>
      </x:c>
      <x:c r="Y181" s="4" t="s">
        <x:v>172</x:v>
      </x:c>
      <x:c r="Z181" s="4" t="s">
        <x:v>172</x:v>
      </x:c>
      <x:c r="AA181" s="4" t="s">
        <x:v>172</x:v>
      </x:c>
      <x:c r="AB181" s="4" t="s">
        <x:v>172</x:v>
      </x:c>
      <x:c r="AC181" s="4" t="s">
        <x:v>172</x:v>
      </x:c>
      <x:c r="AD181" s="4" t="s">
        <x:v>195</x:v>
      </x:c>
      <x:c r="AE181" s="4" t="s">
        <x:v>1848</x:v>
      </x:c>
      <x:c r="AF181" s="4" t="s">
        <x:v>1830</x:v>
      </x:c>
      <x:c r="AG181" s="4" t="s">
        <x:v>2315</x:v>
      </x:c>
      <x:c r="AH181" s="4" t="s">
        <x:v>171</x:v>
      </x:c>
      <x:c r="AI181" s="4" t="s">
        <x:v>2327</x:v>
      </x:c>
      <x:c r="AJ181" s="4" t="s">
        <x:v>2328</x:v>
      </x:c>
      <x:c r="AK181" s="4" t="s">
        <x:v>169</x:v>
      </x:c>
      <x:c r="AL181" s="4" t="s">
        <x:v>1841</x:v>
      </x:c>
      <x:c r="AM181" s="66"/>
      <x:c r="AP181" s="67"/>
    </x:row>
    <x:row r="182">
      <x:c r="A182" s="4" t="s">
        <x:v>74</x:v>
      </x:c>
      <x:c r="B182" s="4" t="s">
        <x:v>1965</x:v>
      </x:c>
      <x:c r="C182" s="4" t="s">
        <x:v>1824</x:v>
      </x:c>
      <x:c r="D182" s="4" t="s">
        <x:v>543</x:v>
      </x:c>
      <x:c r="E182" s="4" t="s">
        <x:v>543</x:v>
      </x:c>
      <x:c r="F182" s="65" t="s">
        <x:v>2329</x:v>
      </x:c>
      <x:c r="G182" s="4" t="s">
        <x:v>1336</x:v>
      </x:c>
      <x:c r="H182" s="4" t="s">
        <x:v>1337</x:v>
      </x:c>
      <x:c r="I182" s="4" t="s">
        <x:v>1847</x:v>
      </x:c>
      <x:c r="J182" s="4" t="s">
        <x:v>1835</x:v>
      </x:c>
      <x:c r="K182" s="4" t="s">
        <x:v>544</x:v>
      </x:c>
      <x:c r="L182" s="4" t="s">
        <x:v>169</x:v>
      </x:c>
      <x:c r="M182" s="4" t="s">
        <x:v>530</x:v>
      </x:c>
      <x:c r="N182" s="4" t="s">
        <x:v>169</x:v>
      </x:c>
      <x:c r="O182" s="4" t="s">
        <x:v>187</x:v>
      </x:c>
      <x:c r="P182" s="4" t="s">
        <x:v>1817</x:v>
      </x:c>
      <x:c r="Q182" s="4" t="s">
        <x:v>1817</x:v>
      </x:c>
      <x:c r="R182" s="4" t="s">
        <x:v>1836</x:v>
      </x:c>
      <x:c r="S182" s="4" t="s">
        <x:v>234</x:v>
      </x:c>
      <x:c r="T182" s="4" t="s">
        <x:v>1837</x:v>
      </x:c>
      <x:c r="U182" s="4" t="s">
        <x:v>530</x:v>
      </x:c>
      <x:c r="V182" s="4" t="s">
        <x:v>530</x:v>
      </x:c>
      <x:c r="W182" s="4" t="s">
        <x:v>172</x:v>
      </x:c>
      <x:c r="X182" s="4" t="s">
        <x:v>171</x:v>
      </x:c>
      <x:c r="Y182" s="4" t="s">
        <x:v>172</x:v>
      </x:c>
      <x:c r="Z182" s="4" t="s">
        <x:v>172</x:v>
      </x:c>
      <x:c r="AA182" s="4" t="s">
        <x:v>172</x:v>
      </x:c>
      <x:c r="AB182" s="4" t="s">
        <x:v>172</x:v>
      </x:c>
      <x:c r="AC182" s="4" t="s">
        <x:v>172</x:v>
      </x:c>
      <x:c r="AD182" s="4" t="s">
        <x:v>195</x:v>
      </x:c>
      <x:c r="AE182" s="4" t="s">
        <x:v>1848</x:v>
      </x:c>
      <x:c r="AF182" s="4" t="s">
        <x:v>1830</x:v>
      </x:c>
      <x:c r="AG182" s="4" t="s">
        <x:v>2319</x:v>
      </x:c>
      <x:c r="AH182" s="4" t="s">
        <x:v>171</x:v>
      </x:c>
      <x:c r="AI182" s="4" t="s">
        <x:v>2330</x:v>
      </x:c>
      <x:c r="AJ182" s="4" t="s">
        <x:v>2331</x:v>
      </x:c>
      <x:c r="AK182" s="4" t="s">
        <x:v>169</x:v>
      </x:c>
      <x:c r="AL182" s="4" t="s">
        <x:v>1841</x:v>
      </x:c>
      <x:c r="AM182" s="66"/>
      <x:c r="AP182" s="67"/>
    </x:row>
    <x:row r="183">
      <x:c r="A183" s="4" t="s">
        <x:v>74</x:v>
      </x:c>
      <x:c r="B183" s="4" t="s">
        <x:v>1969</x:v>
      </x:c>
      <x:c r="C183" s="4" t="s">
        <x:v>1824</x:v>
      </x:c>
      <x:c r="D183" s="4" t="s">
        <x:v>545</x:v>
      </x:c>
      <x:c r="E183" s="4" t="s">
        <x:v>545</x:v>
      </x:c>
      <x:c r="F183" s="65" t="n">
        <x:v>46190.73136574074</x:v>
      </x:c>
      <x:c r="G183" s="4" t="s">
        <x:v>1336</x:v>
      </x:c>
      <x:c r="H183" s="4" t="s">
        <x:v>1337</x:v>
      </x:c>
      <x:c r="I183" s="4" t="s">
        <x:v>1825</x:v>
      </x:c>
      <x:c r="J183" s="4" t="s">
        <x:v>1826</x:v>
      </x:c>
      <x:c r="K183" s="4" t="s">
        <x:v>107</x:v>
      </x:c>
      <x:c r="L183" s="4" t="s">
        <x:v>527</x:v>
      </x:c>
      <x:c r="M183" s="4" t="s">
        <x:v>169</x:v>
      </x:c>
      <x:c r="N183" s="4" t="s">
        <x:v>169</x:v>
      </x:c>
      <x:c r="O183" s="4" t="str">
        <x:v>已取消</x:v>
      </x:c>
      <x:c r="P183" s="4" t="s">
        <x:v>171</x:v>
      </x:c>
      <x:c r="Q183" s="4" t="s">
        <x:v>1817</x:v>
      </x:c>
      <x:c r="R183" s="4" t="s">
        <x:v>1827</x:v>
      </x:c>
      <x:c r="S183" s="4" t="s">
        <x:v>1828</x:v>
      </x:c>
      <x:c r="T183" s="4" t="s">
        <x:v>1829</x:v>
      </x:c>
      <x:c r="U183" s="4" t="s">
        <x:v>530</x:v>
      </x:c>
      <x:c r="V183" s="4" t="s">
        <x:v>530</x:v>
      </x:c>
      <x:c r="W183" s="4" t="s">
        <x:v>172</x:v>
      </x:c>
      <x:c r="X183" s="4" t="s">
        <x:v>171</x:v>
      </x:c>
      <x:c r="Y183" s="4" t="s">
        <x:v>172</x:v>
      </x:c>
      <x:c r="Z183" s="4" t="s">
        <x:v>172</x:v>
      </x:c>
      <x:c r="AA183" s="4" t="s">
        <x:v>172</x:v>
      </x:c>
      <x:c r="AB183" s="4" t="s">
        <x:v>172</x:v>
      </x:c>
      <x:c r="AC183" s="4" t="s">
        <x:v>172</x:v>
      </x:c>
      <x:c r="AD183" s="4" t="str">
        <x:v>疑似连续调整</x:v>
      </x:c>
      <x:c r="AE183" s="4" t="s">
        <x:v>1830</x:v>
      </x:c>
      <x:c r="AF183" s="4" t="s">
        <x:v>1830</x:v>
      </x:c>
      <x:c r="AG183" s="4" t="str">
        <x:v>条件委托已取消；算法编号1000001994901412；创建时间2026-06-18 00:41:58；撤销时间2026-06-18 01:33:10；是否触发否；周期关联等级STRONG_CONTEXT；取消/过期原因无法确认（已完成为不适用）。</x:v>
      </x:c>
      <x:c r="AH183" s="4" t="s">
        <x:v>172</x:v>
      </x:c>
      <x:c r="AI183" s="4" t="str">
        <x:v>/Users/luodaluo/Desktop/30天复盘原始数据/补充证据_历史委托条件委托截图/05_安卓端取消与过期完整生命周期/01_已取消/Screenshot_20260722_222329.jpg</x:v>
      </x:c>
      <x:c r="AJ183" s="4" t="s">
        <x:v>2332</x:v>
      </x:c>
      <x:c r="AK183" s="4" t="s">
        <x:v>169</x:v>
      </x:c>
      <x:c r="AL183" s="4" t="s">
        <x:v>1832</x:v>
      </x:c>
      <x:c r="AM183" s="66" t="str">
        <x:v>1000001994901412</x:v>
      </x:c>
      <x:c r="AN183" t="str">
        <x:v>撤销</x:v>
      </x:c>
      <x:c r="AO183" t="str">
        <x:v>否</x:v>
      </x:c>
      <x:c r="AP183" s="67" t="n">
        <x:v>46190.73136574074</x:v>
      </x:c>
      <x:c r="AQ183" t="str">
        <x:v>STRONG_CONTEXT</x:v>
      </x:c>
      <x:c r="AR183" t="str">
        <x:v>/Users/luodaluo/Desktop/30天复盘原始数据/补充证据_历史委托条件委托截图/05_安卓端取消与过期完整生命周期/01_已取消/Screenshot_20260722_222329.jpg</x:v>
      </x:c>
    </x:row>
    <x:row r="184">
      <x:c r="A184" s="4" t="s">
        <x:v>74</x:v>
      </x:c>
      <x:c r="B184" s="4" t="s">
        <x:v>1971</x:v>
      </x:c>
      <x:c r="C184" s="4" t="s">
        <x:v>1824</x:v>
      </x:c>
      <x:c r="D184" s="4" t="s">
        <x:v>546</x:v>
      </x:c>
      <x:c r="E184" s="4" t="s">
        <x:v>546</x:v>
      </x:c>
      <x:c r="F184" s="65" t="s">
        <x:v>2333</x:v>
      </x:c>
      <x:c r="G184" s="4" t="s">
        <x:v>1336</x:v>
      </x:c>
      <x:c r="H184" s="4" t="s">
        <x:v>1337</x:v>
      </x:c>
      <x:c r="I184" s="4" t="s">
        <x:v>1847</x:v>
      </x:c>
      <x:c r="J184" s="4" t="s">
        <x:v>1835</x:v>
      </x:c>
      <x:c r="K184" s="4" t="s">
        <x:v>547</x:v>
      </x:c>
      <x:c r="L184" s="4" t="s">
        <x:v>169</x:v>
      </x:c>
      <x:c r="M184" s="4" t="s">
        <x:v>530</x:v>
      </x:c>
      <x:c r="N184" s="4" t="s">
        <x:v>169</x:v>
      </x:c>
      <x:c r="O184" s="4" t="s">
        <x:v>187</x:v>
      </x:c>
      <x:c r="P184" s="4" t="s">
        <x:v>1817</x:v>
      </x:c>
      <x:c r="Q184" s="4" t="s">
        <x:v>1817</x:v>
      </x:c>
      <x:c r="R184" s="4" t="s">
        <x:v>1836</x:v>
      </x:c>
      <x:c r="S184" s="4" t="s">
        <x:v>234</x:v>
      </x:c>
      <x:c r="T184" s="4" t="s">
        <x:v>1837</x:v>
      </x:c>
      <x:c r="U184" s="4" t="s">
        <x:v>530</x:v>
      </x:c>
      <x:c r="V184" s="4" t="s">
        <x:v>530</x:v>
      </x:c>
      <x:c r="W184" s="4" t="s">
        <x:v>172</x:v>
      </x:c>
      <x:c r="X184" s="4" t="s">
        <x:v>171</x:v>
      </x:c>
      <x:c r="Y184" s="4" t="s">
        <x:v>172</x:v>
      </x:c>
      <x:c r="Z184" s="4" t="s">
        <x:v>172</x:v>
      </x:c>
      <x:c r="AA184" s="4" t="s">
        <x:v>172</x:v>
      </x:c>
      <x:c r="AB184" s="4" t="s">
        <x:v>172</x:v>
      </x:c>
      <x:c r="AC184" s="4" t="s">
        <x:v>172</x:v>
      </x:c>
      <x:c r="AD184" s="4" t="s">
        <x:v>193</x:v>
      </x:c>
      <x:c r="AE184" s="4" t="s">
        <x:v>1830</x:v>
      </x:c>
      <x:c r="AF184" s="4" t="s">
        <x:v>1830</x:v>
      </x:c>
      <x:c r="AG184" s="4" t="s">
        <x:v>2319</x:v>
      </x:c>
      <x:c r="AH184" s="4" t="s">
        <x:v>172</x:v>
      </x:c>
      <x:c r="AI184" s="4" t="s">
        <x:v>2334</x:v>
      </x:c>
      <x:c r="AJ184" s="4" t="s">
        <x:v>2335</x:v>
      </x:c>
      <x:c r="AK184" s="4" t="s">
        <x:v>169</x:v>
      </x:c>
      <x:c r="AL184" s="4" t="s">
        <x:v>1841</x:v>
      </x:c>
      <x:c r="AM184" s="66"/>
      <x:c r="AP184" s="67"/>
    </x:row>
    <x:row r="185">
      <x:c r="A185" s="4" t="s">
        <x:v>74</x:v>
      </x:c>
      <x:c r="B185" s="4" t="s">
        <x:v>1975</x:v>
      </x:c>
      <x:c r="C185" s="4" t="s">
        <x:v>1824</x:v>
      </x:c>
      <x:c r="D185" s="4" t="s">
        <x:v>549</x:v>
      </x:c>
      <x:c r="E185" s="4" t="s">
        <x:v>549</x:v>
      </x:c>
      <x:c r="F185" s="65" t="n">
        <x:v>46190.75027777778</x:v>
      </x:c>
      <x:c r="G185" s="4" t="s">
        <x:v>1336</x:v>
      </x:c>
      <x:c r="H185" s="4" t="s">
        <x:v>1337</x:v>
      </x:c>
      <x:c r="I185" s="4" t="s">
        <x:v>1825</x:v>
      </x:c>
      <x:c r="J185" s="4" t="s">
        <x:v>1826</x:v>
      </x:c>
      <x:c r="K185" s="4" t="s">
        <x:v>107</x:v>
      </x:c>
      <x:c r="L185" s="4" t="s">
        <x:v>550</x:v>
      </x:c>
      <x:c r="M185" s="4" t="s">
        <x:v>169</x:v>
      </x:c>
      <x:c r="N185" s="4" t="s">
        <x:v>169</x:v>
      </x:c>
      <x:c r="O185" s="4" t="str">
        <x:v>已过期</x:v>
      </x:c>
      <x:c r="P185" s="4" t="s">
        <x:v>171</x:v>
      </x:c>
      <x:c r="Q185" s="4" t="s">
        <x:v>1817</x:v>
      </x:c>
      <x:c r="R185" s="4" t="s">
        <x:v>1827</x:v>
      </x:c>
      <x:c r="S185" s="4" t="s">
        <x:v>1828</x:v>
      </x:c>
      <x:c r="T185" s="4" t="s">
        <x:v>1829</x:v>
      </x:c>
      <x:c r="U185" s="4" t="s">
        <x:v>530</x:v>
      </x:c>
      <x:c r="V185" s="4" t="s">
        <x:v>530</x:v>
      </x:c>
      <x:c r="W185" s="4" t="s">
        <x:v>172</x:v>
      </x:c>
      <x:c r="X185" s="4" t="s">
        <x:v>171</x:v>
      </x:c>
      <x:c r="Y185" s="4" t="s">
        <x:v>172</x:v>
      </x:c>
      <x:c r="Z185" s="4" t="s">
        <x:v>172</x:v>
      </x:c>
      <x:c r="AA185" s="4" t="s">
        <x:v>172</x:v>
      </x:c>
      <x:c r="AB185" s="4" t="s">
        <x:v>172</x:v>
      </x:c>
      <x:c r="AC185" s="4" t="s">
        <x:v>172</x:v>
      </x:c>
      <x:c r="AD185" s="4" t="str">
        <x:v>疑似连续调整</x:v>
      </x:c>
      <x:c r="AE185" s="4" t="s">
        <x:v>1830</x:v>
      </x:c>
      <x:c r="AF185" s="4" t="s">
        <x:v>1830</x:v>
      </x:c>
      <x:c r="AG185" s="4" t="str">
        <x:v>条件委托已过期；算法编号1000001995274327；创建时间2026-06-18 01:33:10；过期时间2026-06-18 02:00:24；是否触发否；周期关联等级STRONG_CONTEXT；取消/过期原因无法确认（已完成为不适用）。</x:v>
      </x:c>
      <x:c r="AH185" s="4" t="s">
        <x:v>172</x:v>
      </x:c>
      <x:c r="AI185" s="4" t="str">
        <x:v>/Users/luodaluo/Desktop/30天复盘原始数据/补充证据_历史委托条件委托截图/05_安卓端取消与过期完整生命周期/02_已过期/Screenshot_20260722_201634.jpg</x:v>
      </x:c>
      <x:c r="AJ185" s="4" t="s">
        <x:v>2336</x:v>
      </x:c>
      <x:c r="AK185" s="4" t="s">
        <x:v>169</x:v>
      </x:c>
      <x:c r="AL185" s="4" t="s">
        <x:v>1832</x:v>
      </x:c>
      <x:c r="AM185" s="66" t="str">
        <x:v>1000001995274327</x:v>
      </x:c>
      <x:c r="AN185" t="str">
        <x:v>过期</x:v>
      </x:c>
      <x:c r="AO185" t="str">
        <x:v>否</x:v>
      </x:c>
      <x:c r="AP185" s="67" t="n">
        <x:v>46190.75027777778</x:v>
      </x:c>
      <x:c r="AQ185" t="str">
        <x:v>STRONG_CONTEXT</x:v>
      </x:c>
      <x:c r="AR185" t="str">
        <x:v>/Users/luodaluo/Desktop/30天复盘原始数据/补充证据_历史委托条件委托截图/05_安卓端取消与过期完整生命周期/02_已过期/Screenshot_20260722_201634.jpg</x:v>
      </x:c>
    </x:row>
    <x:row r="186">
      <x:c r="A186" s="4" t="s">
        <x:v>74</x:v>
      </x:c>
      <x:c r="B186" s="4" t="s">
        <x:v>1978</x:v>
      </x:c>
      <x:c r="C186" s="4" t="s">
        <x:v>1824</x:v>
      </x:c>
      <x:c r="D186" s="4" t="s">
        <x:v>551</x:v>
      </x:c>
      <x:c r="E186" s="4" t="s">
        <x:v>2337</x:v>
      </x:c>
      <x:c r="F186" s="65" t="s">
        <x:v>551</x:v>
      </x:c>
      <x:c r="G186" s="4" t="s">
        <x:v>1336</x:v>
      </x:c>
      <x:c r="H186" s="4" t="s">
        <x:v>1337</x:v>
      </x:c>
      <x:c r="I186" s="4" t="s">
        <x:v>1852</x:v>
      </x:c>
      <x:c r="J186" s="4" t="s">
        <x:v>199</x:v>
      </x:c>
      <x:c r="K186" s="4" t="s">
        <x:v>552</x:v>
      </x:c>
      <x:c r="L186" s="4" t="s">
        <x:v>107</x:v>
      </x:c>
      <x:c r="M186" s="4" t="s">
        <x:v>530</x:v>
      </x:c>
      <x:c r="N186" s="4" t="s">
        <x:v>530</x:v>
      </x:c>
      <x:c r="O186" s="4" t="s">
        <x:v>168</x:v>
      </x:c>
      <x:c r="P186" s="4" t="s">
        <x:v>1817</x:v>
      </x:c>
      <x:c r="Q186" s="4" t="s">
        <x:v>1817</x:v>
      </x:c>
      <x:c r="R186" s="4" t="s">
        <x:v>1818</x:v>
      </x:c>
      <x:c r="S186" s="4" t="s">
        <x:v>208</x:v>
      </x:c>
      <x:c r="T186" s="4" t="s">
        <x:v>1853</x:v>
      </x:c>
      <x:c r="U186" s="4" t="s">
        <x:v>530</x:v>
      </x:c>
      <x:c r="V186" s="4" t="s">
        <x:v>169</x:v>
      </x:c>
      <x:c r="W186" s="4" t="s">
        <x:v>171</x:v>
      </x:c>
      <x:c r="X186" s="4" t="s">
        <x:v>171</x:v>
      </x:c>
      <x:c r="Y186" s="4" t="s">
        <x:v>172</x:v>
      </x:c>
      <x:c r="Z186" s="4" t="s">
        <x:v>172</x:v>
      </x:c>
      <x:c r="AA186" s="4" t="s">
        <x:v>172</x:v>
      </x:c>
      <x:c r="AB186" s="4" t="s">
        <x:v>171</x:v>
      </x:c>
      <x:c r="AC186" s="4" t="s">
        <x:v>172</x:v>
      </x:c>
      <x:c r="AD186" s="4" t="s">
        <x:v>193</x:v>
      </x:c>
      <x:c r="AE186" s="4" t="s">
        <x:v>1830</x:v>
      </x:c>
      <x:c r="AF186" s="4" t="s">
        <x:v>1820</x:v>
      </x:c>
      <x:c r="AG186" s="4" t="s">
        <x:v>2338</x:v>
      </x:c>
      <x:c r="AH186" s="4" t="s">
        <x:v>172</x:v>
      </x:c>
      <x:c r="AI186" s="4" t="s">
        <x:v>1822</x:v>
      </x:c>
      <x:c r="AJ186" s="4" t="s">
        <x:v>1662</x:v>
      </x:c>
      <x:c r="AK186" s="4" t="s">
        <x:v>200</x:v>
      </x:c>
      <x:c r="AL186" s="4" t="s">
        <x:v>1823</x:v>
      </x:c>
      <x:c r="AM186" s="66"/>
      <x:c r="AP186" s="67"/>
    </x:row>
    <x:row r="187">
      <x:c r="A187" s="4" t="s">
        <x:v>74</x:v>
      </x:c>
      <x:c r="B187" s="4" t="s">
        <x:v>1980</x:v>
      </x:c>
      <x:c r="C187" s="4" t="s">
        <x:v>1856</x:v>
      </x:c>
      <x:c r="D187" s="4" t="s">
        <x:v>551</x:v>
      </x:c>
      <x:c r="E187" s="4" t="s">
        <x:v>107</x:v>
      </x:c>
      <x:c r="F187" s="65" t="s">
        <x:v>107</x:v>
      </x:c>
      <x:c r="G187" s="4" t="s">
        <x:v>1336</x:v>
      </x:c>
      <x:c r="H187" s="4" t="s">
        <x:v>1337</x:v>
      </x:c>
      <x:c r="I187" s="4" t="s">
        <x:v>107</x:v>
      </x:c>
      <x:c r="J187" s="4" t="s">
        <x:v>107</x:v>
      </x:c>
      <x:c r="K187" s="4" t="s">
        <x:v>107</x:v>
      </x:c>
      <x:c r="L187" s="4" t="s">
        <x:v>107</x:v>
      </x:c>
      <x:c r="M187" s="4" t="s">
        <x:v>107</x:v>
      </x:c>
      <x:c r="N187" s="4" t="s">
        <x:v>107</x:v>
      </x:c>
      <x:c r="O187" s="4" t="s">
        <x:v>107</x:v>
      </x:c>
      <x:c r="P187" s="4" t="s">
        <x:v>107</x:v>
      </x:c>
      <x:c r="Q187" s="4" t="s">
        <x:v>107</x:v>
      </x:c>
      <x:c r="R187" s="4" t="s">
        <x:v>1857</x:v>
      </x:c>
      <x:c r="S187" s="4" t="s">
        <x:v>213</x:v>
      </x:c>
      <x:c r="T187" s="4" t="s">
        <x:v>1858</x:v>
      </x:c>
      <x:c r="U187" s="4" t="s">
        <x:v>107</x:v>
      </x:c>
      <x:c r="V187" s="4" t="s">
        <x:v>107</x:v>
      </x:c>
      <x:c r="W187" s="4" t="s">
        <x:v>172</x:v>
      </x:c>
      <x:c r="X187" s="4" t="s">
        <x:v>172</x:v>
      </x:c>
      <x:c r="Y187" s="4" t="s">
        <x:v>172</x:v>
      </x:c>
      <x:c r="Z187" s="4" t="s">
        <x:v>172</x:v>
      </x:c>
      <x:c r="AA187" s="4" t="s">
        <x:v>172</x:v>
      </x:c>
      <x:c r="AB187" s="4" t="s">
        <x:v>172</x:v>
      </x:c>
      <x:c r="AC187" s="4" t="s">
        <x:v>172</x:v>
      </x:c>
      <x:c r="AD187" s="4" t="s">
        <x:v>107</x:v>
      </x:c>
      <x:c r="AE187" s="4" t="s">
        <x:v>107</x:v>
      </x:c>
      <x:c r="AF187" s="4" t="s">
        <x:v>107</x:v>
      </x:c>
      <x:c r="AG187" s="4" t="s">
        <x:v>554</x:v>
      </x:c>
      <x:c r="AH187" s="4" t="s">
        <x:v>172</x:v>
      </x:c>
      <x:c r="AI187" s="4" t="s">
        <x:v>1859</x:v>
      </x:c>
      <x:c r="AJ187" s="4" t="s">
        <x:v>2339</x:v>
      </x:c>
      <x:c r="AK187" s="4" t="s">
        <x:v>169</x:v>
      </x:c>
      <x:c r="AL187" s="4" t="s">
        <x:v>1861</x:v>
      </x:c>
      <x:c r="AM187" s="66"/>
      <x:c r="AP187" s="67"/>
    </x:row>
    <x:row r="188">
      <x:c r="A188" s="4" t="s">
        <x:v>72</x:v>
      </x:c>
      <x:c r="B188" s="4" t="s">
        <x:v>200</x:v>
      </x:c>
      <x:c r="C188" s="4" t="s">
        <x:v>1814</x:v>
      </x:c>
      <x:c r="D188" s="4" t="s">
        <x:v>400</x:v>
      </x:c>
      <x:c r="E188" s="4" t="s">
        <x:v>400</x:v>
      </x:c>
      <x:c r="F188" s="65" t="s">
        <x:v>2340</x:v>
      </x:c>
      <x:c r="G188" s="4" t="s">
        <x:v>1336</x:v>
      </x:c>
      <x:c r="H188" s="4" t="s">
        <x:v>1337</x:v>
      </x:c>
      <x:c r="I188" s="4" t="s">
        <x:v>1834</x:v>
      </x:c>
      <x:c r="J188" s="4" t="s">
        <x:v>1835</x:v>
      </x:c>
      <x:c r="K188" s="4" t="s">
        <x:v>401</x:v>
      </x:c>
      <x:c r="L188" s="4" t="s">
        <x:v>169</x:v>
      </x:c>
      <x:c r="M188" s="4" t="s">
        <x:v>314</x:v>
      </x:c>
      <x:c r="N188" s="4" t="s">
        <x:v>169</x:v>
      </x:c>
      <x:c r="O188" s="4" t="s">
        <x:v>187</x:v>
      </x:c>
      <x:c r="P188" s="4" t="s">
        <x:v>1817</x:v>
      </x:c>
      <x:c r="Q188" s="4" t="s">
        <x:v>1817</x:v>
      </x:c>
      <x:c r="R188" s="4" t="s">
        <x:v>1836</x:v>
      </x:c>
      <x:c r="S188" s="4" t="s">
        <x:v>14</x:v>
      </x:c>
      <x:c r="T188" s="4" t="s">
        <x:v>1837</x:v>
      </x:c>
      <x:c r="U188" s="4" t="s">
        <x:v>169</x:v>
      </x:c>
      <x:c r="V188" s="4" t="s">
        <x:v>169</x:v>
      </x:c>
      <x:c r="W188" s="4" t="s">
        <x:v>172</x:v>
      </x:c>
      <x:c r="X188" s="4" t="s">
        <x:v>171</x:v>
      </x:c>
      <x:c r="Y188" s="4" t="s">
        <x:v>172</x:v>
      </x:c>
      <x:c r="Z188" s="4" t="s">
        <x:v>172</x:v>
      </x:c>
      <x:c r="AA188" s="4" t="s">
        <x:v>172</x:v>
      </x:c>
      <x:c r="AB188" s="4" t="s">
        <x:v>172</x:v>
      </x:c>
      <x:c r="AC188" s="4" t="s">
        <x:v>172</x:v>
      </x:c>
      <x:c r="AD188" s="4" t="s">
        <x:v>188</x:v>
      </x:c>
      <x:c r="AE188" s="4" t="s">
        <x:v>1820</x:v>
      </x:c>
      <x:c r="AF188" s="4" t="s">
        <x:v>1830</x:v>
      </x:c>
      <x:c r="AG188" s="4" t="s">
        <x:v>1869</x:v>
      </x:c>
      <x:c r="AH188" s="4" t="s">
        <x:v>172</x:v>
      </x:c>
      <x:c r="AI188" s="4" t="s">
        <x:v>2341</x:v>
      </x:c>
      <x:c r="AJ188" s="4" t="s">
        <x:v>2342</x:v>
      </x:c>
      <x:c r="AK188" s="4" t="s">
        <x:v>169</x:v>
      </x:c>
      <x:c r="AL188" s="4" t="s">
        <x:v>1841</x:v>
      </x:c>
      <x:c r="AM188" s="66"/>
      <x:c r="AP188" s="67"/>
    </x:row>
    <x:row r="189">
      <x:c r="A189" s="4" t="s">
        <x:v>72</x:v>
      </x:c>
      <x:c r="B189" s="4" t="s">
        <x:v>1353</x:v>
      </x:c>
      <x:c r="C189" s="4" t="s">
        <x:v>1814</x:v>
      </x:c>
      <x:c r="D189" s="4" t="s">
        <x:v>402</x:v>
      </x:c>
      <x:c r="E189" s="4" t="s">
        <x:v>402</x:v>
      </x:c>
      <x:c r="F189" s="65" t="s">
        <x:v>2343</x:v>
      </x:c>
      <x:c r="G189" s="4" t="s">
        <x:v>1336</x:v>
      </x:c>
      <x:c r="H189" s="4" t="s">
        <x:v>1337</x:v>
      </x:c>
      <x:c r="I189" s="4" t="s">
        <x:v>1834</x:v>
      </x:c>
      <x:c r="J189" s="4" t="s">
        <x:v>1835</x:v>
      </x:c>
      <x:c r="K189" s="4" t="s">
        <x:v>403</x:v>
      </x:c>
      <x:c r="L189" s="4" t="s">
        <x:v>169</x:v>
      </x:c>
      <x:c r="M189" s="4" t="s">
        <x:v>314</x:v>
      </x:c>
      <x:c r="N189" s="4" t="s">
        <x:v>169</x:v>
      </x:c>
      <x:c r="O189" s="4" t="s">
        <x:v>187</x:v>
      </x:c>
      <x:c r="P189" s="4" t="s">
        <x:v>1817</x:v>
      </x:c>
      <x:c r="Q189" s="4" t="s">
        <x:v>1817</x:v>
      </x:c>
      <x:c r="R189" s="4" t="s">
        <x:v>1836</x:v>
      </x:c>
      <x:c r="S189" s="4" t="s">
        <x:v>14</x:v>
      </x:c>
      <x:c r="T189" s="4" t="s">
        <x:v>1837</x:v>
      </x:c>
      <x:c r="U189" s="4" t="s">
        <x:v>169</x:v>
      </x:c>
      <x:c r="V189" s="4" t="s">
        <x:v>169</x:v>
      </x:c>
      <x:c r="W189" s="4" t="s">
        <x:v>172</x:v>
      </x:c>
      <x:c r="X189" s="4" t="s">
        <x:v>171</x:v>
      </x:c>
      <x:c r="Y189" s="4" t="s">
        <x:v>172</x:v>
      </x:c>
      <x:c r="Z189" s="4" t="s">
        <x:v>172</x:v>
      </x:c>
      <x:c r="AA189" s="4" t="s">
        <x:v>172</x:v>
      </x:c>
      <x:c r="AB189" s="4" t="s">
        <x:v>172</x:v>
      </x:c>
      <x:c r="AC189" s="4" t="s">
        <x:v>172</x:v>
      </x:c>
      <x:c r="AD189" s="4" t="s">
        <x:v>193</x:v>
      </x:c>
      <x:c r="AE189" s="4" t="s">
        <x:v>1830</x:v>
      </x:c>
      <x:c r="AF189" s="4" t="s">
        <x:v>1830</x:v>
      </x:c>
      <x:c r="AG189" s="4" t="s">
        <x:v>1869</x:v>
      </x:c>
      <x:c r="AH189" s="4" t="s">
        <x:v>172</x:v>
      </x:c>
      <x:c r="AI189" s="4" t="s">
        <x:v>2344</x:v>
      </x:c>
      <x:c r="AJ189" s="4" t="s">
        <x:v>2345</x:v>
      </x:c>
      <x:c r="AK189" s="4" t="s">
        <x:v>169</x:v>
      </x:c>
      <x:c r="AL189" s="4" t="s">
        <x:v>1841</x:v>
      </x:c>
      <x:c r="AM189" s="66"/>
      <x:c r="AP189" s="67"/>
    </x:row>
    <x:row r="190">
      <x:c r="A190" s="4" t="s">
        <x:v>72</x:v>
      </x:c>
      <x:c r="B190" s="4" t="s">
        <x:v>1466</x:v>
      </x:c>
      <x:c r="C190" s="4" t="s">
        <x:v>1814</x:v>
      </x:c>
      <x:c r="D190" s="4" t="s">
        <x:v>404</x:v>
      </x:c>
      <x:c r="E190" s="4" t="s">
        <x:v>2346</x:v>
      </x:c>
      <x:c r="F190" s="65" t="s">
        <x:v>2347</x:v>
      </x:c>
      <x:c r="G190" s="4" t="s">
        <x:v>1336</x:v>
      </x:c>
      <x:c r="H190" s="4" t="s">
        <x:v>1337</x:v>
      </x:c>
      <x:c r="I190" s="4" t="s">
        <x:v>1816</x:v>
      </x:c>
      <x:c r="J190" s="4" t="s">
        <x:v>199</x:v>
      </x:c>
      <x:c r="K190" s="4" t="s">
        <x:v>405</x:v>
      </x:c>
      <x:c r="L190" s="4" t="s">
        <x:v>107</x:v>
      </x:c>
      <x:c r="M190" s="4" t="s">
        <x:v>314</x:v>
      </x:c>
      <x:c r="N190" s="4" t="s">
        <x:v>314</x:v>
      </x:c>
      <x:c r="O190" s="4" t="s">
        <x:v>168</x:v>
      </x:c>
      <x:c r="P190" s="4" t="s">
        <x:v>1817</x:v>
      </x:c>
      <x:c r="Q190" s="4" t="s">
        <x:v>1817</x:v>
      </x:c>
      <x:c r="R190" s="4" t="s">
        <x:v>1818</x:v>
      </x:c>
      <x:c r="S190" s="4" t="s">
        <x:v>198</x:v>
      </x:c>
      <x:c r="T190" s="4" t="s">
        <x:v>1819</x:v>
      </x:c>
      <x:c r="U190" s="4" t="s">
        <x:v>169</x:v>
      </x:c>
      <x:c r="V190" s="4" t="s">
        <x:v>314</x:v>
      </x:c>
      <x:c r="W190" s="4" t="s">
        <x:v>171</x:v>
      </x:c>
      <x:c r="X190" s="4" t="s">
        <x:v>171</x:v>
      </x:c>
      <x:c r="Y190" s="4" t="s">
        <x:v>171</x:v>
      </x:c>
      <x:c r="Z190" s="4" t="s">
        <x:v>172</x:v>
      </x:c>
      <x:c r="AA190" s="4" t="s">
        <x:v>172</x:v>
      </x:c>
      <x:c r="AB190" s="4" t="s">
        <x:v>172</x:v>
      </x:c>
      <x:c r="AC190" s="4" t="s">
        <x:v>172</x:v>
      </x:c>
      <x:c r="AD190" s="4" t="s">
        <x:v>193</x:v>
      </x:c>
      <x:c r="AE190" s="4" t="s">
        <x:v>1830</x:v>
      </x:c>
      <x:c r="AF190" s="4" t="s">
        <x:v>1820</x:v>
      </x:c>
      <x:c r="AG190" s="4" t="s">
        <x:v>2348</x:v>
      </x:c>
      <x:c r="AH190" s="4" t="s">
        <x:v>172</x:v>
      </x:c>
      <x:c r="AI190" s="4" t="s">
        <x:v>1822</x:v>
      </x:c>
      <x:c r="AJ190" s="4" t="s">
        <x:v>1707</x:v>
      </x:c>
      <x:c r="AK190" s="4" t="s">
        <x:v>1465</x:v>
      </x:c>
      <x:c r="AL190" s="4" t="s">
        <x:v>1823</x:v>
      </x:c>
      <x:c r="AM190" s="66"/>
      <x:c r="AP190" s="67"/>
    </x:row>
    <x:row r="191">
      <x:c r="A191" s="4" t="s">
        <x:v>72</x:v>
      </x:c>
      <x:c r="B191" s="4" t="s">
        <x:v>218</x:v>
      </x:c>
      <x:c r="C191" s="4" t="s">
        <x:v>1824</x:v>
      </x:c>
      <x:c r="D191" s="4" t="s">
        <x:v>407</x:v>
      </x:c>
      <x:c r="E191" s="4" t="s">
        <x:v>407</x:v>
      </x:c>
      <x:c r="F191" s="65" t="n">
        <x:v>46176.81837962963</x:v>
      </x:c>
      <x:c r="G191" s="4" t="s">
        <x:v>1336</x:v>
      </x:c>
      <x:c r="H191" s="4" t="s">
        <x:v>1337</x:v>
      </x:c>
      <x:c r="I191" s="4" t="s">
        <x:v>1825</x:v>
      </x:c>
      <x:c r="J191" s="4" t="s">
        <x:v>1826</x:v>
      </x:c>
      <x:c r="K191" s="4" t="s">
        <x:v>107</x:v>
      </x:c>
      <x:c r="L191" s="4" t="s">
        <x:v>308</x:v>
      </x:c>
      <x:c r="M191" s="4" t="s">
        <x:v>169</x:v>
      </x:c>
      <x:c r="N191" s="4" t="s">
        <x:v>169</x:v>
      </x:c>
      <x:c r="O191" s="4" t="str">
        <x:v>已取消</x:v>
      </x:c>
      <x:c r="P191" s="4" t="s">
        <x:v>171</x:v>
      </x:c>
      <x:c r="Q191" s="4" t="s">
        <x:v>1817</x:v>
      </x:c>
      <x:c r="R191" s="4" t="s">
        <x:v>1827</x:v>
      </x:c>
      <x:c r="S191" s="4" t="s">
        <x:v>1828</x:v>
      </x:c>
      <x:c r="T191" s="4" t="s">
        <x:v>1829</x:v>
      </x:c>
      <x:c r="U191" s="4" t="s">
        <x:v>314</x:v>
      </x:c>
      <x:c r="V191" s="4" t="s">
        <x:v>314</x:v>
      </x:c>
      <x:c r="W191" s="4" t="s">
        <x:v>172</x:v>
      </x:c>
      <x:c r="X191" s="4" t="s">
        <x:v>171</x:v>
      </x:c>
      <x:c r="Y191" s="4" t="s">
        <x:v>172</x:v>
      </x:c>
      <x:c r="Z191" s="4" t="s">
        <x:v>172</x:v>
      </x:c>
      <x:c r="AA191" s="4" t="s">
        <x:v>172</x:v>
      </x:c>
      <x:c r="AB191" s="4" t="s">
        <x:v>172</x:v>
      </x:c>
      <x:c r="AC191" s="4" t="s">
        <x:v>172</x:v>
      </x:c>
      <x:c r="AD191" s="4" t="str">
        <x:v>疑似连续调整</x:v>
      </x:c>
      <x:c r="AE191" s="4" t="s">
        <x:v>1830</x:v>
      </x:c>
      <x:c r="AF191" s="4" t="s">
        <x:v>1830</x:v>
      </x:c>
      <x:c r="AG191" s="4" t="str">
        <x:v>条件委托已取消；算法编号1000001845027240；创建时间2026-06-04 03:10:06；撤销时间2026-06-04 03:38:28；是否触发否；周期关联等级STRONG_CONTEXT；取消/过期原因无法确认（已完成为不适用）。</x:v>
      </x:c>
      <x:c r="AH191" s="4" t="s">
        <x:v>172</x:v>
      </x:c>
      <x:c r="AI191" s="4" t="str">
        <x:v>/Users/luodaluo/Desktop/30天复盘原始数据/补充证据_历史委托条件委托截图/05_安卓端取消与过期完整生命周期/01_已取消/Screenshot_20260722_214125.jpg</x:v>
      </x:c>
      <x:c r="AJ191" s="4" t="s">
        <x:v>2349</x:v>
      </x:c>
      <x:c r="AK191" s="4" t="s">
        <x:v>169</x:v>
      </x:c>
      <x:c r="AL191" s="4" t="s">
        <x:v>1832</x:v>
      </x:c>
      <x:c r="AM191" s="66" t="str">
        <x:v>1000001845027240</x:v>
      </x:c>
      <x:c r="AN191" t="str">
        <x:v>撤销</x:v>
      </x:c>
      <x:c r="AO191" t="str">
        <x:v>否</x:v>
      </x:c>
      <x:c r="AP191" s="67" t="n">
        <x:v>46176.81837962963</x:v>
      </x:c>
      <x:c r="AQ191" t="str">
        <x:v>STRONG_CONTEXT</x:v>
      </x:c>
      <x:c r="AR191" t="str">
        <x:v>/Users/luodaluo/Desktop/30天复盘原始数据/补充证据_历史委托条件委托截图/05_安卓端取消与过期完整生命周期/01_已取消/Screenshot_20260722_214125.jpg</x:v>
      </x:c>
    </x:row>
    <x:row r="192">
      <x:c r="A192" s="4" t="s">
        <x:v>72</x:v>
      </x:c>
      <x:c r="B192" s="4" t="s">
        <x:v>314</x:v>
      </x:c>
      <x:c r="C192" s="4" t="s">
        <x:v>1824</x:v>
      </x:c>
      <x:c r="D192" s="4" t="s">
        <x:v>408</x:v>
      </x:c>
      <x:c r="E192" s="4" t="s">
        <x:v>408</x:v>
      </x:c>
      <x:c r="F192" s="65" t="n">
        <x:v>46176.81875</x:v>
      </x:c>
      <x:c r="G192" s="4" t="s">
        <x:v>1336</x:v>
      </x:c>
      <x:c r="H192" s="4" t="s">
        <x:v>1337</x:v>
      </x:c>
      <x:c r="I192" s="4" t="s">
        <x:v>1825</x:v>
      </x:c>
      <x:c r="J192" s="4" t="s">
        <x:v>203</x:v>
      </x:c>
      <x:c r="K192" s="4" t="s">
        <x:v>107</x:v>
      </x:c>
      <x:c r="L192" s="4" t="s">
        <x:v>409</x:v>
      </x:c>
      <x:c r="M192" s="4" t="s">
        <x:v>169</x:v>
      </x:c>
      <x:c r="N192" s="4" t="s">
        <x:v>169</x:v>
      </x:c>
      <x:c r="O192" s="4" t="str">
        <x:v>已取消</x:v>
      </x:c>
      <x:c r="P192" s="4" t="s">
        <x:v>171</x:v>
      </x:c>
      <x:c r="Q192" s="4" t="s">
        <x:v>1817</x:v>
      </x:c>
      <x:c r="R192" s="4" t="s">
        <x:v>1827</x:v>
      </x:c>
      <x:c r="S192" s="4" t="s">
        <x:v>2106</x:v>
      </x:c>
      <x:c r="T192" s="4" t="s">
        <x:v>1829</x:v>
      </x:c>
      <x:c r="U192" s="4" t="s">
        <x:v>314</x:v>
      </x:c>
      <x:c r="V192" s="4" t="s">
        <x:v>314</x:v>
      </x:c>
      <x:c r="W192" s="4" t="s">
        <x:v>172</x:v>
      </x:c>
      <x:c r="X192" s="4" t="s">
        <x:v>171</x:v>
      </x:c>
      <x:c r="Y192" s="4" t="s">
        <x:v>172</x:v>
      </x:c>
      <x:c r="Z192" s="4" t="s">
        <x:v>172</x:v>
      </x:c>
      <x:c r="AA192" s="4" t="s">
        <x:v>172</x:v>
      </x:c>
      <x:c r="AB192" s="4" t="s">
        <x:v>172</x:v>
      </x:c>
      <x:c r="AC192" s="4" t="s">
        <x:v>172</x:v>
      </x:c>
      <x:c r="AD192" s="4" t="str">
        <x:v>疑似连续调整</x:v>
      </x:c>
      <x:c r="AE192" s="4" t="s">
        <x:v>1830</x:v>
      </x:c>
      <x:c r="AF192" s="4" t="s">
        <x:v>1830</x:v>
      </x:c>
      <x:c r="AG192" s="4" t="str">
        <x:v>条件委托已取消；算法编号1000001845150618；创建时间2026-06-04 03:25:56；撤销时间2026-06-04 03:39:00；是否触发否；周期关联等级STRONG_CONTEXT；取消/过期原因无法确认（已完成为不适用）。</x:v>
      </x:c>
      <x:c r="AH192" s="4" t="s">
        <x:v>172</x:v>
      </x:c>
      <x:c r="AI192" s="4" t="str">
        <x:v>/Users/luodaluo/Desktop/30天复盘原始数据/补充证据_历史委托条件委托截图/05_安卓端取消与过期完整生命周期/01_已取消/Screenshot_20260722_214129.jpg</x:v>
      </x:c>
      <x:c r="AJ192" s="4" t="s">
        <x:v>2350</x:v>
      </x:c>
      <x:c r="AK192" s="4" t="s">
        <x:v>169</x:v>
      </x:c>
      <x:c r="AL192" s="4" t="s">
        <x:v>1832</x:v>
      </x:c>
      <x:c r="AM192" s="66" t="str">
        <x:v>1000001845150618</x:v>
      </x:c>
      <x:c r="AN192" t="str">
        <x:v>撤销</x:v>
      </x:c>
      <x:c r="AO192" t="str">
        <x:v>否</x:v>
      </x:c>
      <x:c r="AP192" s="67" t="n">
        <x:v>46176.81875</x:v>
      </x:c>
      <x:c r="AQ192" t="str">
        <x:v>STRONG_CONTEXT</x:v>
      </x:c>
      <x:c r="AR192" t="str">
        <x:v>/Users/luodaluo/Desktop/30天复盘原始数据/补充证据_历史委托条件委托截图/05_安卓端取消与过期完整生命周期/01_已取消/Screenshot_20260722_214129.jpg</x:v>
      </x:c>
    </x:row>
    <x:row r="193">
      <x:c r="A193" s="4" t="s">
        <x:v>72</x:v>
      </x:c>
      <x:c r="B193" s="4" t="s">
        <x:v>1573</x:v>
      </x:c>
      <x:c r="C193" s="4" t="s">
        <x:v>1824</x:v>
      </x:c>
      <x:c r="D193" s="4" t="s">
        <x:v>410</x:v>
      </x:c>
      <x:c r="E193" s="4" t="s">
        <x:v>2351</x:v>
      </x:c>
      <x:c r="F193" s="65" t="s">
        <x:v>410</x:v>
      </x:c>
      <x:c r="G193" s="4" t="s">
        <x:v>1336</x:v>
      </x:c>
      <x:c r="H193" s="4" t="s">
        <x:v>1337</x:v>
      </x:c>
      <x:c r="I193" s="4" t="s">
        <x:v>1816</x:v>
      </x:c>
      <x:c r="J193" s="4" t="s">
        <x:v>199</x:v>
      </x:c>
      <x:c r="K193" s="4" t="s">
        <x:v>411</x:v>
      </x:c>
      <x:c r="L193" s="4" t="s">
        <x:v>107</x:v>
      </x:c>
      <x:c r="M193" s="4" t="s">
        <x:v>1466</x:v>
      </x:c>
      <x:c r="N193" s="4" t="s">
        <x:v>1466</x:v>
      </x:c>
      <x:c r="O193" s="4" t="s">
        <x:v>168</x:v>
      </x:c>
      <x:c r="P193" s="4" t="s">
        <x:v>1817</x:v>
      </x:c>
      <x:c r="Q193" s="4" t="s">
        <x:v>1817</x:v>
      </x:c>
      <x:c r="R193" s="4" t="s">
        <x:v>1818</x:v>
      </x:c>
      <x:c r="S193" s="4" t="s">
        <x:v>227</x:v>
      </x:c>
      <x:c r="T193" s="4" t="s">
        <x:v>1843</x:v>
      </x:c>
      <x:c r="U193" s="4" t="s">
        <x:v>314</x:v>
      </x:c>
      <x:c r="V193" s="4" t="s">
        <x:v>229</x:v>
      </x:c>
      <x:c r="W193" s="4" t="s">
        <x:v>171</x:v>
      </x:c>
      <x:c r="X193" s="4" t="s">
        <x:v>171</x:v>
      </x:c>
      <x:c r="Y193" s="4" t="s">
        <x:v>172</x:v>
      </x:c>
      <x:c r="Z193" s="4" t="s">
        <x:v>171</x:v>
      </x:c>
      <x:c r="AA193" s="4" t="s">
        <x:v>172</x:v>
      </x:c>
      <x:c r="AB193" s="4" t="s">
        <x:v>172</x:v>
      </x:c>
      <x:c r="AC193" s="4" t="s">
        <x:v>172</x:v>
      </x:c>
      <x:c r="AD193" s="4" t="s">
        <x:v>188</x:v>
      </x:c>
      <x:c r="AE193" s="4" t="s">
        <x:v>1820</x:v>
      </x:c>
      <x:c r="AF193" s="4" t="s">
        <x:v>1820</x:v>
      </x:c>
      <x:c r="AG193" s="4" t="s">
        <x:v>2352</x:v>
      </x:c>
      <x:c r="AH193" s="4" t="s">
        <x:v>172</x:v>
      </x:c>
      <x:c r="AI193" s="4" t="s">
        <x:v>1822</x:v>
      </x:c>
      <x:c r="AJ193" s="4" t="s">
        <x:v>2353</x:v>
      </x:c>
      <x:c r="AK193" s="4" t="s">
        <x:v>1573</x:v>
      </x:c>
      <x:c r="AL193" s="4" t="s">
        <x:v>1823</x:v>
      </x:c>
      <x:c r="AM193" s="66"/>
      <x:c r="AP193" s="67"/>
    </x:row>
    <x:row r="194">
      <x:c r="A194" s="4" t="s">
        <x:v>72</x:v>
      </x:c>
      <x:c r="B194" s="4" t="s">
        <x:v>330</x:v>
      </x:c>
      <x:c r="C194" s="4" t="s">
        <x:v>1824</x:v>
      </x:c>
      <x:c r="D194" s="4" t="s">
        <x:v>413</x:v>
      </x:c>
      <x:c r="E194" s="4" t="s">
        <x:v>413</x:v>
      </x:c>
      <x:c r="F194" s="65" t="n">
        <x:v>46176.81916666667</x:v>
      </x:c>
      <x:c r="G194" s="4" t="s">
        <x:v>1336</x:v>
      </x:c>
      <x:c r="H194" s="4" t="s">
        <x:v>1337</x:v>
      </x:c>
      <x:c r="I194" s="4" t="s">
        <x:v>1825</x:v>
      </x:c>
      <x:c r="J194" s="4" t="s">
        <x:v>1826</x:v>
      </x:c>
      <x:c r="K194" s="4" t="s">
        <x:v>107</x:v>
      </x:c>
      <x:c r="L194" s="4" t="s">
        <x:v>414</x:v>
      </x:c>
      <x:c r="M194" s="4" t="s">
        <x:v>169</x:v>
      </x:c>
      <x:c r="N194" s="4" t="s">
        <x:v>169</x:v>
      </x:c>
      <x:c r="O194" s="4" t="str">
        <x:v>已取消</x:v>
      </x:c>
      <x:c r="P194" s="4" t="s">
        <x:v>171</x:v>
      </x:c>
      <x:c r="Q194" s="4" t="s">
        <x:v>1817</x:v>
      </x:c>
      <x:c r="R194" s="4" t="s">
        <x:v>1827</x:v>
      </x:c>
      <x:c r="S194" s="4" t="s">
        <x:v>1828</x:v>
      </x:c>
      <x:c r="T194" s="4" t="s">
        <x:v>1829</x:v>
      </x:c>
      <x:c r="U194" s="4" t="s">
        <x:v>229</x:v>
      </x:c>
      <x:c r="V194" s="4" t="s">
        <x:v>229</x:v>
      </x:c>
      <x:c r="W194" s="4" t="s">
        <x:v>172</x:v>
      </x:c>
      <x:c r="X194" s="4" t="s">
        <x:v>171</x:v>
      </x:c>
      <x:c r="Y194" s="4" t="s">
        <x:v>172</x:v>
      </x:c>
      <x:c r="Z194" s="4" t="s">
        <x:v>172</x:v>
      </x:c>
      <x:c r="AA194" s="4" t="s">
        <x:v>172</x:v>
      </x:c>
      <x:c r="AB194" s="4" t="s">
        <x:v>172</x:v>
      </x:c>
      <x:c r="AC194" s="4" t="s">
        <x:v>172</x:v>
      </x:c>
      <x:c r="AD194" s="4" t="str">
        <x:v>疑似连续调整</x:v>
      </x:c>
      <x:c r="AE194" s="4" t="s">
        <x:v>1830</x:v>
      </x:c>
      <x:c r="AF194" s="4" t="s">
        <x:v>1830</x:v>
      </x:c>
      <x:c r="AG194" s="4" t="str">
        <x:v>条件委托已取消；算法编号1000001845248448；创建时间2026-06-04 03:38:28；撤销时间2026-06-04 03:39:36；是否触发否；周期关联等级STRONG_CONTEXT；取消/过期原因无法确认（已完成为不适用）。</x:v>
      </x:c>
      <x:c r="AH194" s="4" t="s">
        <x:v>172</x:v>
      </x:c>
      <x:c r="AI194" s="4" t="str">
        <x:v>/Users/luodaluo/Desktop/30天复盘原始数据/补充证据_历史委托条件委托截图/05_安卓端取消与过期完整生命周期/01_已取消/Screenshot_20260722_214133.jpg</x:v>
      </x:c>
      <x:c r="AJ194" s="4" t="s">
        <x:v>2354</x:v>
      </x:c>
      <x:c r="AK194" s="4" t="s">
        <x:v>169</x:v>
      </x:c>
      <x:c r="AL194" s="4" t="s">
        <x:v>1832</x:v>
      </x:c>
      <x:c r="AM194" s="66" t="str">
        <x:v>1000001845248448</x:v>
      </x:c>
      <x:c r="AN194" t="str">
        <x:v>撤销</x:v>
      </x:c>
      <x:c r="AO194" t="str">
        <x:v>否</x:v>
      </x:c>
      <x:c r="AP194" s="67" t="n">
        <x:v>46176.81916666667</x:v>
      </x:c>
      <x:c r="AQ194" t="str">
        <x:v>STRONG_CONTEXT</x:v>
      </x:c>
      <x:c r="AR194" t="str">
        <x:v>/Users/luodaluo/Desktop/30天复盘原始数据/补充证据_历史委托条件委托截图/05_安卓端取消与过期完整生命周期/01_已取消/Screenshot_20260722_214133.jpg</x:v>
      </x:c>
    </x:row>
    <x:row r="195">
      <x:c r="A195" s="4" t="s">
        <x:v>72</x:v>
      </x:c>
      <x:c r="B195" s="4" t="s">
        <x:v>229</x:v>
      </x:c>
      <x:c r="C195" s="4" t="s">
        <x:v>1824</x:v>
      </x:c>
      <x:c r="D195" s="4" t="s">
        <x:v>415</x:v>
      </x:c>
      <x:c r="E195" s="4" t="s">
        <x:v>415</x:v>
      </x:c>
      <x:c r="F195" s="65" t="n">
        <x:v>46176.91670138889</x:v>
      </x:c>
      <x:c r="G195" s="4" t="s">
        <x:v>1336</x:v>
      </x:c>
      <x:c r="H195" s="4" t="s">
        <x:v>1337</x:v>
      </x:c>
      <x:c r="I195" s="4" t="s">
        <x:v>1825</x:v>
      </x:c>
      <x:c r="J195" s="4" t="s">
        <x:v>203</x:v>
      </x:c>
      <x:c r="K195" s="4" t="s">
        <x:v>107</x:v>
      </x:c>
      <x:c r="L195" s="4" t="s">
        <x:v>416</x:v>
      </x:c>
      <x:c r="M195" s="4" t="s">
        <x:v>169</x:v>
      </x:c>
      <x:c r="N195" s="4" t="s">
        <x:v>169</x:v>
      </x:c>
      <x:c r="O195" s="4" t="str">
        <x:v>已过期</x:v>
      </x:c>
      <x:c r="P195" s="4" t="s">
        <x:v>171</x:v>
      </x:c>
      <x:c r="Q195" s="4" t="s">
        <x:v>1817</x:v>
      </x:c>
      <x:c r="R195" s="4" t="s">
        <x:v>1827</x:v>
      </x:c>
      <x:c r="S195" s="4" t="s">
        <x:v>2106</x:v>
      </x:c>
      <x:c r="T195" s="4" t="s">
        <x:v>1829</x:v>
      </x:c>
      <x:c r="U195" s="4" t="s">
        <x:v>229</x:v>
      </x:c>
      <x:c r="V195" s="4" t="s">
        <x:v>229</x:v>
      </x:c>
      <x:c r="W195" s="4" t="s">
        <x:v>172</x:v>
      </x:c>
      <x:c r="X195" s="4" t="s">
        <x:v>171</x:v>
      </x:c>
      <x:c r="Y195" s="4" t="s">
        <x:v>172</x:v>
      </x:c>
      <x:c r="Z195" s="4" t="s">
        <x:v>172</x:v>
      </x:c>
      <x:c r="AA195" s="4" t="s">
        <x:v>172</x:v>
      </x:c>
      <x:c r="AB195" s="4" t="s">
        <x:v>172</x:v>
      </x:c>
      <x:c r="AC195" s="4" t="s">
        <x:v>172</x:v>
      </x:c>
      <x:c r="AD195" s="4" t="str">
        <x:v>疑似连续调整</x:v>
      </x:c>
      <x:c r="AE195" s="4" t="s">
        <x:v>1830</x:v>
      </x:c>
      <x:c r="AF195" s="4" t="s">
        <x:v>1830</x:v>
      </x:c>
      <x:c r="AG195" s="4" t="str">
        <x:v>条件委托已过期；算法编号1000001845252514；创建时间2026-06-04 03:39:00；过期时间2026-06-04 06:00:03；是否触发否；周期关联等级STRONG_CONTEXT；取消/过期原因无法确认（已完成为不适用）。</x:v>
      </x:c>
      <x:c r="AH195" s="4" t="s">
        <x:v>172</x:v>
      </x:c>
      <x:c r="AI195" s="4" t="str">
        <x:v>/Users/luodaluo/Desktop/30天复盘原始数据/补充证据_历史委托条件委托截图/05_安卓端取消与过期完整生命周期/02_已过期/Screenshot_20260722_204515.jpg</x:v>
      </x:c>
      <x:c r="AJ195" s="4" t="s">
        <x:v>2355</x:v>
      </x:c>
      <x:c r="AK195" s="4" t="s">
        <x:v>169</x:v>
      </x:c>
      <x:c r="AL195" s="4" t="s">
        <x:v>1832</x:v>
      </x:c>
      <x:c r="AM195" s="66" t="str">
        <x:v>1000001845252514</x:v>
      </x:c>
      <x:c r="AN195" t="str">
        <x:v>过期</x:v>
      </x:c>
      <x:c r="AO195" t="str">
        <x:v>否</x:v>
      </x:c>
      <x:c r="AP195" s="67" t="n">
        <x:v>46176.91670138889</x:v>
      </x:c>
      <x:c r="AQ195" t="str">
        <x:v>STRONG_CONTEXT</x:v>
      </x:c>
      <x:c r="AR195" t="str">
        <x:v>/Users/luodaluo/Desktop/30天复盘原始数据/补充证据_历史委托条件委托截图/05_安卓端取消与过期完整生命周期/02_已过期/Screenshot_20260722_204515.jpg</x:v>
      </x:c>
    </x:row>
    <x:row r="196">
      <x:c r="A196" s="4" t="s">
        <x:v>72</x:v>
      </x:c>
      <x:c r="B196" s="4" t="s">
        <x:v>298</x:v>
      </x:c>
      <x:c r="C196" s="4" t="s">
        <x:v>1824</x:v>
      </x:c>
      <x:c r="D196" s="4" t="s">
        <x:v>417</x:v>
      </x:c>
      <x:c r="E196" s="4" t="s">
        <x:v>417</x:v>
      </x:c>
      <x:c r="F196" s="65" t="n">
        <x:v>46176.82079861111</x:v>
      </x:c>
      <x:c r="G196" s="4" t="s">
        <x:v>1336</x:v>
      </x:c>
      <x:c r="H196" s="4" t="s">
        <x:v>1337</x:v>
      </x:c>
      <x:c r="I196" s="4" t="s">
        <x:v>1825</x:v>
      </x:c>
      <x:c r="J196" s="4" t="s">
        <x:v>1826</x:v>
      </x:c>
      <x:c r="K196" s="4" t="s">
        <x:v>107</x:v>
      </x:c>
      <x:c r="L196" s="4" t="s">
        <x:v>418</x:v>
      </x:c>
      <x:c r="M196" s="4" t="s">
        <x:v>169</x:v>
      </x:c>
      <x:c r="N196" s="4" t="s">
        <x:v>169</x:v>
      </x:c>
      <x:c r="O196" s="4" t="str">
        <x:v>已取消</x:v>
      </x:c>
      <x:c r="P196" s="4" t="s">
        <x:v>171</x:v>
      </x:c>
      <x:c r="Q196" s="4" t="s">
        <x:v>1817</x:v>
      </x:c>
      <x:c r="R196" s="4" t="s">
        <x:v>1827</x:v>
      </x:c>
      <x:c r="S196" s="4" t="s">
        <x:v>1828</x:v>
      </x:c>
      <x:c r="T196" s="4" t="s">
        <x:v>1829</x:v>
      </x:c>
      <x:c r="U196" s="4" t="s">
        <x:v>229</x:v>
      </x:c>
      <x:c r="V196" s="4" t="s">
        <x:v>229</x:v>
      </x:c>
      <x:c r="W196" s="4" t="s">
        <x:v>172</x:v>
      </x:c>
      <x:c r="X196" s="4" t="s">
        <x:v>171</x:v>
      </x:c>
      <x:c r="Y196" s="4" t="s">
        <x:v>172</x:v>
      </x:c>
      <x:c r="Z196" s="4" t="s">
        <x:v>172</x:v>
      </x:c>
      <x:c r="AA196" s="4" t="s">
        <x:v>172</x:v>
      </x:c>
      <x:c r="AB196" s="4" t="s">
        <x:v>172</x:v>
      </x:c>
      <x:c r="AC196" s="4" t="s">
        <x:v>172</x:v>
      </x:c>
      <x:c r="AD196" s="4" t="str">
        <x:v>疑似连续调整</x:v>
      </x:c>
      <x:c r="AE196" s="4" t="s">
        <x:v>1830</x:v>
      </x:c>
      <x:c r="AF196" s="4" t="s">
        <x:v>1830</x:v>
      </x:c>
      <x:c r="AG196" s="4" t="str">
        <x:v>条件委托已取消；算法编号1000001845256781；创建时间2026-06-04 03:39:36；撤销时间2026-06-04 03:41:57；是否触发否；周期关联等级STRONG_CONTEXT；取消/过期原因无法确认（已完成为不适用）。</x:v>
      </x:c>
      <x:c r="AH196" s="4" t="s">
        <x:v>172</x:v>
      </x:c>
      <x:c r="AI196" s="4" t="str">
        <x:v>/Users/luodaluo/Desktop/30天复盘原始数据/补充证据_历史委托条件委托截图/05_安卓端取消与过期完整生命周期/01_已取消/Screenshot_20260722_214155.jpg</x:v>
      </x:c>
      <x:c r="AJ196" s="4" t="s">
        <x:v>2356</x:v>
      </x:c>
      <x:c r="AK196" s="4" t="s">
        <x:v>169</x:v>
      </x:c>
      <x:c r="AL196" s="4" t="s">
        <x:v>1832</x:v>
      </x:c>
      <x:c r="AM196" s="66" t="str">
        <x:v>1000001845256781</x:v>
      </x:c>
      <x:c r="AN196" t="str">
        <x:v>撤销</x:v>
      </x:c>
      <x:c r="AO196" t="str">
        <x:v>否</x:v>
      </x:c>
      <x:c r="AP196" s="67" t="n">
        <x:v>46176.82079861111</x:v>
      </x:c>
      <x:c r="AQ196" t="str">
        <x:v>STRONG_CONTEXT</x:v>
      </x:c>
      <x:c r="AR196" t="str">
        <x:v>/Users/luodaluo/Desktop/30天复盘原始数据/补充证据_历史委托条件委托截图/05_安卓端取消与过期完整生命周期/01_已取消/Screenshot_20260722_214155.jpg</x:v>
      </x:c>
    </x:row>
    <x:row r="197">
      <x:c r="A197" s="4" t="s">
        <x:v>72</x:v>
      </x:c>
      <x:c r="B197" s="4" t="s">
        <x:v>632</x:v>
      </x:c>
      <x:c r="C197" s="4" t="s">
        <x:v>1824</x:v>
      </x:c>
      <x:c r="D197" s="4" t="s">
        <x:v>419</x:v>
      </x:c>
      <x:c r="E197" s="4" t="s">
        <x:v>419</x:v>
      </x:c>
      <x:c r="F197" s="65" t="n">
        <x:v>46176.82099537037</x:v>
      </x:c>
      <x:c r="G197" s="4" t="s">
        <x:v>1336</x:v>
      </x:c>
      <x:c r="H197" s="4" t="s">
        <x:v>1337</x:v>
      </x:c>
      <x:c r="I197" s="4" t="s">
        <x:v>1825</x:v>
      </x:c>
      <x:c r="J197" s="4" t="s">
        <x:v>1826</x:v>
      </x:c>
      <x:c r="K197" s="4" t="s">
        <x:v>107</x:v>
      </x:c>
      <x:c r="L197" s="4" t="s">
        <x:v>420</x:v>
      </x:c>
      <x:c r="M197" s="4" t="s">
        <x:v>169</x:v>
      </x:c>
      <x:c r="N197" s="4" t="s">
        <x:v>169</x:v>
      </x:c>
      <x:c r="O197" s="4" t="str">
        <x:v>已取消</x:v>
      </x:c>
      <x:c r="P197" s="4" t="s">
        <x:v>171</x:v>
      </x:c>
      <x:c r="Q197" s="4" t="s">
        <x:v>1817</x:v>
      </x:c>
      <x:c r="R197" s="4" t="s">
        <x:v>1827</x:v>
      </x:c>
      <x:c r="S197" s="4" t="s">
        <x:v>1828</x:v>
      </x:c>
      <x:c r="T197" s="4" t="s">
        <x:v>1829</x:v>
      </x:c>
      <x:c r="U197" s="4" t="s">
        <x:v>229</x:v>
      </x:c>
      <x:c r="V197" s="4" t="s">
        <x:v>229</x:v>
      </x:c>
      <x:c r="W197" s="4" t="s">
        <x:v>172</x:v>
      </x:c>
      <x:c r="X197" s="4" t="s">
        <x:v>171</x:v>
      </x:c>
      <x:c r="Y197" s="4" t="s">
        <x:v>172</x:v>
      </x:c>
      <x:c r="Z197" s="4" t="s">
        <x:v>172</x:v>
      </x:c>
      <x:c r="AA197" s="4" t="s">
        <x:v>172</x:v>
      </x:c>
      <x:c r="AB197" s="4" t="s">
        <x:v>172</x:v>
      </x:c>
      <x:c r="AC197" s="4" t="s">
        <x:v>172</x:v>
      </x:c>
      <x:c r="AD197" s="4" t="str">
        <x:v>疑似连续调整</x:v>
      </x:c>
      <x:c r="AE197" s="4" t="s">
        <x:v>1830</x:v>
      </x:c>
      <x:c r="AF197" s="4" t="s">
        <x:v>1830</x:v>
      </x:c>
      <x:c r="AG197" s="4" t="str">
        <x:v>条件委托已取消；算法编号1000001845272301；创建时间2026-06-04 03:41:57；撤销时间2026-06-04 03:42:14；是否触发否；周期关联等级STRONG_CONTEXT；取消/过期原因无法确认（已完成为不适用）。</x:v>
      </x:c>
      <x:c r="AH197" s="4" t="s">
        <x:v>172</x:v>
      </x:c>
      <x:c r="AI197" s="4" t="str">
        <x:v>/Users/luodaluo/Desktop/30天复盘原始数据/补充证据_历史委托条件委托截图/05_安卓端取消与过期完整生命周期/01_已取消/Screenshot_20260722_214159.jpg</x:v>
      </x:c>
      <x:c r="AJ197" s="4" t="s">
        <x:v>2357</x:v>
      </x:c>
      <x:c r="AK197" s="4" t="s">
        <x:v>169</x:v>
      </x:c>
      <x:c r="AL197" s="4" t="s">
        <x:v>1832</x:v>
      </x:c>
      <x:c r="AM197" s="66" t="str">
        <x:v>1000001845272301</x:v>
      </x:c>
      <x:c r="AN197" t="str">
        <x:v>撤销</x:v>
      </x:c>
      <x:c r="AO197" t="str">
        <x:v>否</x:v>
      </x:c>
      <x:c r="AP197" s="67" t="n">
        <x:v>46176.82099537037</x:v>
      </x:c>
      <x:c r="AQ197" t="str">
        <x:v>STRONG_CONTEXT</x:v>
      </x:c>
      <x:c r="AR197" t="str">
        <x:v>/Users/luodaluo/Desktop/30天复盘原始数据/补充证据_历史委托条件委托截图/05_安卓端取消与过期完整生命周期/01_已取消/Screenshot_20260722_214159.jpg</x:v>
      </x:c>
    </x:row>
    <x:row r="198">
      <x:c r="A198" s="4" t="s">
        <x:v>72</x:v>
      </x:c>
      <x:c r="B198" s="4" t="s">
        <x:v>1607</x:v>
      </x:c>
      <x:c r="C198" s="4" t="s">
        <x:v>1824</x:v>
      </x:c>
      <x:c r="D198" s="4" t="s">
        <x:v>421</x:v>
      </x:c>
      <x:c r="E198" s="4" t="s">
        <x:v>421</x:v>
      </x:c>
      <x:c r="F198" s="65" t="n">
        <x:v>46176.82148148148</x:v>
      </x:c>
      <x:c r="G198" s="4" t="s">
        <x:v>1336</x:v>
      </x:c>
      <x:c r="H198" s="4" t="s">
        <x:v>1337</x:v>
      </x:c>
      <x:c r="I198" s="4" t="s">
        <x:v>1825</x:v>
      </x:c>
      <x:c r="J198" s="4" t="s">
        <x:v>1826</x:v>
      </x:c>
      <x:c r="K198" s="4" t="s">
        <x:v>107</x:v>
      </x:c>
      <x:c r="L198" s="4" t="s">
        <x:v>422</x:v>
      </x:c>
      <x:c r="M198" s="4" t="s">
        <x:v>169</x:v>
      </x:c>
      <x:c r="N198" s="4" t="s">
        <x:v>169</x:v>
      </x:c>
      <x:c r="O198" s="4" t="str">
        <x:v>已取消</x:v>
      </x:c>
      <x:c r="P198" s="4" t="s">
        <x:v>171</x:v>
      </x:c>
      <x:c r="Q198" s="4" t="s">
        <x:v>1817</x:v>
      </x:c>
      <x:c r="R198" s="4" t="s">
        <x:v>1827</x:v>
      </x:c>
      <x:c r="S198" s="4" t="s">
        <x:v>1828</x:v>
      </x:c>
      <x:c r="T198" s="4" t="s">
        <x:v>1829</x:v>
      </x:c>
      <x:c r="U198" s="4" t="s">
        <x:v>229</x:v>
      </x:c>
      <x:c r="V198" s="4" t="s">
        <x:v>229</x:v>
      </x:c>
      <x:c r="W198" s="4" t="s">
        <x:v>172</x:v>
      </x:c>
      <x:c r="X198" s="4" t="s">
        <x:v>171</x:v>
      </x:c>
      <x:c r="Y198" s="4" t="s">
        <x:v>172</x:v>
      </x:c>
      <x:c r="Z198" s="4" t="s">
        <x:v>172</x:v>
      </x:c>
      <x:c r="AA198" s="4" t="s">
        <x:v>172</x:v>
      </x:c>
      <x:c r="AB198" s="4" t="s">
        <x:v>172</x:v>
      </x:c>
      <x:c r="AC198" s="4" t="s">
        <x:v>172</x:v>
      </x:c>
      <x:c r="AD198" s="4" t="str">
        <x:v>疑似连续调整</x:v>
      </x:c>
      <x:c r="AE198" s="4" t="s">
        <x:v>1830</x:v>
      </x:c>
      <x:c r="AF198" s="4" t="s">
        <x:v>1830</x:v>
      </x:c>
      <x:c r="AG198" s="4" t="str">
        <x:v>条件委托已取消；算法编号1000001845277587；创建时间2026-06-04 03:42:39；撤销时间2026-06-04 03:42:56；是否触发否；周期关联等级STRONG_CONTEXT；取消/过期原因无法确认（已完成为不适用）。</x:v>
      </x:c>
      <x:c r="AH198" s="4" t="s">
        <x:v>172</x:v>
      </x:c>
      <x:c r="AI198" s="4" t="str">
        <x:v>/Users/luodaluo/Desktop/30天复盘原始数据/补充证据_历史委托条件委托截图/05_安卓端取消与过期完整生命周期/01_已取消/Screenshot_20260722_214205.jpg</x:v>
      </x:c>
      <x:c r="AJ198" s="4" t="s">
        <x:v>2358</x:v>
      </x:c>
      <x:c r="AK198" s="4" t="s">
        <x:v>169</x:v>
      </x:c>
      <x:c r="AL198" s="4" t="s">
        <x:v>1832</x:v>
      </x:c>
      <x:c r="AM198" s="66" t="str">
        <x:v>1000001845277587</x:v>
      </x:c>
      <x:c r="AN198" t="str">
        <x:v>撤销</x:v>
      </x:c>
      <x:c r="AO198" t="str">
        <x:v>否</x:v>
      </x:c>
      <x:c r="AP198" s="67" t="n">
        <x:v>46176.82148148148</x:v>
      </x:c>
      <x:c r="AQ198" t="str">
        <x:v>STRONG_CONTEXT</x:v>
      </x:c>
      <x:c r="AR198" t="str">
        <x:v>/Users/luodaluo/Desktop/30天复盘原始数据/补充证据_历史委托条件委托截图/05_安卓端取消与过期完整生命周期/01_已取消/Screenshot_20260722_214205.jpg</x:v>
      </x:c>
    </x:row>
    <x:row r="199">
      <x:c r="A199" s="4" t="s">
        <x:v>72</x:v>
      </x:c>
      <x:c r="B199" s="4" t="s">
        <x:v>358</x:v>
      </x:c>
      <x:c r="C199" s="4" t="s">
        <x:v>1824</x:v>
      </x:c>
      <x:c r="D199" s="4" t="s">
        <x:v>423</x:v>
      </x:c>
      <x:c r="E199" s="4" t="s">
        <x:v>423</x:v>
      </x:c>
      <x:c r="F199" s="65" t="n">
        <x:v>46176.8409375</x:v>
      </x:c>
      <x:c r="G199" s="4" t="s">
        <x:v>1336</x:v>
      </x:c>
      <x:c r="H199" s="4" t="s">
        <x:v>1337</x:v>
      </x:c>
      <x:c r="I199" s="4" t="s">
        <x:v>1825</x:v>
      </x:c>
      <x:c r="J199" s="4" t="s">
        <x:v>1826</x:v>
      </x:c>
      <x:c r="K199" s="4" t="s">
        <x:v>107</x:v>
      </x:c>
      <x:c r="L199" s="4" t="s">
        <x:v>418</x:v>
      </x:c>
      <x:c r="M199" s="4" t="s">
        <x:v>169</x:v>
      </x:c>
      <x:c r="N199" s="4" t="s">
        <x:v>169</x:v>
      </x:c>
      <x:c r="O199" s="4" t="str">
        <x:v>已取消</x:v>
      </x:c>
      <x:c r="P199" s="4" t="s">
        <x:v>171</x:v>
      </x:c>
      <x:c r="Q199" s="4" t="s">
        <x:v>1817</x:v>
      </x:c>
      <x:c r="R199" s="4" t="s">
        <x:v>1827</x:v>
      </x:c>
      <x:c r="S199" s="4" t="s">
        <x:v>1828</x:v>
      </x:c>
      <x:c r="T199" s="4" t="s">
        <x:v>1829</x:v>
      </x:c>
      <x:c r="U199" s="4" t="s">
        <x:v>229</x:v>
      </x:c>
      <x:c r="V199" s="4" t="s">
        <x:v>229</x:v>
      </x:c>
      <x:c r="W199" s="4" t="s">
        <x:v>172</x:v>
      </x:c>
      <x:c r="X199" s="4" t="s">
        <x:v>171</x:v>
      </x:c>
      <x:c r="Y199" s="4" t="s">
        <x:v>172</x:v>
      </x:c>
      <x:c r="Z199" s="4" t="s">
        <x:v>172</x:v>
      </x:c>
      <x:c r="AA199" s="4" t="s">
        <x:v>172</x:v>
      </x:c>
      <x:c r="AB199" s="4" t="s">
        <x:v>172</x:v>
      </x:c>
      <x:c r="AC199" s="4" t="s">
        <x:v>172</x:v>
      </x:c>
      <x:c r="AD199" s="4" t="str">
        <x:v>疑似连续调整</x:v>
      </x:c>
      <x:c r="AE199" s="4" t="s">
        <x:v>1830</x:v>
      </x:c>
      <x:c r="AF199" s="4" t="s">
        <x:v>1830</x:v>
      </x:c>
      <x:c r="AG199" s="4" t="str">
        <x:v>条件委托已取消；算法编号1000001845279392；创建时间2026-06-04 03:42:56；撤销时间2026-06-04 04:10:57；是否触发否；周期关联等级STRONG_CONTEXT；取消/过期原因无法确认（已完成为不适用）。</x:v>
      </x:c>
      <x:c r="AH199" s="4" t="s">
        <x:v>172</x:v>
      </x:c>
      <x:c r="AI199" s="4" t="str">
        <x:v>/Users/luodaluo/Desktop/30天复盘原始数据/补充证据_历史委托条件委托截图/05_安卓端取消与过期完整生命周期/01_已取消/Screenshot_20260722_214212.jpg</x:v>
      </x:c>
      <x:c r="AJ199" s="4" t="s">
        <x:v>2359</x:v>
      </x:c>
      <x:c r="AK199" s="4" t="s">
        <x:v>169</x:v>
      </x:c>
      <x:c r="AL199" s="4" t="s">
        <x:v>1832</x:v>
      </x:c>
      <x:c r="AM199" s="66" t="str">
        <x:v>1000001845279392</x:v>
      </x:c>
      <x:c r="AN199" t="str">
        <x:v>撤销</x:v>
      </x:c>
      <x:c r="AO199" t="str">
        <x:v>否</x:v>
      </x:c>
      <x:c r="AP199" s="67" t="n">
        <x:v>46176.8409375</x:v>
      </x:c>
      <x:c r="AQ199" t="str">
        <x:v>STRONG_CONTEXT</x:v>
      </x:c>
      <x:c r="AR199" t="str">
        <x:v>/Users/luodaluo/Desktop/30天复盘原始数据/补充证据_历史委托条件委托截图/05_安卓端取消与过期完整生命周期/01_已取消/Screenshot_20260722_214212.jpg</x:v>
      </x:c>
    </x:row>
    <x:row r="200">
      <x:c r="A200" s="4" t="s">
        <x:v>72</x:v>
      </x:c>
      <x:c r="B200" s="4" t="s">
        <x:v>1465</x:v>
      </x:c>
      <x:c r="C200" s="4" t="s">
        <x:v>1824</x:v>
      </x:c>
      <x:c r="D200" s="4" t="s">
        <x:v>424</x:v>
      </x:c>
      <x:c r="E200" s="4" t="s">
        <x:v>424</x:v>
      </x:c>
      <x:c r="F200" s="65" t="n">
        <x:v>46176.84355324074</x:v>
      </x:c>
      <x:c r="G200" s="4" t="s">
        <x:v>1336</x:v>
      </x:c>
      <x:c r="H200" s="4" t="s">
        <x:v>1337</x:v>
      </x:c>
      <x:c r="I200" s="4" t="s">
        <x:v>1825</x:v>
      </x:c>
      <x:c r="J200" s="4" t="s">
        <x:v>1826</x:v>
      </x:c>
      <x:c r="K200" s="4" t="s">
        <x:v>107</x:v>
      </x:c>
      <x:c r="L200" s="4" t="s">
        <x:v>425</x:v>
      </x:c>
      <x:c r="M200" s="4" t="s">
        <x:v>169</x:v>
      </x:c>
      <x:c r="N200" s="4" t="s">
        <x:v>169</x:v>
      </x:c>
      <x:c r="O200" s="4" t="str">
        <x:v>已取消</x:v>
      </x:c>
      <x:c r="P200" s="4" t="s">
        <x:v>171</x:v>
      </x:c>
      <x:c r="Q200" s="4" t="s">
        <x:v>1817</x:v>
      </x:c>
      <x:c r="R200" s="4" t="s">
        <x:v>1827</x:v>
      </x:c>
      <x:c r="S200" s="4" t="s">
        <x:v>1828</x:v>
      </x:c>
      <x:c r="T200" s="4" t="s">
        <x:v>1829</x:v>
      </x:c>
      <x:c r="U200" s="4" t="s">
        <x:v>229</x:v>
      </x:c>
      <x:c r="V200" s="4" t="s">
        <x:v>229</x:v>
      </x:c>
      <x:c r="W200" s="4" t="s">
        <x:v>172</x:v>
      </x:c>
      <x:c r="X200" s="4" t="s">
        <x:v>171</x:v>
      </x:c>
      <x:c r="Y200" s="4" t="s">
        <x:v>172</x:v>
      </x:c>
      <x:c r="Z200" s="4" t="s">
        <x:v>172</x:v>
      </x:c>
      <x:c r="AA200" s="4" t="s">
        <x:v>172</x:v>
      </x:c>
      <x:c r="AB200" s="4" t="s">
        <x:v>172</x:v>
      </x:c>
      <x:c r="AC200" s="4" t="s">
        <x:v>172</x:v>
      </x:c>
      <x:c r="AD200" s="4" t="str">
        <x:v>疑似连续调整</x:v>
      </x:c>
      <x:c r="AE200" s="4" t="s">
        <x:v>1830</x:v>
      </x:c>
      <x:c r="AF200" s="4" t="s">
        <x:v>1830</x:v>
      </x:c>
      <x:c r="AG200" s="4" t="str">
        <x:v>条件委托已取消；算法编号1000001845535641；创建时间2026-06-04 04:10:57；撤销时间2026-06-04 04:14:43；是否触发否；周期关联等级STRONG_CONTEXT；取消/过期原因无法确认（已完成为不适用）。</x:v>
      </x:c>
      <x:c r="AH200" s="4" t="s">
        <x:v>172</x:v>
      </x:c>
      <x:c r="AI200" s="4" t="str">
        <x:v>/Users/luodaluo/Desktop/30天复盘原始数据/补充证据_历史委托条件委托截图/05_安卓端取消与过期完整生命周期/01_已取消/Screenshot_20260722_214217.jpg</x:v>
      </x:c>
      <x:c r="AJ200" s="4" t="s">
        <x:v>2360</x:v>
      </x:c>
      <x:c r="AK200" s="4" t="s">
        <x:v>169</x:v>
      </x:c>
      <x:c r="AL200" s="4" t="s">
        <x:v>1832</x:v>
      </x:c>
      <x:c r="AM200" s="66" t="str">
        <x:v>1000001845535641</x:v>
      </x:c>
      <x:c r="AN200" t="str">
        <x:v>撤销</x:v>
      </x:c>
      <x:c r="AO200" t="str">
        <x:v>否</x:v>
      </x:c>
      <x:c r="AP200" s="67" t="n">
        <x:v>46176.84355324074</x:v>
      </x:c>
      <x:c r="AQ200" t="str">
        <x:v>STRONG_CONTEXT</x:v>
      </x:c>
      <x:c r="AR200" t="str">
        <x:v>/Users/luodaluo/Desktop/30天复盘原始数据/补充证据_历史委托条件委托截图/05_安卓端取消与过期完整生命周期/01_已取消/Screenshot_20260722_214217.jpg</x:v>
      </x:c>
    </x:row>
    <x:row r="201">
      <x:c r="A201" s="4" t="s">
        <x:v>72</x:v>
      </x:c>
      <x:c r="B201" s="4" t="s">
        <x:v>1464</x:v>
      </x:c>
      <x:c r="C201" s="4" t="s">
        <x:v>1824</x:v>
      </x:c>
      <x:c r="D201" s="4" t="s">
        <x:v>426</x:v>
      </x:c>
      <x:c r="E201" s="4" t="s">
        <x:v>426</x:v>
      </x:c>
      <x:c r="F201" s="65" t="n">
        <x:v>46176.85623842593</x:v>
      </x:c>
      <x:c r="G201" s="4" t="s">
        <x:v>1336</x:v>
      </x:c>
      <x:c r="H201" s="4" t="s">
        <x:v>1337</x:v>
      </x:c>
      <x:c r="I201" s="4" t="s">
        <x:v>1825</x:v>
      </x:c>
      <x:c r="J201" s="4" t="s">
        <x:v>1826</x:v>
      </x:c>
      <x:c r="K201" s="4" t="s">
        <x:v>107</x:v>
      </x:c>
      <x:c r="L201" s="4" t="s">
        <x:v>418</x:v>
      </x:c>
      <x:c r="M201" s="4" t="s">
        <x:v>169</x:v>
      </x:c>
      <x:c r="N201" s="4" t="s">
        <x:v>169</x:v>
      </x:c>
      <x:c r="O201" s="4" t="str">
        <x:v>已取消</x:v>
      </x:c>
      <x:c r="P201" s="4" t="s">
        <x:v>171</x:v>
      </x:c>
      <x:c r="Q201" s="4" t="s">
        <x:v>1817</x:v>
      </x:c>
      <x:c r="R201" s="4" t="s">
        <x:v>1827</x:v>
      </x:c>
      <x:c r="S201" s="4" t="s">
        <x:v>1828</x:v>
      </x:c>
      <x:c r="T201" s="4" t="s">
        <x:v>1829</x:v>
      </x:c>
      <x:c r="U201" s="4" t="s">
        <x:v>229</x:v>
      </x:c>
      <x:c r="V201" s="4" t="s">
        <x:v>229</x:v>
      </x:c>
      <x:c r="W201" s="4" t="s">
        <x:v>172</x:v>
      </x:c>
      <x:c r="X201" s="4" t="s">
        <x:v>171</x:v>
      </x:c>
      <x:c r="Y201" s="4" t="s">
        <x:v>172</x:v>
      </x:c>
      <x:c r="Z201" s="4" t="s">
        <x:v>172</x:v>
      </x:c>
      <x:c r="AA201" s="4" t="s">
        <x:v>172</x:v>
      </x:c>
      <x:c r="AB201" s="4" t="s">
        <x:v>172</x:v>
      </x:c>
      <x:c r="AC201" s="4" t="s">
        <x:v>172</x:v>
      </x:c>
      <x:c r="AD201" s="4" t="str">
        <x:v>疑似连续调整</x:v>
      </x:c>
      <x:c r="AE201" s="4" t="s">
        <x:v>1830</x:v>
      </x:c>
      <x:c r="AF201" s="4" t="s">
        <x:v>1830</x:v>
      </x:c>
      <x:c r="AG201" s="4" t="str">
        <x:v>条件委托已取消；算法编号1000001845567495；创建时间2026-06-04 04:14:44；撤销时间2026-06-04 04:32:59；是否触发否；周期关联等级STRONG_CONTEXT；取消/过期原因无法确认（已完成为不适用）。</x:v>
      </x:c>
      <x:c r="AH201" s="4" t="s">
        <x:v>172</x:v>
      </x:c>
      <x:c r="AI201" s="4" t="str">
        <x:v>/Users/luodaluo/Desktop/30天复盘原始数据/补充证据_历史委托条件委托截图/05_安卓端取消与过期完整生命周期/01_已取消/Screenshot_20260722_214223.jpg</x:v>
      </x:c>
      <x:c r="AJ201" s="4" t="s">
        <x:v>2361</x:v>
      </x:c>
      <x:c r="AK201" s="4" t="s">
        <x:v>169</x:v>
      </x:c>
      <x:c r="AL201" s="4" t="s">
        <x:v>1832</x:v>
      </x:c>
      <x:c r="AM201" s="66" t="str">
        <x:v>1000001845567495</x:v>
      </x:c>
      <x:c r="AN201" t="str">
        <x:v>撤销</x:v>
      </x:c>
      <x:c r="AO201" t="str">
        <x:v>否</x:v>
      </x:c>
      <x:c r="AP201" s="67" t="n">
        <x:v>46176.85623842593</x:v>
      </x:c>
      <x:c r="AQ201" t="str">
        <x:v>STRONG_CONTEXT</x:v>
      </x:c>
      <x:c r="AR201" t="str">
        <x:v>/Users/luodaluo/Desktop/30天复盘原始数据/补充证据_历史委托条件委托截图/05_安卓端取消与过期完整生命周期/01_已取消/Screenshot_20260722_214223.jpg</x:v>
      </x:c>
    </x:row>
    <x:row r="202">
      <x:c r="A202" s="4" t="s">
        <x:v>72</x:v>
      </x:c>
      <x:c r="B202" s="4" t="s">
        <x:v>638</x:v>
      </x:c>
      <x:c r="C202" s="4" t="s">
        <x:v>1824</x:v>
      </x:c>
      <x:c r="D202" s="4" t="s">
        <x:v>427</x:v>
      </x:c>
      <x:c r="E202" s="4" t="s">
        <x:v>427</x:v>
      </x:c>
      <x:c r="F202" s="65" t="n">
        <x:v>46176.85643518518</x:v>
      </x:c>
      <x:c r="G202" s="4" t="s">
        <x:v>1336</x:v>
      </x:c>
      <x:c r="H202" s="4" t="s">
        <x:v>1337</x:v>
      </x:c>
      <x:c r="I202" s="4" t="s">
        <x:v>1825</x:v>
      </x:c>
      <x:c r="J202" s="4" t="s">
        <x:v>1826</x:v>
      </x:c>
      <x:c r="K202" s="4" t="s">
        <x:v>107</x:v>
      </x:c>
      <x:c r="L202" s="4" t="s">
        <x:v>428</x:v>
      </x:c>
      <x:c r="M202" s="4" t="s">
        <x:v>169</x:v>
      </x:c>
      <x:c r="N202" s="4" t="s">
        <x:v>169</x:v>
      </x:c>
      <x:c r="O202" s="4" t="str">
        <x:v>已取消</x:v>
      </x:c>
      <x:c r="P202" s="4" t="s">
        <x:v>171</x:v>
      </x:c>
      <x:c r="Q202" s="4" t="s">
        <x:v>1817</x:v>
      </x:c>
      <x:c r="R202" s="4" t="s">
        <x:v>1827</x:v>
      </x:c>
      <x:c r="S202" s="4" t="s">
        <x:v>1828</x:v>
      </x:c>
      <x:c r="T202" s="4" t="s">
        <x:v>1829</x:v>
      </x:c>
      <x:c r="U202" s="4" t="s">
        <x:v>229</x:v>
      </x:c>
      <x:c r="V202" s="4" t="s">
        <x:v>229</x:v>
      </x:c>
      <x:c r="W202" s="4" t="s">
        <x:v>172</x:v>
      </x:c>
      <x:c r="X202" s="4" t="s">
        <x:v>171</x:v>
      </x:c>
      <x:c r="Y202" s="4" t="s">
        <x:v>172</x:v>
      </x:c>
      <x:c r="Z202" s="4" t="s">
        <x:v>172</x:v>
      </x:c>
      <x:c r="AA202" s="4" t="s">
        <x:v>172</x:v>
      </x:c>
      <x:c r="AB202" s="4" t="s">
        <x:v>172</x:v>
      </x:c>
      <x:c r="AC202" s="4" t="s">
        <x:v>172</x:v>
      </x:c>
      <x:c r="AD202" s="4" t="str">
        <x:v>疑似连续调整</x:v>
      </x:c>
      <x:c r="AE202" s="4" t="s">
        <x:v>1830</x:v>
      </x:c>
      <x:c r="AF202" s="4" t="s">
        <x:v>1830</x:v>
      </x:c>
      <x:c r="AG202" s="4" t="str">
        <x:v>条件委托已取消；算法编号1000001845721818；创建时间2026-06-04 04:32:59；撤销时间2026-06-04 04:33:16；是否触发否；周期关联等级STRONG_CONTEXT；取消/过期原因无法确认（已完成为不适用）。</x:v>
      </x:c>
      <x:c r="AH202" s="4" t="s">
        <x:v>172</x:v>
      </x:c>
      <x:c r="AI202" s="4" t="str">
        <x:v>/Users/luodaluo/Desktop/30天复盘原始数据/补充证据_历史委托条件委托截图/05_安卓端取消与过期完整生命周期/01_已取消/Screenshot_20260722_214230.jpg</x:v>
      </x:c>
      <x:c r="AJ202" s="4" t="s">
        <x:v>2362</x:v>
      </x:c>
      <x:c r="AK202" s="4" t="s">
        <x:v>169</x:v>
      </x:c>
      <x:c r="AL202" s="4" t="s">
        <x:v>1832</x:v>
      </x:c>
      <x:c r="AM202" s="66" t="str">
        <x:v>1000001845721818</x:v>
      </x:c>
      <x:c r="AN202" t="str">
        <x:v>撤销</x:v>
      </x:c>
      <x:c r="AO202" t="str">
        <x:v>否</x:v>
      </x:c>
      <x:c r="AP202" s="67" t="n">
        <x:v>46176.85643518518</x:v>
      </x:c>
      <x:c r="AQ202" t="str">
        <x:v>STRONG_CONTEXT</x:v>
      </x:c>
      <x:c r="AR202" t="str">
        <x:v>/Users/luodaluo/Desktop/30天复盘原始数据/补充证据_历史委托条件委托截图/05_安卓端取消与过期完整生命周期/01_已取消/Screenshot_20260722_214230.jpg</x:v>
      </x:c>
    </x:row>
    <x:row r="203">
      <x:c r="A203" s="4" t="s">
        <x:v>72</x:v>
      </x:c>
      <x:c r="B203" s="4" t="s">
        <x:v>1911</x:v>
      </x:c>
      <x:c r="C203" s="4" t="s">
        <x:v>1824</x:v>
      </x:c>
      <x:c r="D203" s="4" t="s">
        <x:v>429</x:v>
      </x:c>
      <x:c r="E203" s="4" t="s">
        <x:v>429</x:v>
      </x:c>
      <x:c r="F203" s="65" t="n">
        <x:v>46176.87295138889</x:v>
      </x:c>
      <x:c r="G203" s="4" t="s">
        <x:v>1336</x:v>
      </x:c>
      <x:c r="H203" s="4" t="s">
        <x:v>1337</x:v>
      </x:c>
      <x:c r="I203" s="4" t="s">
        <x:v>1825</x:v>
      </x:c>
      <x:c r="J203" s="4" t="s">
        <x:v>1826</x:v>
      </x:c>
      <x:c r="K203" s="4" t="s">
        <x:v>107</x:v>
      </x:c>
      <x:c r="L203" s="4" t="s">
        <x:v>367</x:v>
      </x:c>
      <x:c r="M203" s="4" t="s">
        <x:v>169</x:v>
      </x:c>
      <x:c r="N203" s="4" t="s">
        <x:v>169</x:v>
      </x:c>
      <x:c r="O203" s="4" t="str">
        <x:v>已取消</x:v>
      </x:c>
      <x:c r="P203" s="4" t="s">
        <x:v>171</x:v>
      </x:c>
      <x:c r="Q203" s="4" t="s">
        <x:v>1817</x:v>
      </x:c>
      <x:c r="R203" s="4" t="s">
        <x:v>1827</x:v>
      </x:c>
      <x:c r="S203" s="4" t="s">
        <x:v>1828</x:v>
      </x:c>
      <x:c r="T203" s="4" t="s">
        <x:v>1829</x:v>
      </x:c>
      <x:c r="U203" s="4" t="s">
        <x:v>229</x:v>
      </x:c>
      <x:c r="V203" s="4" t="s">
        <x:v>229</x:v>
      </x:c>
      <x:c r="W203" s="4" t="s">
        <x:v>172</x:v>
      </x:c>
      <x:c r="X203" s="4" t="s">
        <x:v>171</x:v>
      </x:c>
      <x:c r="Y203" s="4" t="s">
        <x:v>172</x:v>
      </x:c>
      <x:c r="Z203" s="4" t="s">
        <x:v>172</x:v>
      </x:c>
      <x:c r="AA203" s="4" t="s">
        <x:v>172</x:v>
      </x:c>
      <x:c r="AB203" s="4" t="s">
        <x:v>172</x:v>
      </x:c>
      <x:c r="AC203" s="4" t="s">
        <x:v>172</x:v>
      </x:c>
      <x:c r="AD203" s="4" t="str">
        <x:v>疑似连续调整</x:v>
      </x:c>
      <x:c r="AE203" s="4" t="s">
        <x:v>1830</x:v>
      </x:c>
      <x:c r="AF203" s="4" t="s">
        <x:v>1830</x:v>
      </x:c>
      <x:c r="AG203" s="4" t="str">
        <x:v>条件委托已取消；算法编号1000001845724461；创建时间2026-06-04 04:33:17；撤销时间2026-06-04 04:57:03；是否触发否；周期关联等级STRONG_CONTEXT；取消/过期原因无法确认（已完成为不适用）。</x:v>
      </x:c>
      <x:c r="AH203" s="4" t="s">
        <x:v>172</x:v>
      </x:c>
      <x:c r="AI203" s="4" t="str">
        <x:v>/Users/luodaluo/Desktop/30天复盘原始数据/补充证据_历史委托条件委托截图/05_安卓端取消与过期完整生命周期/01_已取消/Screenshot_20260722_214235.jpg</x:v>
      </x:c>
      <x:c r="AJ203" s="4" t="s">
        <x:v>2363</x:v>
      </x:c>
      <x:c r="AK203" s="4" t="s">
        <x:v>169</x:v>
      </x:c>
      <x:c r="AL203" s="4" t="s">
        <x:v>1832</x:v>
      </x:c>
      <x:c r="AM203" s="66" t="str">
        <x:v>1000001845724461</x:v>
      </x:c>
      <x:c r="AN203" t="str">
        <x:v>撤销</x:v>
      </x:c>
      <x:c r="AO203" t="str">
        <x:v>否</x:v>
      </x:c>
      <x:c r="AP203" s="67" t="n">
        <x:v>46176.87295138889</x:v>
      </x:c>
      <x:c r="AQ203" t="str">
        <x:v>STRONG_CONTEXT</x:v>
      </x:c>
      <x:c r="AR203" t="str">
        <x:v>/Users/luodaluo/Desktop/30天复盘原始数据/补充证据_历史委托条件委托截图/05_安卓端取消与过期完整生命周期/01_已取消/Screenshot_20260722_214235.jpg</x:v>
      </x:c>
    </x:row>
    <x:row r="204">
      <x:c r="A204" s="4" t="s">
        <x:v>72</x:v>
      </x:c>
      <x:c r="B204" s="4" t="s">
        <x:v>373</x:v>
      </x:c>
      <x:c r="C204" s="4" t="s">
        <x:v>1824</x:v>
      </x:c>
      <x:c r="D204" s="4" t="s">
        <x:v>430</x:v>
      </x:c>
      <x:c r="E204" s="4" t="s">
        <x:v>430</x:v>
      </x:c>
      <x:c r="F204" s="65" t="n">
        <x:v>46176.87332175926</x:v>
      </x:c>
      <x:c r="G204" s="4" t="s">
        <x:v>1336</x:v>
      </x:c>
      <x:c r="H204" s="4" t="s">
        <x:v>1337</x:v>
      </x:c>
      <x:c r="I204" s="4" t="s">
        <x:v>1825</x:v>
      </x:c>
      <x:c r="J204" s="4" t="s">
        <x:v>1826</x:v>
      </x:c>
      <x:c r="K204" s="4" t="s">
        <x:v>107</x:v>
      </x:c>
      <x:c r="L204" s="4" t="s">
        <x:v>431</x:v>
      </x:c>
      <x:c r="M204" s="4" t="s">
        <x:v>169</x:v>
      </x:c>
      <x:c r="N204" s="4" t="s">
        <x:v>169</x:v>
      </x:c>
      <x:c r="O204" s="4" t="str">
        <x:v>已取消</x:v>
      </x:c>
      <x:c r="P204" s="4" t="s">
        <x:v>171</x:v>
      </x:c>
      <x:c r="Q204" s="4" t="s">
        <x:v>1817</x:v>
      </x:c>
      <x:c r="R204" s="4" t="s">
        <x:v>1827</x:v>
      </x:c>
      <x:c r="S204" s="4" t="s">
        <x:v>1828</x:v>
      </x:c>
      <x:c r="T204" s="4" t="s">
        <x:v>1829</x:v>
      </x:c>
      <x:c r="U204" s="4" t="s">
        <x:v>229</x:v>
      </x:c>
      <x:c r="V204" s="4" t="s">
        <x:v>229</x:v>
      </x:c>
      <x:c r="W204" s="4" t="s">
        <x:v>172</x:v>
      </x:c>
      <x:c r="X204" s="4" t="s">
        <x:v>171</x:v>
      </x:c>
      <x:c r="Y204" s="4" t="s">
        <x:v>172</x:v>
      </x:c>
      <x:c r="Z204" s="4" t="s">
        <x:v>172</x:v>
      </x:c>
      <x:c r="AA204" s="4" t="s">
        <x:v>172</x:v>
      </x:c>
      <x:c r="AB204" s="4" t="s">
        <x:v>172</x:v>
      </x:c>
      <x:c r="AC204" s="4" t="s">
        <x:v>172</x:v>
      </x:c>
      <x:c r="AD204" s="4" t="str">
        <x:v>疑似连续调整</x:v>
      </x:c>
      <x:c r="AE204" s="4" t="s">
        <x:v>1830</x:v>
      </x:c>
      <x:c r="AF204" s="4" t="s">
        <x:v>1830</x:v>
      </x:c>
      <x:c r="AG204" s="4" t="str">
        <x:v>条件委托已取消；算法编号1000001845956843；创建时间2026-06-04 04:57:03；撤销时间2026-06-04 04:57:35；是否触发否；周期关联等级STRONG_CONTEXT；取消/过期原因无法确认（已完成为不适用）。</x:v>
      </x:c>
      <x:c r="AH204" s="4" t="s">
        <x:v>172</x:v>
      </x:c>
      <x:c r="AI204" s="4" t="str">
        <x:v>/Users/luodaluo/Desktop/30天复盘原始数据/补充证据_历史委托条件委托截图/05_安卓端取消与过期完整生命周期/01_已取消/Screenshot_20260722_214239.jpg</x:v>
      </x:c>
      <x:c r="AJ204" s="4" t="s">
        <x:v>2364</x:v>
      </x:c>
      <x:c r="AK204" s="4" t="s">
        <x:v>169</x:v>
      </x:c>
      <x:c r="AL204" s="4" t="s">
        <x:v>1832</x:v>
      </x:c>
      <x:c r="AM204" s="66" t="str">
        <x:v>1000001845956843</x:v>
      </x:c>
      <x:c r="AN204" t="str">
        <x:v>撤销</x:v>
      </x:c>
      <x:c r="AO204" t="str">
        <x:v>否</x:v>
      </x:c>
      <x:c r="AP204" s="67" t="n">
        <x:v>46176.87332175926</x:v>
      </x:c>
      <x:c r="AQ204" t="str">
        <x:v>STRONG_CONTEXT</x:v>
      </x:c>
      <x:c r="AR204" t="str">
        <x:v>/Users/luodaluo/Desktop/30天复盘原始数据/补充证据_历史委托条件委托截图/05_安卓端取消与过期完整生命周期/01_已取消/Screenshot_20260722_214239.jpg</x:v>
      </x:c>
    </x:row>
    <x:row r="205">
      <x:c r="A205" s="4" t="s">
        <x:v>72</x:v>
      </x:c>
      <x:c r="B205" s="4" t="s">
        <x:v>1918</x:v>
      </x:c>
      <x:c r="C205" s="4" t="s">
        <x:v>1824</x:v>
      </x:c>
      <x:c r="D205" s="4" t="s">
        <x:v>432</x:v>
      </x:c>
      <x:c r="E205" s="4" t="s">
        <x:v>432</x:v>
      </x:c>
      <x:c r="F205" s="65" t="n">
        <x:v>46176.88486111111</x:v>
      </x:c>
      <x:c r="G205" s="4" t="s">
        <x:v>1336</x:v>
      </x:c>
      <x:c r="H205" s="4" t="s">
        <x:v>1337</x:v>
      </x:c>
      <x:c r="I205" s="4" t="s">
        <x:v>1825</x:v>
      </x:c>
      <x:c r="J205" s="4" t="s">
        <x:v>1826</x:v>
      </x:c>
      <x:c r="K205" s="4" t="s">
        <x:v>107</x:v>
      </x:c>
      <x:c r="L205" s="4" t="s">
        <x:v>433</x:v>
      </x:c>
      <x:c r="M205" s="4" t="s">
        <x:v>169</x:v>
      </x:c>
      <x:c r="N205" s="4" t="s">
        <x:v>169</x:v>
      </x:c>
      <x:c r="O205" s="4" t="str">
        <x:v>已取消</x:v>
      </x:c>
      <x:c r="P205" s="4" t="s">
        <x:v>171</x:v>
      </x:c>
      <x:c r="Q205" s="4" t="s">
        <x:v>1817</x:v>
      </x:c>
      <x:c r="R205" s="4" t="s">
        <x:v>1827</x:v>
      </x:c>
      <x:c r="S205" s="4" t="s">
        <x:v>1828</x:v>
      </x:c>
      <x:c r="T205" s="4" t="s">
        <x:v>1829</x:v>
      </x:c>
      <x:c r="U205" s="4" t="s">
        <x:v>229</x:v>
      </x:c>
      <x:c r="V205" s="4" t="s">
        <x:v>229</x:v>
      </x:c>
      <x:c r="W205" s="4" t="s">
        <x:v>172</x:v>
      </x:c>
      <x:c r="X205" s="4" t="s">
        <x:v>171</x:v>
      </x:c>
      <x:c r="Y205" s="4" t="s">
        <x:v>172</x:v>
      </x:c>
      <x:c r="Z205" s="4" t="s">
        <x:v>172</x:v>
      </x:c>
      <x:c r="AA205" s="4" t="s">
        <x:v>172</x:v>
      </x:c>
      <x:c r="AB205" s="4" t="s">
        <x:v>172</x:v>
      </x:c>
      <x:c r="AC205" s="4" t="s">
        <x:v>172</x:v>
      </x:c>
      <x:c r="AD205" s="4" t="str">
        <x:v>疑似连续调整</x:v>
      </x:c>
      <x:c r="AE205" s="4" t="s">
        <x:v>1830</x:v>
      </x:c>
      <x:c r="AF205" s="4" t="s">
        <x:v>1830</x:v>
      </x:c>
      <x:c r="AG205" s="4" t="str">
        <x:v>条件委托已取消；算法编号1000001845962448；创建时间2026-06-04 04:57:36；撤销时间2026-06-04 05:14:12；是否触发否；周期关联等级STRONG_CONTEXT；取消/过期原因无法确认（已完成为不适用）。</x:v>
      </x:c>
      <x:c r="AH205" s="4" t="s">
        <x:v>172</x:v>
      </x:c>
      <x:c r="AI205" s="4" t="str">
        <x:v>/Users/luodaluo/Desktop/30天复盘原始数据/补充证据_历史委托条件委托截图/05_安卓端取消与过期完整生命周期/01_已取消/Screenshot_20260722_214246.jpg</x:v>
      </x:c>
      <x:c r="AJ205" s="4" t="s">
        <x:v>2365</x:v>
      </x:c>
      <x:c r="AK205" s="4" t="s">
        <x:v>169</x:v>
      </x:c>
      <x:c r="AL205" s="4" t="s">
        <x:v>1832</x:v>
      </x:c>
      <x:c r="AM205" s="66" t="str">
        <x:v>1000001845962448</x:v>
      </x:c>
      <x:c r="AN205" t="str">
        <x:v>撤销</x:v>
      </x:c>
      <x:c r="AO205" t="str">
        <x:v>否</x:v>
      </x:c>
      <x:c r="AP205" s="67" t="n">
        <x:v>46176.88486111111</x:v>
      </x:c>
      <x:c r="AQ205" t="str">
        <x:v>STRONG_CONTEXT</x:v>
      </x:c>
      <x:c r="AR205" t="str">
        <x:v>/Users/luodaluo/Desktop/30天复盘原始数据/补充证据_历史委托条件委托截图/05_安卓端取消与过期完整生命周期/01_已取消/Screenshot_20260722_214246.jpg</x:v>
      </x:c>
    </x:row>
    <x:row r="206">
      <x:c r="A206" s="4" t="s">
        <x:v>72</x:v>
      </x:c>
      <x:c r="B206" s="4" t="s">
        <x:v>1721</x:v>
      </x:c>
      <x:c r="C206" s="4" t="s">
        <x:v>1824</x:v>
      </x:c>
      <x:c r="D206" s="4" t="s">
        <x:v>434</x:v>
      </x:c>
      <x:c r="E206" s="4" t="s">
        <x:v>434</x:v>
      </x:c>
      <x:c r="F206" s="65" t="n">
        <x:v>46176.89270833333</x:v>
      </x:c>
      <x:c r="G206" s="4" t="s">
        <x:v>1336</x:v>
      </x:c>
      <x:c r="H206" s="4" t="s">
        <x:v>1337</x:v>
      </x:c>
      <x:c r="I206" s="4" t="s">
        <x:v>1825</x:v>
      </x:c>
      <x:c r="J206" s="4" t="s">
        <x:v>1826</x:v>
      </x:c>
      <x:c r="K206" s="4" t="s">
        <x:v>107</x:v>
      </x:c>
      <x:c r="L206" s="4" t="s">
        <x:v>418</x:v>
      </x:c>
      <x:c r="M206" s="4" t="s">
        <x:v>169</x:v>
      </x:c>
      <x:c r="N206" s="4" t="s">
        <x:v>169</x:v>
      </x:c>
      <x:c r="O206" s="4" t="str">
        <x:v>已取消</x:v>
      </x:c>
      <x:c r="P206" s="4" t="s">
        <x:v>171</x:v>
      </x:c>
      <x:c r="Q206" s="4" t="s">
        <x:v>1817</x:v>
      </x:c>
      <x:c r="R206" s="4" t="s">
        <x:v>1827</x:v>
      </x:c>
      <x:c r="S206" s="4" t="s">
        <x:v>1828</x:v>
      </x:c>
      <x:c r="T206" s="4" t="s">
        <x:v>1829</x:v>
      </x:c>
      <x:c r="U206" s="4" t="s">
        <x:v>229</x:v>
      </x:c>
      <x:c r="V206" s="4" t="s">
        <x:v>229</x:v>
      </x:c>
      <x:c r="W206" s="4" t="s">
        <x:v>172</x:v>
      </x:c>
      <x:c r="X206" s="4" t="s">
        <x:v>171</x:v>
      </x:c>
      <x:c r="Y206" s="4" t="s">
        <x:v>172</x:v>
      </x:c>
      <x:c r="Z206" s="4" t="s">
        <x:v>172</x:v>
      </x:c>
      <x:c r="AA206" s="4" t="s">
        <x:v>172</x:v>
      </x:c>
      <x:c r="AB206" s="4" t="s">
        <x:v>172</x:v>
      </x:c>
      <x:c r="AC206" s="4" t="s">
        <x:v>172</x:v>
      </x:c>
      <x:c r="AD206" s="4" t="str">
        <x:v>疑似连续调整</x:v>
      </x:c>
      <x:c r="AE206" s="4" t="s">
        <x:v>1830</x:v>
      </x:c>
      <x:c r="AF206" s="4" t="s">
        <x:v>1830</x:v>
      </x:c>
      <x:c r="AG206" s="4" t="str">
        <x:v>条件委托已取消；算法编号1000001846123695；创建时间2026-06-04 05:14:12；撤销时间2026-06-04 05:25:30；是否触发否；周期关联等级STRONG_CONTEXT；取消/过期原因无法确认（已完成为不适用）。</x:v>
      </x:c>
      <x:c r="AH206" s="4" t="s">
        <x:v>172</x:v>
      </x:c>
      <x:c r="AI206" s="4" t="str">
        <x:v>/Users/luodaluo/Desktop/30天复盘原始数据/补充证据_历史委托条件委托截图/05_安卓端取消与过期完整生命周期/01_已取消/Screenshot_20260722_214250.jpg</x:v>
      </x:c>
      <x:c r="AJ206" s="4" t="s">
        <x:v>2366</x:v>
      </x:c>
      <x:c r="AK206" s="4" t="s">
        <x:v>169</x:v>
      </x:c>
      <x:c r="AL206" s="4" t="s">
        <x:v>1832</x:v>
      </x:c>
      <x:c r="AM206" s="66" t="str">
        <x:v>1000001846123695</x:v>
      </x:c>
      <x:c r="AN206" t="str">
        <x:v>撤销</x:v>
      </x:c>
      <x:c r="AO206" t="str">
        <x:v>否</x:v>
      </x:c>
      <x:c r="AP206" s="67" t="n">
        <x:v>46176.89270833333</x:v>
      </x:c>
      <x:c r="AQ206" t="str">
        <x:v>STRONG_CONTEXT</x:v>
      </x:c>
      <x:c r="AR206" t="str">
        <x:v>/Users/luodaluo/Desktop/30天复盘原始数据/补充证据_历史委托条件委托截图/05_安卓端取消与过期完整生命周期/01_已取消/Screenshot_20260722_214250.jpg</x:v>
      </x:c>
    </x:row>
    <x:row r="207">
      <x:c r="A207" s="4" t="s">
        <x:v>72</x:v>
      </x:c>
      <x:c r="B207" s="4" t="s">
        <x:v>1720</x:v>
      </x:c>
      <x:c r="C207" s="4" t="s">
        <x:v>1824</x:v>
      </x:c>
      <x:c r="D207" s="4" t="s">
        <x:v>435</x:v>
      </x:c>
      <x:c r="E207" s="4" t="s">
        <x:v>435</x:v>
      </x:c>
      <x:c r="F207" s="65" t="n">
        <x:v>46176.89776620371</x:v>
      </x:c>
      <x:c r="G207" s="4" t="s">
        <x:v>1336</x:v>
      </x:c>
      <x:c r="H207" s="4" t="s">
        <x:v>1337</x:v>
      </x:c>
      <x:c r="I207" s="4" t="s">
        <x:v>1825</x:v>
      </x:c>
      <x:c r="J207" s="4" t="s">
        <x:v>1826</x:v>
      </x:c>
      <x:c r="K207" s="4" t="s">
        <x:v>107</x:v>
      </x:c>
      <x:c r="L207" s="4" t="s">
        <x:v>327</x:v>
      </x:c>
      <x:c r="M207" s="4" t="s">
        <x:v>169</x:v>
      </x:c>
      <x:c r="N207" s="4" t="s">
        <x:v>169</x:v>
      </x:c>
      <x:c r="O207" s="4" t="str">
        <x:v>已取消</x:v>
      </x:c>
      <x:c r="P207" s="4" t="s">
        <x:v>171</x:v>
      </x:c>
      <x:c r="Q207" s="4" t="s">
        <x:v>1817</x:v>
      </x:c>
      <x:c r="R207" s="4" t="s">
        <x:v>1827</x:v>
      </x:c>
      <x:c r="S207" s="4" t="s">
        <x:v>1828</x:v>
      </x:c>
      <x:c r="T207" s="4" t="s">
        <x:v>1829</x:v>
      </x:c>
      <x:c r="U207" s="4" t="s">
        <x:v>229</x:v>
      </x:c>
      <x:c r="V207" s="4" t="s">
        <x:v>229</x:v>
      </x:c>
      <x:c r="W207" s="4" t="s">
        <x:v>172</x:v>
      </x:c>
      <x:c r="X207" s="4" t="s">
        <x:v>171</x:v>
      </x:c>
      <x:c r="Y207" s="4" t="s">
        <x:v>172</x:v>
      </x:c>
      <x:c r="Z207" s="4" t="s">
        <x:v>172</x:v>
      </x:c>
      <x:c r="AA207" s="4" t="s">
        <x:v>172</x:v>
      </x:c>
      <x:c r="AB207" s="4" t="s">
        <x:v>172</x:v>
      </x:c>
      <x:c r="AC207" s="4" t="s">
        <x:v>172</x:v>
      </x:c>
      <x:c r="AD207" s="4" t="str">
        <x:v>疑似连续调整</x:v>
      </x:c>
      <x:c r="AE207" s="4" t="s">
        <x:v>1830</x:v>
      </x:c>
      <x:c r="AF207" s="4" t="s">
        <x:v>1830</x:v>
      </x:c>
      <x:c r="AG207" s="4" t="str">
        <x:v>条件委托已取消；算法编号1000001846212866；创建时间2026-06-04 05:25:31；撤销时间2026-06-04 05:32:47；是否触发否；周期关联等级STRONG_CONTEXT；取消/过期原因无法确认（已完成为不适用）。</x:v>
      </x:c>
      <x:c r="AH207" s="4" t="s">
        <x:v>172</x:v>
      </x:c>
      <x:c r="AI207" s="4" t="str">
        <x:v>/Users/luodaluo/Desktop/30天复盘原始数据/补充证据_历史委托条件委托截图/05_安卓端取消与过期完整生命周期/01_已取消/Screenshot_20260722_214254.jpg</x:v>
      </x:c>
      <x:c r="AJ207" s="4" t="s">
        <x:v>2367</x:v>
      </x:c>
      <x:c r="AK207" s="4" t="s">
        <x:v>169</x:v>
      </x:c>
      <x:c r="AL207" s="4" t="s">
        <x:v>1832</x:v>
      </x:c>
      <x:c r="AM207" s="66" t="str">
        <x:v>1000001846212866</x:v>
      </x:c>
      <x:c r="AN207" t="str">
        <x:v>撤销</x:v>
      </x:c>
      <x:c r="AO207" t="str">
        <x:v>否</x:v>
      </x:c>
      <x:c r="AP207" s="67" t="n">
        <x:v>46176.89776620371</x:v>
      </x:c>
      <x:c r="AQ207" t="str">
        <x:v>STRONG_CONTEXT</x:v>
      </x:c>
      <x:c r="AR207" t="str">
        <x:v>/Users/luodaluo/Desktop/30天复盘原始数据/补充证据_历史委托条件委托截图/05_安卓端取消与过期完整生命周期/01_已取消/Screenshot_20260722_214254.jpg</x:v>
      </x:c>
    </x:row>
    <x:row r="208">
      <x:c r="A208" s="4" t="s">
        <x:v>72</x:v>
      </x:c>
      <x:c r="B208" s="4" t="s">
        <x:v>1927</x:v>
      </x:c>
      <x:c r="C208" s="4" t="s">
        <x:v>1824</x:v>
      </x:c>
      <x:c r="D208" s="4" t="s">
        <x:v>436</x:v>
      </x:c>
      <x:c r="E208" s="4" t="s">
        <x:v>436</x:v>
      </x:c>
      <x:c r="F208" s="65" t="n">
        <x:v>46176.89942129629</x:v>
      </x:c>
      <x:c r="G208" s="4" t="s">
        <x:v>1336</x:v>
      </x:c>
      <x:c r="H208" s="4" t="s">
        <x:v>1337</x:v>
      </x:c>
      <x:c r="I208" s="4" t="s">
        <x:v>1825</x:v>
      </x:c>
      <x:c r="J208" s="4" t="s">
        <x:v>1826</x:v>
      </x:c>
      <x:c r="K208" s="4" t="s">
        <x:v>107</x:v>
      </x:c>
      <x:c r="L208" s="4" t="s">
        <x:v>422</x:v>
      </x:c>
      <x:c r="M208" s="4" t="s">
        <x:v>169</x:v>
      </x:c>
      <x:c r="N208" s="4" t="s">
        <x:v>169</x:v>
      </x:c>
      <x:c r="O208" s="4" t="str">
        <x:v>已取消</x:v>
      </x:c>
      <x:c r="P208" s="4" t="s">
        <x:v>171</x:v>
      </x:c>
      <x:c r="Q208" s="4" t="s">
        <x:v>1817</x:v>
      </x:c>
      <x:c r="R208" s="4" t="s">
        <x:v>1827</x:v>
      </x:c>
      <x:c r="S208" s="4" t="s">
        <x:v>1828</x:v>
      </x:c>
      <x:c r="T208" s="4" t="s">
        <x:v>1829</x:v>
      </x:c>
      <x:c r="U208" s="4" t="s">
        <x:v>229</x:v>
      </x:c>
      <x:c r="V208" s="4" t="s">
        <x:v>229</x:v>
      </x:c>
      <x:c r="W208" s="4" t="s">
        <x:v>172</x:v>
      </x:c>
      <x:c r="X208" s="4" t="s">
        <x:v>171</x:v>
      </x:c>
      <x:c r="Y208" s="4" t="s">
        <x:v>172</x:v>
      </x:c>
      <x:c r="Z208" s="4" t="s">
        <x:v>172</x:v>
      </x:c>
      <x:c r="AA208" s="4" t="s">
        <x:v>172</x:v>
      </x:c>
      <x:c r="AB208" s="4" t="s">
        <x:v>172</x:v>
      </x:c>
      <x:c r="AC208" s="4" t="s">
        <x:v>172</x:v>
      </x:c>
      <x:c r="AD208" s="4" t="str">
        <x:v>疑似连续调整</x:v>
      </x:c>
      <x:c r="AE208" s="4" t="s">
        <x:v>1830</x:v>
      </x:c>
      <x:c r="AF208" s="4" t="s">
        <x:v>1830</x:v>
      </x:c>
      <x:c r="AG208" s="4" t="str">
        <x:v>条件委托已取消；算法编号1000001846270308；创建时间2026-06-04 05:32:47；撤销时间2026-06-04 05:35:10；是否触发否；周期关联等级STRONG_CONTEXT；取消/过期原因无法确认（已完成为不适用）。</x:v>
      </x:c>
      <x:c r="AH208" s="4" t="s">
        <x:v>172</x:v>
      </x:c>
      <x:c r="AI208" s="4" t="str">
        <x:v>/Users/luodaluo/Desktop/30天复盘原始数据/补充证据_历史委托条件委托截图/05_安卓端取消与过期完整生命周期/01_已取消/Screenshot_20260722_214301.jpg</x:v>
      </x:c>
      <x:c r="AJ208" s="4" t="s">
        <x:v>2368</x:v>
      </x:c>
      <x:c r="AK208" s="4" t="s">
        <x:v>169</x:v>
      </x:c>
      <x:c r="AL208" s="4" t="s">
        <x:v>1832</x:v>
      </x:c>
      <x:c r="AM208" s="66" t="str">
        <x:v>1000001846270308</x:v>
      </x:c>
      <x:c r="AN208" t="str">
        <x:v>撤销</x:v>
      </x:c>
      <x:c r="AO208" t="str">
        <x:v>否</x:v>
      </x:c>
      <x:c r="AP208" s="67" t="n">
        <x:v>46176.89942129629</x:v>
      </x:c>
      <x:c r="AQ208" t="str">
        <x:v>STRONG_CONTEXT</x:v>
      </x:c>
      <x:c r="AR208" t="str">
        <x:v>/Users/luodaluo/Desktop/30天复盘原始数据/补充证据_历史委托条件委托截图/05_安卓端取消与过期完整生命周期/01_已取消/Screenshot_20260722_214301.jpg</x:v>
      </x:c>
    </x:row>
    <x:row r="209">
      <x:c r="A209" s="4" t="s">
        <x:v>72</x:v>
      </x:c>
      <x:c r="B209" s="4" t="s">
        <x:v>1855</x:v>
      </x:c>
      <x:c r="C209" s="4" t="s">
        <x:v>1824</x:v>
      </x:c>
      <x:c r="D209" s="4" t="s">
        <x:v>437</x:v>
      </x:c>
      <x:c r="E209" s="4" t="s">
        <x:v>437</x:v>
      </x:c>
      <x:c r="F209" s="65" t="n">
        <x:v>46176.89957175926</x:v>
      </x:c>
      <x:c r="G209" s="4" t="s">
        <x:v>1336</x:v>
      </x:c>
      <x:c r="H209" s="4" t="s">
        <x:v>1337</x:v>
      </x:c>
      <x:c r="I209" s="4" t="s">
        <x:v>1825</x:v>
      </x:c>
      <x:c r="J209" s="4" t="s">
        <x:v>1826</x:v>
      </x:c>
      <x:c r="K209" s="4" t="s">
        <x:v>107</x:v>
      </x:c>
      <x:c r="L209" s="4" t="s">
        <x:v>327</x:v>
      </x:c>
      <x:c r="M209" s="4" t="s">
        <x:v>169</x:v>
      </x:c>
      <x:c r="N209" s="4" t="s">
        <x:v>169</x:v>
      </x:c>
      <x:c r="O209" s="4" t="str">
        <x:v>已取消</x:v>
      </x:c>
      <x:c r="P209" s="4" t="s">
        <x:v>171</x:v>
      </x:c>
      <x:c r="Q209" s="4" t="s">
        <x:v>1817</x:v>
      </x:c>
      <x:c r="R209" s="4" t="s">
        <x:v>1827</x:v>
      </x:c>
      <x:c r="S209" s="4" t="s">
        <x:v>1828</x:v>
      </x:c>
      <x:c r="T209" s="4" t="s">
        <x:v>1829</x:v>
      </x:c>
      <x:c r="U209" s="4" t="s">
        <x:v>229</x:v>
      </x:c>
      <x:c r="V209" s="4" t="s">
        <x:v>229</x:v>
      </x:c>
      <x:c r="W209" s="4" t="s">
        <x:v>172</x:v>
      </x:c>
      <x:c r="X209" s="4" t="s">
        <x:v>171</x:v>
      </x:c>
      <x:c r="Y209" s="4" t="s">
        <x:v>172</x:v>
      </x:c>
      <x:c r="Z209" s="4" t="s">
        <x:v>172</x:v>
      </x:c>
      <x:c r="AA209" s="4" t="s">
        <x:v>172</x:v>
      </x:c>
      <x:c r="AB209" s="4" t="s">
        <x:v>172</x:v>
      </x:c>
      <x:c r="AC209" s="4" t="s">
        <x:v>172</x:v>
      </x:c>
      <x:c r="AD209" s="4" t="str">
        <x:v>疑似连续调整</x:v>
      </x:c>
      <x:c r="AE209" s="4" t="s">
        <x:v>1830</x:v>
      </x:c>
      <x:c r="AF209" s="4" t="s">
        <x:v>1830</x:v>
      </x:c>
      <x:c r="AG209" s="4" t="str">
        <x:v>条件委托已取消；算法编号1000001846293888；创建时间2026-06-04 05:35:10；撤销时间2026-06-04 05:35:23；是否触发否；周期关联等级STRONG_CONTEXT；取消/过期原因无法确认（已完成为不适用）。</x:v>
      </x:c>
      <x:c r="AH209" s="4" t="s">
        <x:v>172</x:v>
      </x:c>
      <x:c r="AI209" s="4" t="str">
        <x:v>/Users/luodaluo/Desktop/30天复盘原始数据/补充证据_历史委托条件委托截图/05_安卓端取消与过期完整生命周期/01_已取消/Screenshot_20260722_214305.jpg</x:v>
      </x:c>
      <x:c r="AJ209" s="4" t="s">
        <x:v>2369</x:v>
      </x:c>
      <x:c r="AK209" s="4" t="s">
        <x:v>169</x:v>
      </x:c>
      <x:c r="AL209" s="4" t="s">
        <x:v>1832</x:v>
      </x:c>
      <x:c r="AM209" s="66" t="str">
        <x:v>1000001846293888</x:v>
      </x:c>
      <x:c r="AN209" t="str">
        <x:v>撤销</x:v>
      </x:c>
      <x:c r="AO209" t="str">
        <x:v>否</x:v>
      </x:c>
      <x:c r="AP209" s="67" t="n">
        <x:v>46176.89957175926</x:v>
      </x:c>
      <x:c r="AQ209" t="str">
        <x:v>STRONG_CONTEXT</x:v>
      </x:c>
      <x:c r="AR209" t="str">
        <x:v>/Users/luodaluo/Desktop/30天复盘原始数据/补充证据_历史委托条件委托截图/05_安卓端取消与过期完整生命周期/01_已取消/Screenshot_20260722_214305.jpg</x:v>
      </x:c>
    </x:row>
    <x:row r="210">
      <x:c r="A210" s="4" t="s">
        <x:v>72</x:v>
      </x:c>
      <x:c r="B210" s="4" t="s">
        <x:v>1501</x:v>
      </x:c>
      <x:c r="C210" s="4" t="s">
        <x:v>1824</x:v>
      </x:c>
      <x:c r="D210" s="4" t="s">
        <x:v>438</x:v>
      </x:c>
      <x:c r="E210" s="4" t="s">
        <x:v>438</x:v>
      </x:c>
      <x:c r="F210" s="65" t="n">
        <x:v>46176.91457175926</x:v>
      </x:c>
      <x:c r="G210" s="4" t="s">
        <x:v>1336</x:v>
      </x:c>
      <x:c r="H210" s="4" t="s">
        <x:v>1337</x:v>
      </x:c>
      <x:c r="I210" s="4" t="s">
        <x:v>1825</x:v>
      </x:c>
      <x:c r="J210" s="4" t="s">
        <x:v>1826</x:v>
      </x:c>
      <x:c r="K210" s="4" t="s">
        <x:v>107</x:v>
      </x:c>
      <x:c r="L210" s="4" t="s">
        <x:v>418</x:v>
      </x:c>
      <x:c r="M210" s="4" t="s">
        <x:v>169</x:v>
      </x:c>
      <x:c r="N210" s="4" t="s">
        <x:v>169</x:v>
      </x:c>
      <x:c r="O210" s="4" t="str">
        <x:v>已取消</x:v>
      </x:c>
      <x:c r="P210" s="4" t="s">
        <x:v>171</x:v>
      </x:c>
      <x:c r="Q210" s="4" t="s">
        <x:v>1817</x:v>
      </x:c>
      <x:c r="R210" s="4" t="s">
        <x:v>1827</x:v>
      </x:c>
      <x:c r="S210" s="4" t="s">
        <x:v>1828</x:v>
      </x:c>
      <x:c r="T210" s="4" t="s">
        <x:v>1829</x:v>
      </x:c>
      <x:c r="U210" s="4" t="s">
        <x:v>229</x:v>
      </x:c>
      <x:c r="V210" s="4" t="s">
        <x:v>229</x:v>
      </x:c>
      <x:c r="W210" s="4" t="s">
        <x:v>172</x:v>
      </x:c>
      <x:c r="X210" s="4" t="s">
        <x:v>171</x:v>
      </x:c>
      <x:c r="Y210" s="4" t="s">
        <x:v>172</x:v>
      </x:c>
      <x:c r="Z210" s="4" t="s">
        <x:v>172</x:v>
      </x:c>
      <x:c r="AA210" s="4" t="s">
        <x:v>172</x:v>
      </x:c>
      <x:c r="AB210" s="4" t="s">
        <x:v>172</x:v>
      </x:c>
      <x:c r="AC210" s="4" t="s">
        <x:v>172</x:v>
      </x:c>
      <x:c r="AD210" s="4" t="str">
        <x:v>疑似连续调整</x:v>
      </x:c>
      <x:c r="AE210" s="4" t="s">
        <x:v>1830</x:v>
      </x:c>
      <x:c r="AF210" s="4" t="s">
        <x:v>1830</x:v>
      </x:c>
      <x:c r="AG210" s="4" t="str">
        <x:v>条件委托已取消；算法编号1000001846295656；创建时间2026-06-04 05:35:23；撤销时间2026-06-04 05:56:59；是否触发否；周期关联等级STRONG_CONTEXT；取消/过期原因无法确认（已完成为不适用）。</x:v>
      </x:c>
      <x:c r="AH210" s="4" t="s">
        <x:v>172</x:v>
      </x:c>
      <x:c r="AI210" s="4" t="str">
        <x:v>/Users/luodaluo/Desktop/30天复盘原始数据/补充证据_历史委托条件委托截图/05_安卓端取消与过期完整生命周期/01_已取消/Screenshot_20260722_214310.jpg</x:v>
      </x:c>
      <x:c r="AJ210" s="4" t="s">
        <x:v>2370</x:v>
      </x:c>
      <x:c r="AK210" s="4" t="s">
        <x:v>169</x:v>
      </x:c>
      <x:c r="AL210" s="4" t="s">
        <x:v>1832</x:v>
      </x:c>
      <x:c r="AM210" s="66" t="str">
        <x:v>1000001846295656</x:v>
      </x:c>
      <x:c r="AN210" t="str">
        <x:v>撤销</x:v>
      </x:c>
      <x:c r="AO210" t="str">
        <x:v>否</x:v>
      </x:c>
      <x:c r="AP210" s="67" t="n">
        <x:v>46176.91457175926</x:v>
      </x:c>
      <x:c r="AQ210" t="str">
        <x:v>STRONG_CONTEXT</x:v>
      </x:c>
      <x:c r="AR210" t="str">
        <x:v>/Users/luodaluo/Desktop/30天复盘原始数据/补充证据_历史委托条件委托截图/05_安卓端取消与过期完整生命周期/01_已取消/Screenshot_20260722_214310.jpg</x:v>
      </x:c>
    </x:row>
    <x:row r="211">
      <x:c r="A211" s="4" t="s">
        <x:v>72</x:v>
      </x:c>
      <x:c r="B211" s="4" t="s">
        <x:v>1935</x:v>
      </x:c>
      <x:c r="C211" s="4" t="s">
        <x:v>1824</x:v>
      </x:c>
      <x:c r="D211" s="4" t="s">
        <x:v>439</x:v>
      </x:c>
      <x:c r="E211" s="4" t="s">
        <x:v>439</x:v>
      </x:c>
      <x:c r="F211" s="65" t="n">
        <x:v>46176.91494212963</x:v>
      </x:c>
      <x:c r="G211" s="4" t="s">
        <x:v>1336</x:v>
      </x:c>
      <x:c r="H211" s="4" t="s">
        <x:v>1337</x:v>
      </x:c>
      <x:c r="I211" s="4" t="s">
        <x:v>1825</x:v>
      </x:c>
      <x:c r="J211" s="4" t="s">
        <x:v>1826</x:v>
      </x:c>
      <x:c r="K211" s="4" t="s">
        <x:v>107</x:v>
      </x:c>
      <x:c r="L211" s="4" t="s">
        <x:v>440</x:v>
      </x:c>
      <x:c r="M211" s="4" t="s">
        <x:v>169</x:v>
      </x:c>
      <x:c r="N211" s="4" t="s">
        <x:v>169</x:v>
      </x:c>
      <x:c r="O211" s="4" t="str">
        <x:v>已取消</x:v>
      </x:c>
      <x:c r="P211" s="4" t="s">
        <x:v>171</x:v>
      </x:c>
      <x:c r="Q211" s="4" t="s">
        <x:v>1817</x:v>
      </x:c>
      <x:c r="R211" s="4" t="s">
        <x:v>1827</x:v>
      </x:c>
      <x:c r="S211" s="4" t="s">
        <x:v>1828</x:v>
      </x:c>
      <x:c r="T211" s="4" t="s">
        <x:v>1829</x:v>
      </x:c>
      <x:c r="U211" s="4" t="s">
        <x:v>229</x:v>
      </x:c>
      <x:c r="V211" s="4" t="s">
        <x:v>229</x:v>
      </x:c>
      <x:c r="W211" s="4" t="s">
        <x:v>172</x:v>
      </x:c>
      <x:c r="X211" s="4" t="s">
        <x:v>171</x:v>
      </x:c>
      <x:c r="Y211" s="4" t="s">
        <x:v>172</x:v>
      </x:c>
      <x:c r="Z211" s="4" t="s">
        <x:v>172</x:v>
      </x:c>
      <x:c r="AA211" s="4" t="s">
        <x:v>172</x:v>
      </x:c>
      <x:c r="AB211" s="4" t="s">
        <x:v>172</x:v>
      </x:c>
      <x:c r="AC211" s="4" t="s">
        <x:v>172</x:v>
      </x:c>
      <x:c r="AD211" s="4" t="str">
        <x:v>疑似连续调整</x:v>
      </x:c>
      <x:c r="AE211" s="4" t="s">
        <x:v>1830</x:v>
      </x:c>
      <x:c r="AF211" s="4" t="s">
        <x:v>1830</x:v>
      </x:c>
      <x:c r="AG211" s="4" t="str">
        <x:v>条件委托已取消；算法编号1000001846502526；创建时间2026-06-04 05:56:59；撤销时间2026-06-04 05:57:31；是否触发否；周期关联等级STRONG_CONTEXT；取消/过期原因无法确认（已完成为不适用）。</x:v>
      </x:c>
      <x:c r="AH211" s="4" t="s">
        <x:v>172</x:v>
      </x:c>
      <x:c r="AI211" s="4" t="str">
        <x:v>/Users/luodaluo/Desktop/30天复盘原始数据/补充证据_历史委托条件委托截图/05_安卓端取消与过期完整生命周期/01_已取消/Screenshot_20260722_214318.jpg</x:v>
      </x:c>
      <x:c r="AJ211" s="4" t="s">
        <x:v>2371</x:v>
      </x:c>
      <x:c r="AK211" s="4" t="s">
        <x:v>169</x:v>
      </x:c>
      <x:c r="AL211" s="4" t="s">
        <x:v>1832</x:v>
      </x:c>
      <x:c r="AM211" s="66" t="str">
        <x:v>1000001846502526</x:v>
      </x:c>
      <x:c r="AN211" t="str">
        <x:v>撤销</x:v>
      </x:c>
      <x:c r="AO211" t="str">
        <x:v>否</x:v>
      </x:c>
      <x:c r="AP211" s="67" t="n">
        <x:v>46176.91494212963</x:v>
      </x:c>
      <x:c r="AQ211" t="str">
        <x:v>STRONG_CONTEXT</x:v>
      </x:c>
      <x:c r="AR211" t="str">
        <x:v>/Users/luodaluo/Desktop/30天复盘原始数据/补充证据_历史委托条件委托截图/05_安卓端取消与过期完整生命周期/01_已取消/Screenshot_20260722_214318.jpg</x:v>
      </x:c>
    </x:row>
    <x:row r="212">
      <x:c r="A212" s="4" t="s">
        <x:v>72</x:v>
      </x:c>
      <x:c r="B212" s="4" t="s">
        <x:v>1937</x:v>
      </x:c>
      <x:c r="C212" s="4" t="s">
        <x:v>1824</x:v>
      </x:c>
      <x:c r="D212" s="4" t="s">
        <x:v>441</x:v>
      </x:c>
      <x:c r="E212" s="4" t="s">
        <x:v>441</x:v>
      </x:c>
      <x:c r="F212" s="65" t="n">
        <x:v>46176.915138888886</x:v>
      </x:c>
      <x:c r="G212" s="4" t="s">
        <x:v>1336</x:v>
      </x:c>
      <x:c r="H212" s="4" t="s">
        <x:v>1337</x:v>
      </x:c>
      <x:c r="I212" s="4" t="s">
        <x:v>1825</x:v>
      </x:c>
      <x:c r="J212" s="4" t="s">
        <x:v>1826</x:v>
      </x:c>
      <x:c r="K212" s="4" t="s">
        <x:v>107</x:v>
      </x:c>
      <x:c r="L212" s="4" t="s">
        <x:v>442</x:v>
      </x:c>
      <x:c r="M212" s="4" t="s">
        <x:v>169</x:v>
      </x:c>
      <x:c r="N212" s="4" t="s">
        <x:v>169</x:v>
      </x:c>
      <x:c r="O212" s="4" t="str">
        <x:v>已取消</x:v>
      </x:c>
      <x:c r="P212" s="4" t="s">
        <x:v>171</x:v>
      </x:c>
      <x:c r="Q212" s="4" t="s">
        <x:v>1817</x:v>
      </x:c>
      <x:c r="R212" s="4" t="s">
        <x:v>1827</x:v>
      </x:c>
      <x:c r="S212" s="4" t="s">
        <x:v>1828</x:v>
      </x:c>
      <x:c r="T212" s="4" t="s">
        <x:v>1829</x:v>
      </x:c>
      <x:c r="U212" s="4" t="s">
        <x:v>229</x:v>
      </x:c>
      <x:c r="V212" s="4" t="s">
        <x:v>229</x:v>
      </x:c>
      <x:c r="W212" s="4" t="s">
        <x:v>172</x:v>
      </x:c>
      <x:c r="X212" s="4" t="s">
        <x:v>171</x:v>
      </x:c>
      <x:c r="Y212" s="4" t="s">
        <x:v>172</x:v>
      </x:c>
      <x:c r="Z212" s="4" t="s">
        <x:v>172</x:v>
      </x:c>
      <x:c r="AA212" s="4" t="s">
        <x:v>172</x:v>
      </x:c>
      <x:c r="AB212" s="4" t="s">
        <x:v>172</x:v>
      </x:c>
      <x:c r="AC212" s="4" t="s">
        <x:v>172</x:v>
      </x:c>
      <x:c r="AD212" s="4" t="str">
        <x:v>疑似连续调整</x:v>
      </x:c>
      <x:c r="AE212" s="4" t="s">
        <x:v>1830</x:v>
      </x:c>
      <x:c r="AF212" s="4" t="s">
        <x:v>1830</x:v>
      </x:c>
      <x:c r="AG212" s="4" t="str">
        <x:v>条件委托已取消；算法编号1000001846506842；创建时间2026-06-04 05:57:31；撤销时间2026-06-04 05:57:48；是否触发否；周期关联等级STRONG_CONTEXT；取消/过期原因无法确认（已完成为不适用）。</x:v>
      </x:c>
      <x:c r="AH212" s="4" t="s">
        <x:v>172</x:v>
      </x:c>
      <x:c r="AI212" s="4" t="str">
        <x:v>/Users/luodaluo/Desktop/30天复盘原始数据/补充证据_历史委托条件委托截图/05_安卓端取消与过期完整生命周期/01_已取消/Screenshot_20260722_214322.jpg</x:v>
      </x:c>
      <x:c r="AJ212" s="4" t="s">
        <x:v>2372</x:v>
      </x:c>
      <x:c r="AK212" s="4" t="s">
        <x:v>169</x:v>
      </x:c>
      <x:c r="AL212" s="4" t="s">
        <x:v>1832</x:v>
      </x:c>
      <x:c r="AM212" s="66" t="str">
        <x:v>1000001846506842</x:v>
      </x:c>
      <x:c r="AN212" t="str">
        <x:v>撤销</x:v>
      </x:c>
      <x:c r="AO212" t="str">
        <x:v>否</x:v>
      </x:c>
      <x:c r="AP212" s="67" t="n">
        <x:v>46176.915138888886</x:v>
      </x:c>
      <x:c r="AQ212" t="str">
        <x:v>STRONG_CONTEXT</x:v>
      </x:c>
      <x:c r="AR212" t="str">
        <x:v>/Users/luodaluo/Desktop/30天复盘原始数据/补充证据_历史委托条件委托截图/05_安卓端取消与过期完整生命周期/01_已取消/Screenshot_20260722_214322.jpg</x:v>
      </x:c>
    </x:row>
    <x:row r="213">
      <x:c r="A213" s="4" t="s">
        <x:v>72</x:v>
      </x:c>
      <x:c r="B213" s="4" t="s">
        <x:v>1939</x:v>
      </x:c>
      <x:c r="C213" s="4" t="s">
        <x:v>1824</x:v>
      </x:c>
      <x:c r="D213" s="4" t="s">
        <x:v>443</x:v>
      </x:c>
      <x:c r="E213" s="4" t="s">
        <x:v>443</x:v>
      </x:c>
      <x:c r="F213" s="65" t="n">
        <x:v>46176.91599537037</x:v>
      </x:c>
      <x:c r="G213" s="4" t="s">
        <x:v>1336</x:v>
      </x:c>
      <x:c r="H213" s="4" t="s">
        <x:v>1337</x:v>
      </x:c>
      <x:c r="I213" s="4" t="s">
        <x:v>1825</x:v>
      </x:c>
      <x:c r="J213" s="4" t="s">
        <x:v>1826</x:v>
      </x:c>
      <x:c r="K213" s="4" t="s">
        <x:v>107</x:v>
      </x:c>
      <x:c r="L213" s="4" t="s">
        <x:v>444</x:v>
      </x:c>
      <x:c r="M213" s="4" t="s">
        <x:v>169</x:v>
      </x:c>
      <x:c r="N213" s="4" t="s">
        <x:v>169</x:v>
      </x:c>
      <x:c r="O213" s="4" t="str">
        <x:v>已取消</x:v>
      </x:c>
      <x:c r="P213" s="4" t="s">
        <x:v>171</x:v>
      </x:c>
      <x:c r="Q213" s="4" t="s">
        <x:v>1817</x:v>
      </x:c>
      <x:c r="R213" s="4" t="s">
        <x:v>1827</x:v>
      </x:c>
      <x:c r="S213" s="4" t="s">
        <x:v>1828</x:v>
      </x:c>
      <x:c r="T213" s="4" t="s">
        <x:v>1829</x:v>
      </x:c>
      <x:c r="U213" s="4" t="s">
        <x:v>229</x:v>
      </x:c>
      <x:c r="V213" s="4" t="s">
        <x:v>229</x:v>
      </x:c>
      <x:c r="W213" s="4" t="s">
        <x:v>172</x:v>
      </x:c>
      <x:c r="X213" s="4" t="s">
        <x:v>171</x:v>
      </x:c>
      <x:c r="Y213" s="4" t="s">
        <x:v>172</x:v>
      </x:c>
      <x:c r="Z213" s="4" t="s">
        <x:v>172</x:v>
      </x:c>
      <x:c r="AA213" s="4" t="s">
        <x:v>172</x:v>
      </x:c>
      <x:c r="AB213" s="4" t="s">
        <x:v>172</x:v>
      </x:c>
      <x:c r="AC213" s="4" t="s">
        <x:v>172</x:v>
      </x:c>
      <x:c r="AD213" s="4" t="str">
        <x:v>疑似连续调整</x:v>
      </x:c>
      <x:c r="AE213" s="4" t="s">
        <x:v>1830</x:v>
      </x:c>
      <x:c r="AF213" s="4" t="s">
        <x:v>1830</x:v>
      </x:c>
      <x:c r="AG213" s="4" t="str">
        <x:v>条件委托已取消；算法编号1000001846517736；创建时间2026-06-04 05:58:51；撤销时间2026-06-04 05:59:02；是否触发否；周期关联等级STRONG_CONTEXT；取消/过期原因无法确认（已完成为不适用）。</x:v>
      </x:c>
      <x:c r="AH213" s="4" t="s">
        <x:v>172</x:v>
      </x:c>
      <x:c r="AI213" s="4" t="str">
        <x:v>/Users/luodaluo/Desktop/30天复盘原始数据/补充证据_历史委托条件委托截图/05_安卓端取消与过期完整生命周期/01_已取消/Screenshot_20260722_214328.jpg</x:v>
      </x:c>
      <x:c r="AJ213" s="4" t="s">
        <x:v>2373</x:v>
      </x:c>
      <x:c r="AK213" s="4" t="s">
        <x:v>169</x:v>
      </x:c>
      <x:c r="AL213" s="4" t="s">
        <x:v>1832</x:v>
      </x:c>
      <x:c r="AM213" s="66" t="str">
        <x:v>1000001846517736</x:v>
      </x:c>
      <x:c r="AN213" t="str">
        <x:v>撤销</x:v>
      </x:c>
      <x:c r="AO213" t="str">
        <x:v>否</x:v>
      </x:c>
      <x:c r="AP213" s="67" t="n">
        <x:v>46176.91599537037</x:v>
      </x:c>
      <x:c r="AQ213" t="str">
        <x:v>STRONG_CONTEXT</x:v>
      </x:c>
      <x:c r="AR213" t="str">
        <x:v>/Users/luodaluo/Desktop/30天复盘原始数据/补充证据_历史委托条件委托截图/05_安卓端取消与过期完整生命周期/01_已取消/Screenshot_20260722_214328.jpg</x:v>
      </x:c>
    </x:row>
    <x:row r="214">
      <x:c r="A214" s="4" t="s">
        <x:v>72</x:v>
      </x:c>
      <x:c r="B214" s="4" t="s">
        <x:v>1944</x:v>
      </x:c>
      <x:c r="C214" s="4" t="s">
        <x:v>1824</x:v>
      </x:c>
      <x:c r="D214" s="4" t="s">
        <x:v>445</x:v>
      </x:c>
      <x:c r="E214" s="4" t="s">
        <x:v>2374</x:v>
      </x:c>
      <x:c r="F214" s="65" t="s">
        <x:v>449</x:v>
      </x:c>
      <x:c r="G214" s="4" t="s">
        <x:v>1336</x:v>
      </x:c>
      <x:c r="H214" s="4" t="s">
        <x:v>1337</x:v>
      </x:c>
      <x:c r="I214" s="4" t="s">
        <x:v>1852</x:v>
      </x:c>
      <x:c r="J214" s="4" t="s">
        <x:v>199</x:v>
      </x:c>
      <x:c r="K214" s="4" t="s">
        <x:v>446</x:v>
      </x:c>
      <x:c r="L214" s="4" t="s">
        <x:v>107</x:v>
      </x:c>
      <x:c r="M214" s="4" t="s">
        <x:v>229</x:v>
      </x:c>
      <x:c r="N214" s="4" t="s">
        <x:v>229</x:v>
      </x:c>
      <x:c r="O214" s="4" t="s">
        <x:v>168</x:v>
      </x:c>
      <x:c r="P214" s="4" t="s">
        <x:v>1817</x:v>
      </x:c>
      <x:c r="Q214" s="4" t="s">
        <x:v>1817</x:v>
      </x:c>
      <x:c r="R214" s="4" t="s">
        <x:v>1818</x:v>
      </x:c>
      <x:c r="S214" s="4" t="s">
        <x:v>208</x:v>
      </x:c>
      <x:c r="T214" s="4" t="s">
        <x:v>1853</x:v>
      </x:c>
      <x:c r="U214" s="4" t="s">
        <x:v>229</x:v>
      </x:c>
      <x:c r="V214" s="4" t="s">
        <x:v>169</x:v>
      </x:c>
      <x:c r="W214" s="4" t="s">
        <x:v>171</x:v>
      </x:c>
      <x:c r="X214" s="4" t="s">
        <x:v>171</x:v>
      </x:c>
      <x:c r="Y214" s="4" t="s">
        <x:v>172</x:v>
      </x:c>
      <x:c r="Z214" s="4" t="s">
        <x:v>172</x:v>
      </x:c>
      <x:c r="AA214" s="4" t="s">
        <x:v>172</x:v>
      </x:c>
      <x:c r="AB214" s="4" t="s">
        <x:v>171</x:v>
      </x:c>
      <x:c r="AC214" s="4" t="s">
        <x:v>172</x:v>
      </x:c>
      <x:c r="AD214" s="4" t="s">
        <x:v>447</x:v>
      </x:c>
      <x:c r="AE214" s="4" t="s">
        <x:v>2209</x:v>
      </x:c>
      <x:c r="AF214" s="4" t="s">
        <x:v>1820</x:v>
      </x:c>
      <x:c r="AG214" s="4" t="s">
        <x:v>2375</x:v>
      </x:c>
      <x:c r="AH214" s="4" t="s">
        <x:v>171</x:v>
      </x:c>
      <x:c r="AI214" s="4" t="s">
        <x:v>1822</x:v>
      </x:c>
      <x:c r="AJ214" s="4" t="s">
        <x:v>1708</x:v>
      </x:c>
      <x:c r="AK214" s="4" t="s">
        <x:v>229</x:v>
      </x:c>
      <x:c r="AL214" s="4" t="s">
        <x:v>1823</x:v>
      </x:c>
      <x:c r="AM214" s="66"/>
      <x:c r="AP214" s="67"/>
    </x:row>
    <x:row r="215">
      <x:c r="A215" s="4" t="s">
        <x:v>72</x:v>
      </x:c>
      <x:c r="B215" s="4" t="s">
        <x:v>1946</x:v>
      </x:c>
      <x:c r="C215" s="4" t="s">
        <x:v>1856</x:v>
      </x:c>
      <x:c r="D215" s="4" t="s">
        <x:v>449</x:v>
      </x:c>
      <x:c r="E215" s="4" t="s">
        <x:v>107</x:v>
      </x:c>
      <x:c r="F215" s="65" t="s">
        <x:v>107</x:v>
      </x:c>
      <x:c r="G215" s="4" t="s">
        <x:v>1336</x:v>
      </x:c>
      <x:c r="H215" s="4" t="s">
        <x:v>1337</x:v>
      </x:c>
      <x:c r="I215" s="4" t="s">
        <x:v>107</x:v>
      </x:c>
      <x:c r="J215" s="4" t="s">
        <x:v>107</x:v>
      </x:c>
      <x:c r="K215" s="4" t="s">
        <x:v>107</x:v>
      </x:c>
      <x:c r="L215" s="4" t="s">
        <x:v>107</x:v>
      </x:c>
      <x:c r="M215" s="4" t="s">
        <x:v>107</x:v>
      </x:c>
      <x:c r="N215" s="4" t="s">
        <x:v>107</x:v>
      </x:c>
      <x:c r="O215" s="4" t="s">
        <x:v>107</x:v>
      </x:c>
      <x:c r="P215" s="4" t="s">
        <x:v>107</x:v>
      </x:c>
      <x:c r="Q215" s="4" t="s">
        <x:v>107</x:v>
      </x:c>
      <x:c r="R215" s="4" t="s">
        <x:v>1857</x:v>
      </x:c>
      <x:c r="S215" s="4" t="s">
        <x:v>213</x:v>
      </x:c>
      <x:c r="T215" s="4" t="s">
        <x:v>1858</x:v>
      </x:c>
      <x:c r="U215" s="4" t="s">
        <x:v>107</x:v>
      </x:c>
      <x:c r="V215" s="4" t="s">
        <x:v>107</x:v>
      </x:c>
      <x:c r="W215" s="4" t="s">
        <x:v>172</x:v>
      </x:c>
      <x:c r="X215" s="4" t="s">
        <x:v>172</x:v>
      </x:c>
      <x:c r="Y215" s="4" t="s">
        <x:v>172</x:v>
      </x:c>
      <x:c r="Z215" s="4" t="s">
        <x:v>172</x:v>
      </x:c>
      <x:c r="AA215" s="4" t="s">
        <x:v>172</x:v>
      </x:c>
      <x:c r="AB215" s="4" t="s">
        <x:v>172</x:v>
      </x:c>
      <x:c r="AC215" s="4" t="s">
        <x:v>172</x:v>
      </x:c>
      <x:c r="AD215" s="4" t="s">
        <x:v>107</x:v>
      </x:c>
      <x:c r="AE215" s="4" t="s">
        <x:v>107</x:v>
      </x:c>
      <x:c r="AF215" s="4" t="s">
        <x:v>107</x:v>
      </x:c>
      <x:c r="AG215" s="4" t="s">
        <x:v>450</x:v>
      </x:c>
      <x:c r="AH215" s="4" t="s">
        <x:v>172</x:v>
      </x:c>
      <x:c r="AI215" s="4" t="s">
        <x:v>1859</x:v>
      </x:c>
      <x:c r="AJ215" s="4" t="s">
        <x:v>2376</x:v>
      </x:c>
      <x:c r="AK215" s="4" t="s">
        <x:v>169</x:v>
      </x:c>
      <x:c r="AL215" s="4" t="s">
        <x:v>1861</x:v>
      </x:c>
      <x:c r="AM215" s="66"/>
      <x:c r="AP215" s="67"/>
    </x:row>
    <x:row r="216">
      <x:c r="A216" s="4" t="s">
        <x:v>68</x:v>
      </x:c>
      <x:c r="B216" s="4" t="s">
        <x:v>200</x:v>
      </x:c>
      <x:c r="C216" s="4" t="s">
        <x:v>1814</x:v>
      </x:c>
      <x:c r="D216" s="4" t="s">
        <x:v>183</x:v>
      </x:c>
      <x:c r="E216" s="4" t="s">
        <x:v>183</x:v>
      </x:c>
      <x:c r="F216" s="65" t="s">
        <x:v>2377</x:v>
      </x:c>
      <x:c r="G216" s="4" t="s">
        <x:v>1336</x:v>
      </x:c>
      <x:c r="H216" s="4" t="s">
        <x:v>1337</x:v>
      </x:c>
      <x:c r="I216" s="4" t="s">
        <x:v>1834</x:v>
      </x:c>
      <x:c r="J216" s="4" t="s">
        <x:v>1835</x:v>
      </x:c>
      <x:c r="K216" s="4" t="s">
        <x:v>186</x:v>
      </x:c>
      <x:c r="L216" s="4" t="s">
        <x:v>169</x:v>
      </x:c>
      <x:c r="M216" s="4" t="s">
        <x:v>1353</x:v>
      </x:c>
      <x:c r="N216" s="4" t="s">
        <x:v>169</x:v>
      </x:c>
      <x:c r="O216" s="4" t="s">
        <x:v>187</x:v>
      </x:c>
      <x:c r="P216" s="4" t="s">
        <x:v>1817</x:v>
      </x:c>
      <x:c r="Q216" s="4" t="s">
        <x:v>1817</x:v>
      </x:c>
      <x:c r="R216" s="4" t="s">
        <x:v>1836</x:v>
      </x:c>
      <x:c r="S216" s="4" t="s">
        <x:v>14</x:v>
      </x:c>
      <x:c r="T216" s="4" t="s">
        <x:v>1837</x:v>
      </x:c>
      <x:c r="U216" s="4" t="s">
        <x:v>169</x:v>
      </x:c>
      <x:c r="V216" s="4" t="s">
        <x:v>169</x:v>
      </x:c>
      <x:c r="W216" s="4" t="s">
        <x:v>172</x:v>
      </x:c>
      <x:c r="X216" s="4" t="s">
        <x:v>171</x:v>
      </x:c>
      <x:c r="Y216" s="4" t="s">
        <x:v>172</x:v>
      </x:c>
      <x:c r="Z216" s="4" t="s">
        <x:v>172</x:v>
      </x:c>
      <x:c r="AA216" s="4" t="s">
        <x:v>172</x:v>
      </x:c>
      <x:c r="AB216" s="4" t="s">
        <x:v>172</x:v>
      </x:c>
      <x:c r="AC216" s="4" t="s">
        <x:v>172</x:v>
      </x:c>
      <x:c r="AD216" s="4" t="s">
        <x:v>188</x:v>
      </x:c>
      <x:c r="AE216" s="4" t="s">
        <x:v>1820</x:v>
      </x:c>
      <x:c r="AF216" s="4" t="s">
        <x:v>1830</x:v>
      </x:c>
      <x:c r="AG216" s="4" t="s">
        <x:v>1869</x:v>
      </x:c>
      <x:c r="AH216" s="4" t="s">
        <x:v>172</x:v>
      </x:c>
      <x:c r="AI216" s="4" t="s">
        <x:v>2378</x:v>
      </x:c>
      <x:c r="AJ216" s="4" t="s">
        <x:v>2379</x:v>
      </x:c>
      <x:c r="AK216" s="4" t="s">
        <x:v>169</x:v>
      </x:c>
      <x:c r="AL216" s="4" t="s">
        <x:v>1841</x:v>
      </x:c>
      <x:c r="AM216" s="66"/>
      <x:c r="AP216" s="67"/>
    </x:row>
    <x:row r="217">
      <x:c r="A217" s="4" t="s">
        <x:v>68</x:v>
      </x:c>
      <x:c r="B217" s="4" t="s">
        <x:v>1353</x:v>
      </x:c>
      <x:c r="C217" s="4" t="s">
        <x:v>1814</x:v>
      </x:c>
      <x:c r="D217" s="4" t="s">
        <x:v>191</x:v>
      </x:c>
      <x:c r="E217" s="4" t="s">
        <x:v>191</x:v>
      </x:c>
      <x:c r="F217" s="65" t="s">
        <x:v>2380</x:v>
      </x:c>
      <x:c r="G217" s="4" t="s">
        <x:v>1336</x:v>
      </x:c>
      <x:c r="H217" s="4" t="s">
        <x:v>1337</x:v>
      </x:c>
      <x:c r="I217" s="4" t="s">
        <x:v>1834</x:v>
      </x:c>
      <x:c r="J217" s="4" t="s">
        <x:v>1835</x:v>
      </x:c>
      <x:c r="K217" s="4" t="s">
        <x:v>192</x:v>
      </x:c>
      <x:c r="L217" s="4" t="s">
        <x:v>169</x:v>
      </x:c>
      <x:c r="M217" s="4" t="s">
        <x:v>1466</x:v>
      </x:c>
      <x:c r="N217" s="4" t="s">
        <x:v>169</x:v>
      </x:c>
      <x:c r="O217" s="4" t="s">
        <x:v>187</x:v>
      </x:c>
      <x:c r="P217" s="4" t="s">
        <x:v>1817</x:v>
      </x:c>
      <x:c r="Q217" s="4" t="s">
        <x:v>1817</x:v>
      </x:c>
      <x:c r="R217" s="4" t="s">
        <x:v>1836</x:v>
      </x:c>
      <x:c r="S217" s="4" t="s">
        <x:v>14</x:v>
      </x:c>
      <x:c r="T217" s="4" t="s">
        <x:v>1837</x:v>
      </x:c>
      <x:c r="U217" s="4" t="s">
        <x:v>169</x:v>
      </x:c>
      <x:c r="V217" s="4" t="s">
        <x:v>169</x:v>
      </x:c>
      <x:c r="W217" s="4" t="s">
        <x:v>172</x:v>
      </x:c>
      <x:c r="X217" s="4" t="s">
        <x:v>171</x:v>
      </x:c>
      <x:c r="Y217" s="4" t="s">
        <x:v>172</x:v>
      </x:c>
      <x:c r="Z217" s="4" t="s">
        <x:v>172</x:v>
      </x:c>
      <x:c r="AA217" s="4" t="s">
        <x:v>172</x:v>
      </x:c>
      <x:c r="AB217" s="4" t="s">
        <x:v>172</x:v>
      </x:c>
      <x:c r="AC217" s="4" t="s">
        <x:v>172</x:v>
      </x:c>
      <x:c r="AD217" s="4" t="s">
        <x:v>193</x:v>
      </x:c>
      <x:c r="AE217" s="4" t="s">
        <x:v>1830</x:v>
      </x:c>
      <x:c r="AF217" s="4" t="s">
        <x:v>1830</x:v>
      </x:c>
      <x:c r="AG217" s="4" t="s">
        <x:v>1869</x:v>
      </x:c>
      <x:c r="AH217" s="4" t="s">
        <x:v>172</x:v>
      </x:c>
      <x:c r="AI217" s="4" t="s">
        <x:v>2381</x:v>
      </x:c>
      <x:c r="AJ217" s="4" t="s">
        <x:v>2382</x:v>
      </x:c>
      <x:c r="AK217" s="4" t="s">
        <x:v>169</x:v>
      </x:c>
      <x:c r="AL217" s="4" t="s">
        <x:v>1841</x:v>
      </x:c>
      <x:c r="AM217" s="66"/>
      <x:c r="AP217" s="67"/>
    </x:row>
    <x:row r="218">
      <x:c r="A218" s="4" t="s">
        <x:v>68</x:v>
      </x:c>
      <x:c r="B218" s="4" t="s">
        <x:v>1466</x:v>
      </x:c>
      <x:c r="C218" s="4" t="s">
        <x:v>1814</x:v>
      </x:c>
      <x:c r="D218" s="4" t="s">
        <x:v>194</x:v>
      </x:c>
      <x:c r="E218" s="4" t="s">
        <x:v>194</x:v>
      </x:c>
      <x:c r="F218" s="65" t="s">
        <x:v>2383</x:v>
      </x:c>
      <x:c r="G218" s="4" t="s">
        <x:v>1336</x:v>
      </x:c>
      <x:c r="H218" s="4" t="s">
        <x:v>1337</x:v>
      </x:c>
      <x:c r="I218" s="4" t="s">
        <x:v>1834</x:v>
      </x:c>
      <x:c r="J218" s="4" t="s">
        <x:v>1835</x:v>
      </x:c>
      <x:c r="K218" s="4" t="s">
        <x:v>192</x:v>
      </x:c>
      <x:c r="L218" s="4" t="s">
        <x:v>169</x:v>
      </x:c>
      <x:c r="M218" s="4" t="s">
        <x:v>1466</x:v>
      </x:c>
      <x:c r="N218" s="4" t="s">
        <x:v>169</x:v>
      </x:c>
      <x:c r="O218" s="4" t="s">
        <x:v>187</x:v>
      </x:c>
      <x:c r="P218" s="4" t="s">
        <x:v>1817</x:v>
      </x:c>
      <x:c r="Q218" s="4" t="s">
        <x:v>1817</x:v>
      </x:c>
      <x:c r="R218" s="4" t="s">
        <x:v>1836</x:v>
      </x:c>
      <x:c r="S218" s="4" t="s">
        <x:v>14</x:v>
      </x:c>
      <x:c r="T218" s="4" t="s">
        <x:v>1837</x:v>
      </x:c>
      <x:c r="U218" s="4" t="s">
        <x:v>169</x:v>
      </x:c>
      <x:c r="V218" s="4" t="s">
        <x:v>169</x:v>
      </x:c>
      <x:c r="W218" s="4" t="s">
        <x:v>172</x:v>
      </x:c>
      <x:c r="X218" s="4" t="s">
        <x:v>171</x:v>
      </x:c>
      <x:c r="Y218" s="4" t="s">
        <x:v>172</x:v>
      </x:c>
      <x:c r="Z218" s="4" t="s">
        <x:v>172</x:v>
      </x:c>
      <x:c r="AA218" s="4" t="s">
        <x:v>172</x:v>
      </x:c>
      <x:c r="AB218" s="4" t="s">
        <x:v>172</x:v>
      </x:c>
      <x:c r="AC218" s="4" t="s">
        <x:v>172</x:v>
      </x:c>
      <x:c r="AD218" s="4" t="s">
        <x:v>195</x:v>
      </x:c>
      <x:c r="AE218" s="4" t="s">
        <x:v>1848</x:v>
      </x:c>
      <x:c r="AF218" s="4" t="s">
        <x:v>1830</x:v>
      </x:c>
      <x:c r="AG218" s="4" t="s">
        <x:v>1869</x:v>
      </x:c>
      <x:c r="AH218" s="4" t="s">
        <x:v>171</x:v>
      </x:c>
      <x:c r="AI218" s="4" t="s">
        <x:v>2384</x:v>
      </x:c>
      <x:c r="AJ218" s="4" t="s">
        <x:v>2385</x:v>
      </x:c>
      <x:c r="AK218" s="4" t="s">
        <x:v>169</x:v>
      </x:c>
      <x:c r="AL218" s="4" t="s">
        <x:v>1841</x:v>
      </x:c>
      <x:c r="AM218" s="66"/>
      <x:c r="AP218" s="67"/>
    </x:row>
    <x:row r="219">
      <x:c r="A219" s="4" t="s">
        <x:v>68</x:v>
      </x:c>
      <x:c r="B219" s="4" t="s">
        <x:v>218</x:v>
      </x:c>
      <x:c r="C219" s="4" t="s">
        <x:v>1814</x:v>
      </x:c>
      <x:c r="D219" s="4" t="s">
        <x:v>197</x:v>
      </x:c>
      <x:c r="E219" s="4" t="s">
        <x:v>2386</x:v>
      </x:c>
      <x:c r="F219" s="65" t="s">
        <x:v>197</x:v>
      </x:c>
      <x:c r="G219" s="4" t="s">
        <x:v>1336</x:v>
      </x:c>
      <x:c r="H219" s="4" t="s">
        <x:v>1337</x:v>
      </x:c>
      <x:c r="I219" s="4" t="s">
        <x:v>1816</x:v>
      </x:c>
      <x:c r="J219" s="4" t="s">
        <x:v>199</x:v>
      </x:c>
      <x:c r="K219" s="4" t="s">
        <x:v>192</x:v>
      </x:c>
      <x:c r="L219" s="4" t="s">
        <x:v>107</x:v>
      </x:c>
      <x:c r="M219" s="4" t="s">
        <x:v>200</x:v>
      </x:c>
      <x:c r="N219" s="4" t="s">
        <x:v>200</x:v>
      </x:c>
      <x:c r="O219" s="4" t="s">
        <x:v>168</x:v>
      </x:c>
      <x:c r="P219" s="4" t="s">
        <x:v>1817</x:v>
      </x:c>
      <x:c r="Q219" s="4" t="s">
        <x:v>1817</x:v>
      </x:c>
      <x:c r="R219" s="4" t="s">
        <x:v>1818</x:v>
      </x:c>
      <x:c r="S219" s="4" t="s">
        <x:v>198</x:v>
      </x:c>
      <x:c r="T219" s="4" t="s">
        <x:v>1819</x:v>
      </x:c>
      <x:c r="U219" s="4" t="s">
        <x:v>169</x:v>
      </x:c>
      <x:c r="V219" s="4" t="s">
        <x:v>200</x:v>
      </x:c>
      <x:c r="W219" s="4" t="s">
        <x:v>171</x:v>
      </x:c>
      <x:c r="X219" s="4" t="s">
        <x:v>171</x:v>
      </x:c>
      <x:c r="Y219" s="4" t="s">
        <x:v>171</x:v>
      </x:c>
      <x:c r="Z219" s="4" t="s">
        <x:v>172</x:v>
      </x:c>
      <x:c r="AA219" s="4" t="s">
        <x:v>172</x:v>
      </x:c>
      <x:c r="AB219" s="4" t="s">
        <x:v>172</x:v>
      </x:c>
      <x:c r="AC219" s="4" t="s">
        <x:v>172</x:v>
      </x:c>
      <x:c r="AD219" s="4" t="s">
        <x:v>193</x:v>
      </x:c>
      <x:c r="AE219" s="4" t="s">
        <x:v>1830</x:v>
      </x:c>
      <x:c r="AF219" s="4" t="s">
        <x:v>1820</x:v>
      </x:c>
      <x:c r="AG219" s="4" t="s">
        <x:v>2387</x:v>
      </x:c>
      <x:c r="AH219" s="4" t="s">
        <x:v>172</x:v>
      </x:c>
      <x:c r="AI219" s="4" t="s">
        <x:v>1822</x:v>
      </x:c>
      <x:c r="AJ219" s="4" t="s">
        <x:v>1755</x:v>
      </x:c>
      <x:c r="AK219" s="4" t="s">
        <x:v>200</x:v>
      </x:c>
      <x:c r="AL219" s="4" t="s">
        <x:v>1823</x:v>
      </x:c>
      <x:c r="AM219" s="66"/>
      <x:c r="AP219" s="67"/>
    </x:row>
    <x:row r="220">
      <x:c r="A220" s="4" t="s">
        <x:v>68</x:v>
      </x:c>
      <x:c r="B220" s="4" t="s">
        <x:v>314</x:v>
      </x:c>
      <x:c r="C220" s="4" t="s">
        <x:v>1824</x:v>
      </x:c>
      <x:c r="D220" s="4" t="s">
        <x:v>197</x:v>
      </x:c>
      <x:c r="E220" s="4" t="s">
        <x:v>197</x:v>
      </x:c>
      <x:c r="F220" s="65" t="n">
        <x:v>46174.06324074074</x:v>
      </x:c>
      <x:c r="G220" s="4" t="s">
        <x:v>1336</x:v>
      </x:c>
      <x:c r="H220" s="4" t="s">
        <x:v>1337</x:v>
      </x:c>
      <x:c r="I220" s="4" t="s">
        <x:v>1825</x:v>
      </x:c>
      <x:c r="J220" s="4" t="s">
        <x:v>203</x:v>
      </x:c>
      <x:c r="K220" s="4" t="s">
        <x:v>107</x:v>
      </x:c>
      <x:c r="L220" s="4" t="s">
        <x:v>204</x:v>
      </x:c>
      <x:c r="M220" s="4" t="s">
        <x:v>200</x:v>
      </x:c>
      <x:c r="N220" s="4" t="s">
        <x:v>169</x:v>
      </x:c>
      <x:c r="O220" s="4" t="str">
        <x:v>已过期</x:v>
      </x:c>
      <x:c r="P220" s="4" t="s">
        <x:v>171</x:v>
      </x:c>
      <x:c r="Q220" s="4" t="s">
        <x:v>1817</x:v>
      </x:c>
      <x:c r="R220" s="4" t="s">
        <x:v>1827</x:v>
      </x:c>
      <x:c r="S220" s="4" t="s">
        <x:v>2106</x:v>
      </x:c>
      <x:c r="T220" s="4" t="s">
        <x:v>1829</x:v>
      </x:c>
      <x:c r="U220" s="4" t="s">
        <x:v>200</x:v>
      </x:c>
      <x:c r="V220" s="4" t="s">
        <x:v>200</x:v>
      </x:c>
      <x:c r="W220" s="4" t="s">
        <x:v>172</x:v>
      </x:c>
      <x:c r="X220" s="4" t="s">
        <x:v>171</x:v>
      </x:c>
      <x:c r="Y220" s="4" t="s">
        <x:v>172</x:v>
      </x:c>
      <x:c r="Z220" s="4" t="s">
        <x:v>172</x:v>
      </x:c>
      <x:c r="AA220" s="4" t="s">
        <x:v>172</x:v>
      </x:c>
      <x:c r="AB220" s="4" t="s">
        <x:v>172</x:v>
      </x:c>
      <x:c r="AC220" s="4" t="s">
        <x:v>172</x:v>
      </x:c>
      <x:c r="AD220" s="4" t="str">
        <x:v>相邻记录</x:v>
      </x:c>
      <x:c r="AE220" s="4" t="s">
        <x:v>1848</x:v>
      </x:c>
      <x:c r="AF220" s="4" t="s">
        <x:v>1848</x:v>
      </x:c>
      <x:c r="AG220" s="4" t="str">
        <x:v>条件委托已过期；算法编号1000001813322744；创建时间2026-06-01 07:03:48；过期时间2026-06-01 09:31:04；是否触发否；周期关联等级STRONG_CONTEXT；取消/过期原因无法确认（已完成为不适用）。</x:v>
      </x:c>
      <x:c r="AH220" s="4" t="s">
        <x:v>171</x:v>
      </x:c>
      <x:c r="AI220" s="4" t="str">
        <x:v>/Users/luodaluo/Desktop/30天复盘原始数据/补充证据_历史委托条件委托截图/05_安卓端取消与过期完整生命周期/02_已过期/Screenshot_20260722_195639.jpg</x:v>
      </x:c>
      <x:c r="AJ220" s="4" t="s">
        <x:v>2388</x:v>
      </x:c>
      <x:c r="AK220" s="4" t="s">
        <x:v>169</x:v>
      </x:c>
      <x:c r="AL220" s="4" t="s">
        <x:v>1977</x:v>
      </x:c>
      <x:c r="AM220" s="66" t="str">
        <x:v>1000001813322744</x:v>
      </x:c>
      <x:c r="AN220" t="str">
        <x:v>过期</x:v>
      </x:c>
      <x:c r="AO220" t="str">
        <x:v>否</x:v>
      </x:c>
      <x:c r="AP220" s="67" t="n">
        <x:v>46174.06324074074</x:v>
      </x:c>
      <x:c r="AQ220" t="str">
        <x:v>STRONG_CONTEXT</x:v>
      </x:c>
      <x:c r="AR220" t="str">
        <x:v>/Users/luodaluo/Desktop/30天复盘原始数据/补充证据_历史委托条件委托截图/05_安卓端取消与过期完整生命周期/02_已过期/Screenshot_20260722_195639.jpg</x:v>
      </x:c>
    </x:row>
    <x:row r="221">
      <x:c r="A221" s="4" t="s">
        <x:v>68</x:v>
      </x:c>
      <x:c r="B221" s="4" t="s">
        <x:v>1573</x:v>
      </x:c>
      <x:c r="C221" s="4" t="s">
        <x:v>1824</x:v>
      </x:c>
      <x:c r="D221" s="4" t="s">
        <x:v>197</x:v>
      </x:c>
      <x:c r="E221" s="4" t="s">
        <x:v>197</x:v>
      </x:c>
      <x:c r="F221" s="65" t="n">
        <x:v>46174.06324074074</x:v>
      </x:c>
      <x:c r="G221" s="4" t="s">
        <x:v>1336</x:v>
      </x:c>
      <x:c r="H221" s="4" t="s">
        <x:v>1337</x:v>
      </x:c>
      <x:c r="I221" s="4" t="s">
        <x:v>1825</x:v>
      </x:c>
      <x:c r="J221" s="4" t="s">
        <x:v>1826</x:v>
      </x:c>
      <x:c r="K221" s="4" t="s">
        <x:v>107</x:v>
      </x:c>
      <x:c r="L221" s="4" t="s">
        <x:v>206</x:v>
      </x:c>
      <x:c r="M221" s="4" t="s">
        <x:v>200</x:v>
      </x:c>
      <x:c r="N221" s="4" t="s">
        <x:v>169</x:v>
      </x:c>
      <x:c r="O221" s="4" t="str">
        <x:v>已过期</x:v>
      </x:c>
      <x:c r="P221" s="4" t="s">
        <x:v>171</x:v>
      </x:c>
      <x:c r="Q221" s="4" t="s">
        <x:v>1817</x:v>
      </x:c>
      <x:c r="R221" s="4" t="s">
        <x:v>1827</x:v>
      </x:c>
      <x:c r="S221" s="4" t="s">
        <x:v>1828</x:v>
      </x:c>
      <x:c r="T221" s="4" t="s">
        <x:v>1829</x:v>
      </x:c>
      <x:c r="U221" s="4" t="s">
        <x:v>200</x:v>
      </x:c>
      <x:c r="V221" s="4" t="s">
        <x:v>200</x:v>
      </x:c>
      <x:c r="W221" s="4" t="s">
        <x:v>172</x:v>
      </x:c>
      <x:c r="X221" s="4" t="s">
        <x:v>171</x:v>
      </x:c>
      <x:c r="Y221" s="4" t="s">
        <x:v>172</x:v>
      </x:c>
      <x:c r="Z221" s="4" t="s">
        <x:v>172</x:v>
      </x:c>
      <x:c r="AA221" s="4" t="s">
        <x:v>172</x:v>
      </x:c>
      <x:c r="AB221" s="4" t="s">
        <x:v>172</x:v>
      </x:c>
      <x:c r="AC221" s="4" t="s">
        <x:v>172</x:v>
      </x:c>
      <x:c r="AD221" s="4" t="str">
        <x:v>相邻记录</x:v>
      </x:c>
      <x:c r="AE221" s="4" t="s">
        <x:v>1848</x:v>
      </x:c>
      <x:c r="AF221" s="4" t="s">
        <x:v>1848</x:v>
      </x:c>
      <x:c r="AG221" s="4" t="str">
        <x:v>条件委托已过期；算法编号1000001813322745；创建时间2026-06-01 07:03:48；过期时间2026-06-01 09:31:04；是否触发否；周期关联等级STRONG_CONTEXT；取消/过期原因无法确认（已完成为不适用）。</x:v>
      </x:c>
      <x:c r="AH221" s="4" t="s">
        <x:v>171</x:v>
      </x:c>
      <x:c r="AI221" s="4" t="str">
        <x:v>/Users/luodaluo/Desktop/30天复盘原始数据/补充证据_历史委托条件委托截图/05_安卓端取消与过期完整生命周期/02_已过期/Screenshot_20260722_195634.jpg</x:v>
      </x:c>
      <x:c r="AJ221" s="4" t="s">
        <x:v>2389</x:v>
      </x:c>
      <x:c r="AK221" s="4" t="s">
        <x:v>169</x:v>
      </x:c>
      <x:c r="AL221" s="4" t="s">
        <x:v>1977</x:v>
      </x:c>
      <x:c r="AM221" s="66" t="str">
        <x:v>1000001813322745</x:v>
      </x:c>
      <x:c r="AN221" t="str">
        <x:v>过期</x:v>
      </x:c>
      <x:c r="AO221" t="str">
        <x:v>否</x:v>
      </x:c>
      <x:c r="AP221" s="67" t="n">
        <x:v>46174.06324074074</x:v>
      </x:c>
      <x:c r="AQ221" t="str">
        <x:v>STRONG_CONTEXT</x:v>
      </x:c>
      <x:c r="AR221" t="str">
        <x:v>/Users/luodaluo/Desktop/30天复盘原始数据/补充证据_历史委托条件委托截图/05_安卓端取消与过期完整生命周期/02_已过期/Screenshot_20260722_195634.jpg</x:v>
      </x:c>
    </x:row>
    <x:row r="222">
      <x:c r="A222" s="4" t="s">
        <x:v>68</x:v>
      </x:c>
      <x:c r="B222" s="4" t="s">
        <x:v>330</x:v>
      </x:c>
      <x:c r="C222" s="4" t="s">
        <x:v>1824</x:v>
      </x:c>
      <x:c r="D222" s="4" t="s">
        <x:v>207</x:v>
      </x:c>
      <x:c r="E222" s="4" t="s">
        <x:v>2390</x:v>
      </x:c>
      <x:c r="F222" s="65" t="s">
        <x:v>207</x:v>
      </x:c>
      <x:c r="G222" s="4" t="s">
        <x:v>1336</x:v>
      </x:c>
      <x:c r="H222" s="4" t="s">
        <x:v>1337</x:v>
      </x:c>
      <x:c r="I222" s="4" t="s">
        <x:v>1852</x:v>
      </x:c>
      <x:c r="J222" s="4" t="s">
        <x:v>199</x:v>
      </x:c>
      <x:c r="K222" s="4" t="s">
        <x:v>209</x:v>
      </x:c>
      <x:c r="L222" s="4" t="s">
        <x:v>107</x:v>
      </x:c>
      <x:c r="M222" s="4" t="s">
        <x:v>200</x:v>
      </x:c>
      <x:c r="N222" s="4" t="s">
        <x:v>200</x:v>
      </x:c>
      <x:c r="O222" s="4" t="s">
        <x:v>168</x:v>
      </x:c>
      <x:c r="P222" s="4" t="s">
        <x:v>1817</x:v>
      </x:c>
      <x:c r="Q222" s="4" t="s">
        <x:v>1817</x:v>
      </x:c>
      <x:c r="R222" s="4" t="s">
        <x:v>1818</x:v>
      </x:c>
      <x:c r="S222" s="4" t="s">
        <x:v>208</x:v>
      </x:c>
      <x:c r="T222" s="4" t="s">
        <x:v>1853</x:v>
      </x:c>
      <x:c r="U222" s="4" t="s">
        <x:v>200</x:v>
      </x:c>
      <x:c r="V222" s="4" t="s">
        <x:v>169</x:v>
      </x:c>
      <x:c r="W222" s="4" t="s">
        <x:v>171</x:v>
      </x:c>
      <x:c r="X222" s="4" t="s">
        <x:v>171</x:v>
      </x:c>
      <x:c r="Y222" s="4" t="s">
        <x:v>172</x:v>
      </x:c>
      <x:c r="Z222" s="4" t="s">
        <x:v>172</x:v>
      </x:c>
      <x:c r="AA222" s="4" t="s">
        <x:v>172</x:v>
      </x:c>
      <x:c r="AB222" s="4" t="s">
        <x:v>171</x:v>
      </x:c>
      <x:c r="AC222" s="4" t="s">
        <x:v>172</x:v>
      </x:c>
      <x:c r="AD222" s="4" t="s">
        <x:v>188</x:v>
      </x:c>
      <x:c r="AE222" s="4" t="s">
        <x:v>1820</x:v>
      </x:c>
      <x:c r="AF222" s="4" t="s">
        <x:v>1820</x:v>
      </x:c>
      <x:c r="AG222" s="4" t="s">
        <x:v>2391</x:v>
      </x:c>
      <x:c r="AH222" s="4" t="s">
        <x:v>172</x:v>
      </x:c>
      <x:c r="AI222" s="4" t="s">
        <x:v>1822</x:v>
      </x:c>
      <x:c r="AJ222" s="4" t="s">
        <x:v>1756</x:v>
      </x:c>
      <x:c r="AK222" s="4" t="s">
        <x:v>1353</x:v>
      </x:c>
      <x:c r="AL222" s="4" t="s">
        <x:v>1823</x:v>
      </x:c>
      <x:c r="AM222" s="66"/>
      <x:c r="AP222" s="67"/>
    </x:row>
    <x:row r="223">
      <x:c r="A223" s="4" t="s">
        <x:v>68</x:v>
      </x:c>
      <x:c r="B223" s="4" t="s">
        <x:v>229</x:v>
      </x:c>
      <x:c r="C223" s="4" t="s">
        <x:v>1856</x:v>
      </x:c>
      <x:c r="D223" s="4" t="s">
        <x:v>207</x:v>
      </x:c>
      <x:c r="E223" s="4" t="s">
        <x:v>107</x:v>
      </x:c>
      <x:c r="F223" s="65" t="s">
        <x:v>107</x:v>
      </x:c>
      <x:c r="G223" s="4" t="s">
        <x:v>1336</x:v>
      </x:c>
      <x:c r="H223" s="4" t="s">
        <x:v>1337</x:v>
      </x:c>
      <x:c r="I223" s="4" t="s">
        <x:v>107</x:v>
      </x:c>
      <x:c r="J223" s="4" t="s">
        <x:v>107</x:v>
      </x:c>
      <x:c r="K223" s="4" t="s">
        <x:v>107</x:v>
      </x:c>
      <x:c r="L223" s="4" t="s">
        <x:v>107</x:v>
      </x:c>
      <x:c r="M223" s="4" t="s">
        <x:v>107</x:v>
      </x:c>
      <x:c r="N223" s="4" t="s">
        <x:v>107</x:v>
      </x:c>
      <x:c r="O223" s="4" t="s">
        <x:v>107</x:v>
      </x:c>
      <x:c r="P223" s="4" t="s">
        <x:v>107</x:v>
      </x:c>
      <x:c r="Q223" s="4" t="s">
        <x:v>107</x:v>
      </x:c>
      <x:c r="R223" s="4" t="s">
        <x:v>1857</x:v>
      </x:c>
      <x:c r="S223" s="4" t="s">
        <x:v>213</x:v>
      </x:c>
      <x:c r="T223" s="4" t="s">
        <x:v>1858</x:v>
      </x:c>
      <x:c r="U223" s="4" t="s">
        <x:v>107</x:v>
      </x:c>
      <x:c r="V223" s="4" t="s">
        <x:v>107</x:v>
      </x:c>
      <x:c r="W223" s="4" t="s">
        <x:v>172</x:v>
      </x:c>
      <x:c r="X223" s="4" t="s">
        <x:v>172</x:v>
      </x:c>
      <x:c r="Y223" s="4" t="s">
        <x:v>172</x:v>
      </x:c>
      <x:c r="Z223" s="4" t="s">
        <x:v>172</x:v>
      </x:c>
      <x:c r="AA223" s="4" t="s">
        <x:v>172</x:v>
      </x:c>
      <x:c r="AB223" s="4" t="s">
        <x:v>172</x:v>
      </x:c>
      <x:c r="AC223" s="4" t="s">
        <x:v>172</x:v>
      </x:c>
      <x:c r="AD223" s="4" t="s">
        <x:v>107</x:v>
      </x:c>
      <x:c r="AE223" s="4" t="s">
        <x:v>107</x:v>
      </x:c>
      <x:c r="AF223" s="4" t="s">
        <x:v>107</x:v>
      </x:c>
      <x:c r="AG223" s="4" t="s">
        <x:v>215</x:v>
      </x:c>
      <x:c r="AH223" s="4" t="s">
        <x:v>172</x:v>
      </x:c>
      <x:c r="AI223" s="4" t="s">
        <x:v>1859</x:v>
      </x:c>
      <x:c r="AJ223" s="4" t="s">
        <x:v>2392</x:v>
      </x:c>
      <x:c r="AK223" s="4" t="s">
        <x:v>169</x:v>
      </x:c>
      <x:c r="AL223" s="4" t="s">
        <x:v>1861</x:v>
      </x:c>
      <x:c r="AM223" s="66"/>
      <x:c r="AP223" s="67"/>
    </x:row>
  </x:sheetData>
  <x:pageMargins left="0.7" right="0.7" top="0.75" bottom="0.75" header="0.3" footer="0.3"/>
</x:worksheet>
</file>

<file path=xl/worksheets/sheet10.xml><?xml version="1.0" encoding="utf-8"?>
<x:worksheet xmlns:x="http://schemas.openxmlformats.org/spreadsheetml/2006/main">
  <x:sheetFormatPr defaultColWidth="9" defaultRowHeight="16.799999237060547"/>
  <x:sheetData>
    <x:row r="1">
      <x:c r="A1" s="3" t="s">
        <x:v>23</x:v>
      </x:c>
      <x:c r="B1" s="3" t="s">
        <x:v>2393</x:v>
      </x:c>
      <x:c r="C1" s="3" t="s">
        <x:v>2394</x:v>
      </x:c>
      <x:c r="D1" s="3" t="s">
        <x:v>2395</x:v>
      </x:c>
      <x:c r="E1" s="3" t="s">
        <x:v>2396</x:v>
      </x:c>
      <x:c r="F1" s="3" t="s">
        <x:v>2397</x:v>
      </x:c>
      <x:c r="G1" s="3" t="s">
        <x:v>2398</x:v>
      </x:c>
      <x:c r="H1" s="3" t="s">
        <x:v>25</x:v>
      </x:c>
      <x:c r="I1" s="3" t="s">
        <x:v>1202</x:v>
      </x:c>
      <x:c r="J1" s="3" t="s">
        <x:v>1796</x:v>
      </x:c>
      <x:c r="K1" s="3" t="s">
        <x:v>2399</x:v>
      </x:c>
      <x:c r="L1" s="3" t="s">
        <x:v>2400</x:v>
      </x:c>
      <x:c r="M1" s="3" t="s">
        <x:v>2401</x:v>
      </x:c>
      <x:c r="N1" s="3" t="s">
        <x:v>1797</x:v>
      </x:c>
      <x:c r="O1" s="3" t="s">
        <x:v>115</x:v>
      </x:c>
      <x:c r="P1" s="3" t="s">
        <x:v>116</x:v>
      </x:c>
      <x:c r="Q1" s="3" t="s">
        <x:v>2402</x:v>
      </x:c>
      <x:c r="R1" s="3" t="s">
        <x:v>118</x:v>
      </x:c>
      <x:c r="S1" s="3" t="s">
        <x:v>2403</x:v>
      </x:c>
      <x:c r="T1" s="3" t="s">
        <x:v>2404</x:v>
      </x:c>
      <x:c r="U1" s="3" t="s">
        <x:v>2405</x:v>
      </x:c>
      <x:c r="V1" s="3" t="s">
        <x:v>2406</x:v>
      </x:c>
      <x:c r="W1" s="3" t="s">
        <x:v>117</x:v>
      </x:c>
      <x:c r="X1" s="3" t="s">
        <x:v>150</x:v>
      </x:c>
      <x:c r="Y1" s="3" t="s">
        <x:v>151</x:v>
      </x:c>
      <x:c r="Z1" s="3" t="s">
        <x:v>2407</x:v>
      </x:c>
      <x:c r="AA1" s="3" t="s">
        <x:v>2408</x:v>
      </x:c>
      <x:c r="AB1" s="3" t="s">
        <x:v>2409</x:v>
      </x:c>
      <x:c r="AC1" s="3" t="s">
        <x:v>2410</x:v>
      </x:c>
      <x:c r="AD1" s="3" t="s">
        <x:v>2411</x:v>
      </x:c>
      <x:c r="AE1" s="3" t="s">
        <x:v>2412</x:v>
      </x:c>
      <x:c r="AF1" s="3" t="s">
        <x:v>2413</x:v>
      </x:c>
      <x:c r="AG1" s="3" t="s">
        <x:v>2414</x:v>
      </x:c>
      <x:c r="AH1" s="3" t="s">
        <x:v>2415</x:v>
      </x:c>
      <x:c r="AI1" s="3" t="s">
        <x:v>2416</x:v>
      </x:c>
      <x:c r="AJ1" s="3" t="s">
        <x:v>2417</x:v>
      </x:c>
      <x:c r="AK1" s="3" t="s">
        <x:v>2418</x:v>
      </x:c>
      <x:c r="AL1" s="3" t="s">
        <x:v>120</x:v>
      </x:c>
      <x:c r="AM1" s="3" t="s">
        <x:v>160</x:v>
      </x:c>
      <x:c r="AN1" s="3" t="s">
        <x:v>2419</x:v>
      </x:c>
      <x:c r="AO1" s="3" t="s">
        <x:v>2420</x:v>
      </x:c>
      <x:c r="AP1" s="3" t="s">
        <x:v>2421</x:v>
      </x:c>
      <x:c r="AQ1" s="3" t="s">
        <x:v>1799</x:v>
      </x:c>
      <x:c r="AR1" s="3" t="s">
        <x:v>1800</x:v>
      </x:c>
      <x:c r="AS1" s="3" t="s">
        <x:v>1810</x:v>
      </x:c>
      <x:c r="AT1" t="str">
        <x:v>终态类型_M4</x:v>
      </x:c>
      <x:c r="AU1" t="str">
        <x:v>生命周期秒数_M4</x:v>
      </x:c>
      <x:c r="AV1" t="str">
        <x:v>周期关联等级_M4</x:v>
      </x:c>
      <x:c r="AW1" t="str">
        <x:v>原因状态_M4</x:v>
      </x:c>
      <x:c r="AX1" t="str">
        <x:v>生命周期证据等级_M4</x:v>
      </x:c>
    </x:row>
    <x:row r="2">
      <x:c r="A2" s="4" t="s">
        <x:v>69</x:v>
      </x:c>
      <x:c r="B2" s="4" t="s">
        <x:v>200</x:v>
      </x:c>
      <x:c r="C2" s="4" t="s">
        <x:v>2422</x:v>
      </x:c>
      <x:c r="D2" s="4" t="s">
        <x:v>220</x:v>
      </x:c>
      <x:c r="E2" s="65" t="n">
        <x:v>46174.70600694444</x:v>
      </x:c>
      <x:c r="F2" s="4" t="s">
        <x:v>2423</x:v>
      </x:c>
      <x:c r="G2" s="4" t="s">
        <x:v>2424</x:v>
      </x:c>
      <x:c r="H2" s="4" t="s">
        <x:v>1336</x:v>
      </x:c>
      <x:c r="I2" s="4" t="s">
        <x:v>1337</x:v>
      </x:c>
      <x:c r="J2" s="4" t="s">
        <x:v>2425</x:v>
      </x:c>
      <x:c r="K2" s="4" t="s">
        <x:v>1826</x:v>
      </x:c>
      <x:c r="L2" s="4" t="s">
        <x:v>205</x:v>
      </x:c>
      <x:c r="M2" s="4" t="s">
        <x:v>2426</x:v>
      </x:c>
      <x:c r="N2" s="4" t="s">
        <x:v>221</x:v>
      </x:c>
      <x:c r="O2" s="4" t="s">
        <x:v>107</x:v>
      </x:c>
      <x:c r="P2" s="4" t="s">
        <x:v>169</x:v>
      </x:c>
      <x:c r="Q2" s="4" t="s">
        <x:v>2427</x:v>
      </x:c>
      <x:c r="R2" s="4" t="s">
        <x:v>187</x:v>
      </x:c>
      <x:c r="S2" s="65"/>
      <x:c r="T2" s="4" t="str"/>
      <x:c r="U2" s="4" t="s">
        <x:v>172</x:v>
      </x:c>
      <x:c r="V2" s="4" t="s">
        <x:v>169</x:v>
      </x:c>
      <x:c r="W2" s="4" t="s">
        <x:v>169</x:v>
      </x:c>
      <x:c r="X2" s="4" t="s">
        <x:v>107</x:v>
      </x:c>
      <x:c r="Y2" s="4" t="s">
        <x:v>107</x:v>
      </x:c>
      <x:c r="Z2" s="4" t="str">
        <x:v>否</x:v>
      </x:c>
      <x:c r="AA2" s="4" t="s">
        <x:v>172</x:v>
      </x:c>
      <x:c r="AB2" s="4" t="s">
        <x:v>172</x:v>
      </x:c>
      <x:c r="AC2" s="4" t="s">
        <x:v>172</x:v>
      </x:c>
      <x:c r="AD2" s="4" t="str">
        <x:v>终态：撤销</x:v>
      </x:c>
      <x:c r="AE2" s="4" t="str">
        <x:v>疑似连续调整</x:v>
      </x:c>
      <x:c r="AF2" s="4" t="s">
        <x:v>107</x:v>
      </x:c>
      <x:c r="AG2" s="4" t="s">
        <x:v>221</x:v>
      </x:c>
      <x:c r="AH2" s="4" t="s">
        <x:v>107</x:v>
      </x:c>
      <x:c r="AI2" s="4" t="s">
        <x:v>107</x:v>
      </x:c>
      <x:c r="AJ2" s="4" t="str">
        <x:v>疑似连续调整</x:v>
      </x:c>
      <x:c r="AK2" s="4" t="s">
        <x:v>1830</x:v>
      </x:c>
      <x:c r="AL2" s="4" t="str">
        <x:v>条件委托已取消；算法编号1000001820819619；创建时间2026-06-02 00:27:00；撤销时间2026-06-02 00:56:39；是否触发否；周期关联等级STRONG_CONTEXT；取消/过期原因无法确认（已完成为不适用）。</x:v>
      </x:c>
      <x:c r="AM2" s="4" t="str">
        <x:v>否</x:v>
      </x:c>
      <x:c r="AN2" s="4" t="str"/>
      <x:c r="AO2" s="64" t="str">
        <x:v>1000001820819619</x:v>
      </x:c>
      <x:c r="AP2" s="4" t="s">
        <x:v>1831</x:v>
      </x:c>
      <x:c r="AQ2" s="4" t="str">
        <x:v>是</x:v>
      </x:c>
      <x:c r="AR2" s="4" t="s">
        <x:v>2428</x:v>
      </x:c>
      <x:c r="AS2" s="4" t="str">
        <x:v>/Users/luodaluo/Desktop/30天复盘原始数据/补充证据_历史委托条件委托截图/05_安卓端取消与过期完整生命周期/01_已取消/Screenshot_20260722_212807.jpg</x:v>
      </x:c>
      <x:c r="AT2" t="str">
        <x:v>撤销</x:v>
      </x:c>
      <x:c r="AU2" t="n">
        <x:v>1779</x:v>
      </x:c>
      <x:c r="AV2" t="str">
        <x:v>STRONG_CONTEXT</x:v>
      </x:c>
      <x:c r="AW2" t="str">
        <x:v>无法确认</x:v>
      </x:c>
      <x:c r="AX2" t="str">
        <x:v>平台字段＋严格时间与仓位关系计算</x:v>
      </x:c>
    </x:row>
    <x:row r="3">
      <x:c r="A3" s="4" t="s">
        <x:v>69</x:v>
      </x:c>
      <x:c r="B3" s="4" t="s">
        <x:v>1353</x:v>
      </x:c>
      <x:c r="C3" s="4" t="s">
        <x:v>2422</x:v>
      </x:c>
      <x:c r="D3" s="4" t="s">
        <x:v>231</x:v>
      </x:c>
      <x:c r="E3" s="65" t="n">
        <x:v>46174.768159722225</x:v>
      </x:c>
      <x:c r="F3" s="4" t="s">
        <x:v>2423</x:v>
      </x:c>
      <x:c r="G3" s="4" t="s">
        <x:v>2424</x:v>
      </x:c>
      <x:c r="H3" s="4" t="s">
        <x:v>1336</x:v>
      </x:c>
      <x:c r="I3" s="4" t="s">
        <x:v>1337</x:v>
      </x:c>
      <x:c r="J3" s="4" t="s">
        <x:v>2425</x:v>
      </x:c>
      <x:c r="K3" s="4" t="s">
        <x:v>1826</x:v>
      </x:c>
      <x:c r="L3" s="4" t="s">
        <x:v>205</x:v>
      </x:c>
      <x:c r="M3" s="4" t="s">
        <x:v>2426</x:v>
      </x:c>
      <x:c r="N3" s="4" t="s">
        <x:v>232</x:v>
      </x:c>
      <x:c r="O3" s="4" t="s">
        <x:v>107</x:v>
      </x:c>
      <x:c r="P3" s="4" t="s">
        <x:v>169</x:v>
      </x:c>
      <x:c r="Q3" s="4" t="s">
        <x:v>2427</x:v>
      </x:c>
      <x:c r="R3" s="4" t="s">
        <x:v>236</x:v>
      </x:c>
      <x:c r="S3" s="65"/>
      <x:c r="T3" s="4" t="str"/>
      <x:c r="U3" s="4" t="s">
        <x:v>172</x:v>
      </x:c>
      <x:c r="V3" s="4" t="s">
        <x:v>169</x:v>
      </x:c>
      <x:c r="W3" s="4" t="s">
        <x:v>169</x:v>
      </x:c>
      <x:c r="X3" s="4" t="s">
        <x:v>107</x:v>
      </x:c>
      <x:c r="Y3" s="4" t="s">
        <x:v>107</x:v>
      </x:c>
      <x:c r="Z3" s="4" t="str">
        <x:v>否</x:v>
      </x:c>
      <x:c r="AA3" s="4" t="s">
        <x:v>172</x:v>
      </x:c>
      <x:c r="AB3" s="4" t="s">
        <x:v>172</x:v>
      </x:c>
      <x:c r="AC3" s="4" t="s">
        <x:v>172</x:v>
      </x:c>
      <x:c r="AD3" s="4" t="str">
        <x:v>终态：过期</x:v>
      </x:c>
      <x:c r="AE3" s="4" t="str">
        <x:v>疑似连续调整</x:v>
      </x:c>
      <x:c r="AF3" s="4" t="s">
        <x:v>221</x:v>
      </x:c>
      <x:c r="AG3" s="4" t="s">
        <x:v>232</x:v>
      </x:c>
      <x:c r="AH3" s="4" t="s">
        <x:v>2429</x:v>
      </x:c>
      <x:c r="AI3" s="4" t="s">
        <x:v>169</x:v>
      </x:c>
      <x:c r="AJ3" s="4" t="str">
        <x:v>疑似连续调整</x:v>
      </x:c>
      <x:c r="AK3" s="4" t="s">
        <x:v>1830</x:v>
      </x:c>
      <x:c r="AL3" s="4" t="str">
        <x:v>条件委托已过期；算法编号1000001821052253；创建时间2026-06-02 00:56:40；过期时间2026-06-02 02:26:09；是否触发否；周期关联等级STRONG_CONTEXT；取消/过期原因无法确认（已完成为不适用）。</x:v>
      </x:c>
      <x:c r="AM3" s="4" t="str">
        <x:v>否</x:v>
      </x:c>
      <x:c r="AN3" s="4" t="str"/>
      <x:c r="AO3" s="64" t="str">
        <x:v>1000001821052253</x:v>
      </x:c>
      <x:c r="AP3" s="4" t="s">
        <x:v>1846</x:v>
      </x:c>
      <x:c r="AQ3" s="4" t="str">
        <x:v>是</x:v>
      </x:c>
      <x:c r="AR3" s="4" t="s">
        <x:v>2428</x:v>
      </x:c>
      <x:c r="AS3" s="4" t="str">
        <x:v>/Users/luodaluo/Desktop/30天复盘原始数据/补充证据_历史委托条件委托截图/05_安卓端取消与过期完整生命周期/02_已过期/Screenshot_20260722_201054.jpg</x:v>
      </x:c>
      <x:c r="AT3" t="str">
        <x:v>过期</x:v>
      </x:c>
      <x:c r="AU3" t="n">
        <x:v>5369</x:v>
      </x:c>
      <x:c r="AV3" t="str">
        <x:v>STRONG_CONTEXT</x:v>
      </x:c>
      <x:c r="AW3" t="str">
        <x:v>无法确认</x:v>
      </x:c>
      <x:c r="AX3" t="str">
        <x:v>平台字段＋严格时间与仓位关系计算</x:v>
      </x:c>
    </x:row>
    <x:row r="4">
      <x:c r="A4" s="4" t="s">
        <x:v>71</x:v>
      </x:c>
      <x:c r="B4" s="4" t="s">
        <x:v>200</x:v>
      </x:c>
      <x:c r="C4" s="4" t="s">
        <x:v>2430</x:v>
      </x:c>
      <x:c r="D4" s="4" t="s">
        <x:v>262</x:v>
      </x:c>
      <x:c r="E4" s="65" t="n">
        <x:v>46175.47047453704</x:v>
      </x:c>
      <x:c r="F4" s="4" t="s">
        <x:v>2423</x:v>
      </x:c>
      <x:c r="G4" s="4" t="s">
        <x:v>2424</x:v>
      </x:c>
      <x:c r="H4" s="4" t="s">
        <x:v>1336</x:v>
      </x:c>
      <x:c r="I4" s="4" t="s">
        <x:v>1409</x:v>
      </x:c>
      <x:c r="J4" s="4" t="s">
        <x:v>2431</x:v>
      </x:c>
      <x:c r="K4" s="4" t="s">
        <x:v>203</x:v>
      </x:c>
      <x:c r="L4" s="4" t="s">
        <x:v>203</x:v>
      </x:c>
      <x:c r="M4" s="4" t="s">
        <x:v>172</x:v>
      </x:c>
      <x:c r="N4" s="4" t="s">
        <x:v>263</x:v>
      </x:c>
      <x:c r="O4" s="4" t="s">
        <x:v>107</x:v>
      </x:c>
      <x:c r="P4" s="4" t="s">
        <x:v>169</x:v>
      </x:c>
      <x:c r="Q4" s="4" t="s">
        <x:v>2427</x:v>
      </x:c>
      <x:c r="R4" s="4" t="s">
        <x:v>187</x:v>
      </x:c>
      <x:c r="S4" s="65"/>
      <x:c r="T4" s="4" t="str"/>
      <x:c r="U4" s="4" t="s">
        <x:v>172</x:v>
      </x:c>
      <x:c r="V4" s="4" t="s">
        <x:v>169</x:v>
      </x:c>
      <x:c r="W4" s="4" t="s">
        <x:v>169</x:v>
      </x:c>
      <x:c r="X4" s="4" t="s">
        <x:v>107</x:v>
      </x:c>
      <x:c r="Y4" s="4" t="s">
        <x:v>107</x:v>
      </x:c>
      <x:c r="Z4" s="4" t="str">
        <x:v>否</x:v>
      </x:c>
      <x:c r="AA4" s="4" t="s">
        <x:v>172</x:v>
      </x:c>
      <x:c r="AB4" s="4" t="s">
        <x:v>172</x:v>
      </x:c>
      <x:c r="AC4" s="4" t="s">
        <x:v>172</x:v>
      </x:c>
      <x:c r="AD4" s="4" t="str">
        <x:v>终态：撤销</x:v>
      </x:c>
      <x:c r="AE4" s="4" t="str">
        <x:v>疑似连续调整</x:v>
      </x:c>
      <x:c r="AF4" s="4" t="s">
        <x:v>107</x:v>
      </x:c>
      <x:c r="AG4" s="4" t="s">
        <x:v>263</x:v>
      </x:c>
      <x:c r="AH4" s="4" t="s">
        <x:v>107</x:v>
      </x:c>
      <x:c r="AI4" s="4" t="s">
        <x:v>107</x:v>
      </x:c>
      <x:c r="AJ4" s="4" t="str">
        <x:v>疑似连续调整</x:v>
      </x:c>
      <x:c r="AK4" s="4" t="s">
        <x:v>1830</x:v>
      </x:c>
      <x:c r="AL4" s="4" t="str">
        <x:v>条件委托已取消；算法编号1000001829283805；创建时间2026-06-02 19:07:58；撤销时间2026-06-02 19:17:29；是否触发否；周期关联等级STRONG_CONTEXT；取消/过期原因无法确认（已完成为不适用）。</x:v>
      </x:c>
      <x:c r="AM4" s="4" t="str">
        <x:v>否</x:v>
      </x:c>
      <x:c r="AN4" s="4" t="str"/>
      <x:c r="AO4" s="64" t="str">
        <x:v>1000001829283805</x:v>
      </x:c>
      <x:c r="AP4" s="4" t="s">
        <x:v>1889</x:v>
      </x:c>
      <x:c r="AQ4" s="4" t="str">
        <x:v>是</x:v>
      </x:c>
      <x:c r="AR4" s="4" t="s">
        <x:v>2428</x:v>
      </x:c>
      <x:c r="AS4" s="4" t="str">
        <x:v>/Users/luodaluo/Desktop/30天复盘原始数据/补充证据_历史委托条件委托截图/05_安卓端取消与过期完整生命周期/01_已取消/Screenshot_20260722_212841.jpg</x:v>
      </x:c>
      <x:c r="AT4" t="str">
        <x:v>撤销</x:v>
      </x:c>
      <x:c r="AU4" t="n">
        <x:v>571</x:v>
      </x:c>
      <x:c r="AV4" t="str">
        <x:v>STRONG_CONTEXT</x:v>
      </x:c>
      <x:c r="AW4" t="str">
        <x:v>无法确认</x:v>
      </x:c>
      <x:c r="AX4" t="str">
        <x:v>平台字段＋严格时间与仓位关系计算</x:v>
      </x:c>
    </x:row>
    <x:row r="5">
      <x:c r="A5" s="4" t="s">
        <x:v>71</x:v>
      </x:c>
      <x:c r="B5" s="4" t="s">
        <x:v>1353</x:v>
      </x:c>
      <x:c r="C5" s="4" t="s">
        <x:v>2432</x:v>
      </x:c>
      <x:c r="D5" s="4" t="s">
        <x:v>264</x:v>
      </x:c>
      <x:c r="E5" s="65" t="n">
        <x:v>46175.469814814816</x:v>
      </x:c>
      <x:c r="F5" s="4" t="s">
        <x:v>2423</x:v>
      </x:c>
      <x:c r="G5" s="4" t="s">
        <x:v>2424</x:v>
      </x:c>
      <x:c r="H5" s="4" t="s">
        <x:v>1336</x:v>
      </x:c>
      <x:c r="I5" s="4" t="s">
        <x:v>1409</x:v>
      </x:c>
      <x:c r="J5" s="4" t="s">
        <x:v>2431</x:v>
      </x:c>
      <x:c r="K5" s="4" t="s">
        <x:v>1826</x:v>
      </x:c>
      <x:c r="L5" s="4" t="s">
        <x:v>205</x:v>
      </x:c>
      <x:c r="M5" s="4" t="s">
        <x:v>2426</x:v>
      </x:c>
      <x:c r="N5" s="4" t="s">
        <x:v>265</x:v>
      </x:c>
      <x:c r="O5" s="4" t="s">
        <x:v>107</x:v>
      </x:c>
      <x:c r="P5" s="4" t="s">
        <x:v>169</x:v>
      </x:c>
      <x:c r="Q5" s="4" t="s">
        <x:v>2427</x:v>
      </x:c>
      <x:c r="R5" s="4" t="s">
        <x:v>187</x:v>
      </x:c>
      <x:c r="S5" s="65"/>
      <x:c r="T5" s="4" t="str"/>
      <x:c r="U5" s="4" t="s">
        <x:v>172</x:v>
      </x:c>
      <x:c r="V5" s="4" t="s">
        <x:v>169</x:v>
      </x:c>
      <x:c r="W5" s="4" t="s">
        <x:v>169</x:v>
      </x:c>
      <x:c r="X5" s="4" t="s">
        <x:v>107</x:v>
      </x:c>
      <x:c r="Y5" s="4" t="s">
        <x:v>107</x:v>
      </x:c>
      <x:c r="Z5" s="4" t="str">
        <x:v>否</x:v>
      </x:c>
      <x:c r="AA5" s="4" t="s">
        <x:v>172</x:v>
      </x:c>
      <x:c r="AB5" s="4" t="s">
        <x:v>172</x:v>
      </x:c>
      <x:c r="AC5" s="4" t="s">
        <x:v>172</x:v>
      </x:c>
      <x:c r="AD5" s="4" t="str">
        <x:v>终态：撤销</x:v>
      </x:c>
      <x:c r="AE5" s="4" t="str">
        <x:v>疑似连续调整</x:v>
      </x:c>
      <x:c r="AF5" s="4" t="s">
        <x:v>107</x:v>
      </x:c>
      <x:c r="AG5" s="4" t="s">
        <x:v>265</x:v>
      </x:c>
      <x:c r="AH5" s="4" t="s">
        <x:v>107</x:v>
      </x:c>
      <x:c r="AI5" s="4" t="s">
        <x:v>107</x:v>
      </x:c>
      <x:c r="AJ5" s="4" t="str">
        <x:v>疑似连续调整</x:v>
      </x:c>
      <x:c r="AK5" s="4" t="s">
        <x:v>1830</x:v>
      </x:c>
      <x:c r="AL5" s="4" t="str">
        <x:v>条件委托已取消；算法编号1000001829306753；创建时间2026-06-02 19:11:22；撤销时间2026-06-02 19:16:32；是否触发否；周期关联等级STRONG_CONTEXT；取消/过期原因无法确认（已完成为不适用）。</x:v>
      </x:c>
      <x:c r="AM5" s="4" t="str">
        <x:v>否</x:v>
      </x:c>
      <x:c r="AN5" s="4" t="str"/>
      <x:c r="AO5" s="64" t="str">
        <x:v>1000001829306753</x:v>
      </x:c>
      <x:c r="AP5" s="4" t="s">
        <x:v>1891</x:v>
      </x:c>
      <x:c r="AQ5" s="4" t="str">
        <x:v>是</x:v>
      </x:c>
      <x:c r="AR5" s="4" t="s">
        <x:v>2428</x:v>
      </x:c>
      <x:c r="AS5" s="4" t="str">
        <x:v>/Users/luodaluo/Desktop/30天复盘原始数据/补充证据_历史委托条件委托截图/05_安卓端取消与过期完整生命周期/01_已取消/Screenshot_20260722_212846.jpg</x:v>
      </x:c>
      <x:c r="AT5" t="str">
        <x:v>撤销</x:v>
      </x:c>
      <x:c r="AU5" t="n">
        <x:v>310</x:v>
      </x:c>
      <x:c r="AV5" t="str">
        <x:v>STRONG_CONTEXT</x:v>
      </x:c>
      <x:c r="AW5" t="str">
        <x:v>无法确认</x:v>
      </x:c>
      <x:c r="AX5" t="str">
        <x:v>平台字段＋严格时间与仓位关系计算</x:v>
      </x:c>
    </x:row>
    <x:row r="6">
      <x:c r="A6" s="4" t="s">
        <x:v>71</x:v>
      </x:c>
      <x:c r="B6" s="4" t="s">
        <x:v>1466</x:v>
      </x:c>
      <x:c r="C6" s="4" t="s">
        <x:v>2432</x:v>
      </x:c>
      <x:c r="D6" s="4" t="s">
        <x:v>266</x:v>
      </x:c>
      <x:c r="E6" s="65" t="n">
        <x:v>46175.56144675926</x:v>
      </x:c>
      <x:c r="F6" s="4" t="s">
        <x:v>2423</x:v>
      </x:c>
      <x:c r="G6" s="4" t="s">
        <x:v>2424</x:v>
      </x:c>
      <x:c r="H6" s="4" t="s">
        <x:v>1336</x:v>
      </x:c>
      <x:c r="I6" s="4" t="s">
        <x:v>1409</x:v>
      </x:c>
      <x:c r="J6" s="4" t="s">
        <x:v>2431</x:v>
      </x:c>
      <x:c r="K6" s="4" t="s">
        <x:v>1826</x:v>
      </x:c>
      <x:c r="L6" s="4" t="s">
        <x:v>205</x:v>
      </x:c>
      <x:c r="M6" s="4" t="s">
        <x:v>2426</x:v>
      </x:c>
      <x:c r="N6" s="4" t="s">
        <x:v>267</x:v>
      </x:c>
      <x:c r="O6" s="4" t="s">
        <x:v>107</x:v>
      </x:c>
      <x:c r="P6" s="4" t="s">
        <x:v>169</x:v>
      </x:c>
      <x:c r="Q6" s="4" t="s">
        <x:v>2427</x:v>
      </x:c>
      <x:c r="R6" s="4" t="s">
        <x:v>187</x:v>
      </x:c>
      <x:c r="S6" s="65"/>
      <x:c r="T6" s="4" t="str"/>
      <x:c r="U6" s="4" t="s">
        <x:v>172</x:v>
      </x:c>
      <x:c r="V6" s="4" t="s">
        <x:v>169</x:v>
      </x:c>
      <x:c r="W6" s="4" t="s">
        <x:v>169</x:v>
      </x:c>
      <x:c r="X6" s="4" t="s">
        <x:v>107</x:v>
      </x:c>
      <x:c r="Y6" s="4" t="s">
        <x:v>107</x:v>
      </x:c>
      <x:c r="Z6" s="4" t="str">
        <x:v>否</x:v>
      </x:c>
      <x:c r="AA6" s="4" t="s">
        <x:v>172</x:v>
      </x:c>
      <x:c r="AB6" s="4" t="s">
        <x:v>172</x:v>
      </x:c>
      <x:c r="AC6" s="4" t="s">
        <x:v>172</x:v>
      </x:c>
      <x:c r="AD6" s="4" t="str">
        <x:v>终态：撤销</x:v>
      </x:c>
      <x:c r="AE6" s="4" t="str">
        <x:v>疑似连续调整</x:v>
      </x:c>
      <x:c r="AF6" s="4" t="s">
        <x:v>265</x:v>
      </x:c>
      <x:c r="AG6" s="4" t="s">
        <x:v>267</x:v>
      </x:c>
      <x:c r="AH6" s="4" t="s">
        <x:v>2433</x:v>
      </x:c>
      <x:c r="AI6" s="4" t="s">
        <x:v>169</x:v>
      </x:c>
      <x:c r="AJ6" s="4" t="str">
        <x:v>疑似连续调整</x:v>
      </x:c>
      <x:c r="AK6" s="4" t="s">
        <x:v>1830</x:v>
      </x:c>
      <x:c r="AL6" s="4" t="str">
        <x:v>条件委托已取消；算法编号1000001829342369；创建时间2026-06-02 19:16:32；撤销时间2026-06-02 21:28:29；是否触发否；周期关联等级STRONG_CONTEXT；取消/过期原因无法确认（已完成为不适用）。</x:v>
      </x:c>
      <x:c r="AM6" s="4" t="str">
        <x:v>否</x:v>
      </x:c>
      <x:c r="AN6" s="4" t="str"/>
      <x:c r="AO6" s="64" t="str">
        <x:v>1000001829342369</x:v>
      </x:c>
      <x:c r="AP6" s="4" t="s">
        <x:v>1892</x:v>
      </x:c>
      <x:c r="AQ6" s="4" t="str">
        <x:v>是</x:v>
      </x:c>
      <x:c r="AR6" s="4" t="s">
        <x:v>2428</x:v>
      </x:c>
      <x:c r="AS6" s="4" t="str">
        <x:v>/Users/luodaluo/Desktop/30天复盘原始数据/补充证据_历史委托条件委托截图/05_安卓端取消与过期完整生命周期/01_已取消/Screenshot_20260722_212852.jpg</x:v>
      </x:c>
      <x:c r="AT6" t="str">
        <x:v>撤销</x:v>
      </x:c>
      <x:c r="AU6" t="n">
        <x:v>7917</x:v>
      </x:c>
      <x:c r="AV6" t="str">
        <x:v>STRONG_CONTEXT</x:v>
      </x:c>
      <x:c r="AW6" t="str">
        <x:v>无法确认</x:v>
      </x:c>
      <x:c r="AX6" t="str">
        <x:v>平台字段＋严格时间与仓位关系计算</x:v>
      </x:c>
    </x:row>
    <x:row r="7">
      <x:c r="A7" s="4" t="s">
        <x:v>71</x:v>
      </x:c>
      <x:c r="B7" s="4" t="s">
        <x:v>218</x:v>
      </x:c>
      <x:c r="C7" s="4" t="s">
        <x:v>2430</x:v>
      </x:c>
      <x:c r="D7" s="4" t="s">
        <x:v>268</x:v>
      </x:c>
      <x:c r="E7" s="65" t="n">
        <x:v>46175.490439814814</x:v>
      </x:c>
      <x:c r="F7" s="4" t="s">
        <x:v>2423</x:v>
      </x:c>
      <x:c r="G7" s="4" t="s">
        <x:v>2424</x:v>
      </x:c>
      <x:c r="H7" s="4" t="s">
        <x:v>1336</x:v>
      </x:c>
      <x:c r="I7" s="4" t="s">
        <x:v>1409</x:v>
      </x:c>
      <x:c r="J7" s="4" t="s">
        <x:v>2431</x:v>
      </x:c>
      <x:c r="K7" s="4" t="s">
        <x:v>203</x:v>
      </x:c>
      <x:c r="L7" s="4" t="s">
        <x:v>203</x:v>
      </x:c>
      <x:c r="M7" s="4" t="s">
        <x:v>172</x:v>
      </x:c>
      <x:c r="N7" s="4" t="s">
        <x:v>269</x:v>
      </x:c>
      <x:c r="O7" s="4" t="s">
        <x:v>107</x:v>
      </x:c>
      <x:c r="P7" s="4" t="s">
        <x:v>169</x:v>
      </x:c>
      <x:c r="Q7" s="4" t="s">
        <x:v>2427</x:v>
      </x:c>
      <x:c r="R7" s="4" t="s">
        <x:v>187</x:v>
      </x:c>
      <x:c r="S7" s="65"/>
      <x:c r="T7" s="4" t="str"/>
      <x:c r="U7" s="4" t="s">
        <x:v>172</x:v>
      </x:c>
      <x:c r="V7" s="4" t="s">
        <x:v>169</x:v>
      </x:c>
      <x:c r="W7" s="4" t="s">
        <x:v>169</x:v>
      </x:c>
      <x:c r="X7" s="4" t="s">
        <x:v>107</x:v>
      </x:c>
      <x:c r="Y7" s="4" t="s">
        <x:v>107</x:v>
      </x:c>
      <x:c r="Z7" s="4" t="str">
        <x:v>否</x:v>
      </x:c>
      <x:c r="AA7" s="4" t="s">
        <x:v>172</x:v>
      </x:c>
      <x:c r="AB7" s="4" t="s">
        <x:v>172</x:v>
      </x:c>
      <x:c r="AC7" s="4" t="s">
        <x:v>172</x:v>
      </x:c>
      <x:c r="AD7" s="4" t="str">
        <x:v>终态：撤销</x:v>
      </x:c>
      <x:c r="AE7" s="4" t="str">
        <x:v>疑似连续调整</x:v>
      </x:c>
      <x:c r="AF7" s="4" t="s">
        <x:v>263</x:v>
      </x:c>
      <x:c r="AG7" s="4" t="s">
        <x:v>269</x:v>
      </x:c>
      <x:c r="AH7" s="4" t="s">
        <x:v>2434</x:v>
      </x:c>
      <x:c r="AI7" s="4" t="s">
        <x:v>169</x:v>
      </x:c>
      <x:c r="AJ7" s="4" t="str">
        <x:v>疑似连续调整</x:v>
      </x:c>
      <x:c r="AK7" s="4" t="s">
        <x:v>1830</x:v>
      </x:c>
      <x:c r="AL7" s="4" t="str">
        <x:v>条件委托已取消；算法编号1000001829348260；创建时间2026-06-02 19:17:29；撤销时间2026-06-02 19:46:14；是否触发否；周期关联等级STRONG_CONTEXT；取消/过期原因无法确认（已完成为不适用）。</x:v>
      </x:c>
      <x:c r="AM7" s="4" t="str">
        <x:v>否</x:v>
      </x:c>
      <x:c r="AN7" s="4" t="str"/>
      <x:c r="AO7" s="64" t="str">
        <x:v>1000001829348260</x:v>
      </x:c>
      <x:c r="AP7" s="4" t="s">
        <x:v>1893</x:v>
      </x:c>
      <x:c r="AQ7" s="4" t="str">
        <x:v>是</x:v>
      </x:c>
      <x:c r="AR7" s="4" t="s">
        <x:v>2428</x:v>
      </x:c>
      <x:c r="AS7" s="4" t="str">
        <x:v>/Users/luodaluo/Desktop/30天复盘原始数据/补充证据_历史委托条件委托截图/05_安卓端取消与过期完整生命周期/01_已取消/Screenshot_20260722_212857.jpg</x:v>
      </x:c>
      <x:c r="AT7" t="str">
        <x:v>撤销</x:v>
      </x:c>
      <x:c r="AU7" t="n">
        <x:v>1725</x:v>
      </x:c>
      <x:c r="AV7" t="str">
        <x:v>STRONG_CONTEXT</x:v>
      </x:c>
      <x:c r="AW7" t="str">
        <x:v>无法确认</x:v>
      </x:c>
      <x:c r="AX7" t="str">
        <x:v>平台字段＋严格时间与仓位关系计算</x:v>
      </x:c>
    </x:row>
    <x:row r="8">
      <x:c r="A8" s="4" t="s">
        <x:v>71</x:v>
      </x:c>
      <x:c r="B8" s="4" t="s">
        <x:v>314</x:v>
      </x:c>
      <x:c r="C8" s="4" t="s">
        <x:v>2430</x:v>
      </x:c>
      <x:c r="D8" s="4" t="s">
        <x:v>273</x:v>
      </x:c>
      <x:c r="E8" s="65" t="n">
        <x:v>46175.58672453704</x:v>
      </x:c>
      <x:c r="F8" s="4" t="s">
        <x:v>2423</x:v>
      </x:c>
      <x:c r="G8" s="4" t="s">
        <x:v>2424</x:v>
      </x:c>
      <x:c r="H8" s="4" t="s">
        <x:v>1336</x:v>
      </x:c>
      <x:c r="I8" s="4" t="s">
        <x:v>1409</x:v>
      </x:c>
      <x:c r="J8" s="4" t="s">
        <x:v>2431</x:v>
      </x:c>
      <x:c r="K8" s="4" t="s">
        <x:v>203</x:v>
      </x:c>
      <x:c r="L8" s="4" t="s">
        <x:v>203</x:v>
      </x:c>
      <x:c r="M8" s="4" t="s">
        <x:v>172</x:v>
      </x:c>
      <x:c r="N8" s="4" t="s">
        <x:v>274</x:v>
      </x:c>
      <x:c r="O8" s="4" t="s">
        <x:v>107</x:v>
      </x:c>
      <x:c r="P8" s="4" t="s">
        <x:v>169</x:v>
      </x:c>
      <x:c r="Q8" s="4" t="s">
        <x:v>2427</x:v>
      </x:c>
      <x:c r="R8" s="4" t="s">
        <x:v>187</x:v>
      </x:c>
      <x:c r="S8" s="65"/>
      <x:c r="T8" s="4" t="str"/>
      <x:c r="U8" s="4" t="s">
        <x:v>172</x:v>
      </x:c>
      <x:c r="V8" s="4" t="s">
        <x:v>169</x:v>
      </x:c>
      <x:c r="W8" s="4" t="s">
        <x:v>169</x:v>
      </x:c>
      <x:c r="X8" s="4" t="s">
        <x:v>107</x:v>
      </x:c>
      <x:c r="Y8" s="4" t="s">
        <x:v>107</x:v>
      </x:c>
      <x:c r="Z8" s="4" t="str">
        <x:v>否</x:v>
      </x:c>
      <x:c r="AA8" s="4" t="s">
        <x:v>172</x:v>
      </x:c>
      <x:c r="AB8" s="4" t="s">
        <x:v>172</x:v>
      </x:c>
      <x:c r="AC8" s="4" t="s">
        <x:v>172</x:v>
      </x:c>
      <x:c r="AD8" s="4" t="str">
        <x:v>终态：撤销</x:v>
      </x:c>
      <x:c r="AE8" s="4" t="str">
        <x:v>疑似连续调整</x:v>
      </x:c>
      <x:c r="AF8" s="4" t="s">
        <x:v>269</x:v>
      </x:c>
      <x:c r="AG8" s="4" t="s">
        <x:v>274</x:v>
      </x:c>
      <x:c r="AH8" s="4" t="s">
        <x:v>2435</x:v>
      </x:c>
      <x:c r="AI8" s="4" t="s">
        <x:v>169</x:v>
      </x:c>
      <x:c r="AJ8" s="4" t="str">
        <x:v>疑似连续调整</x:v>
      </x:c>
      <x:c r="AK8" s="4" t="s">
        <x:v>1830</x:v>
      </x:c>
      <x:c r="AL8" s="4" t="str">
        <x:v>条件委托已取消；算法编号1000001829549129；创建时间2026-06-02 19:46:14；撤销时间2026-06-02 22:04:53；是否触发否；周期关联等级STRONG_CONTEXT；取消/过期原因无法确认（已完成为不适用）。</x:v>
      </x:c>
      <x:c r="AM8" s="4" t="str">
        <x:v>否</x:v>
      </x:c>
      <x:c r="AN8" s="4" t="str"/>
      <x:c r="AO8" s="64" t="str">
        <x:v>1000001829549129</x:v>
      </x:c>
      <x:c r="AP8" s="4" t="s">
        <x:v>1898</x:v>
      </x:c>
      <x:c r="AQ8" s="4" t="str">
        <x:v>是</x:v>
      </x:c>
      <x:c r="AR8" s="4" t="s">
        <x:v>2428</x:v>
      </x:c>
      <x:c r="AS8" s="4" t="str">
        <x:v>/Users/luodaluo/Desktop/30天复盘原始数据/补充证据_历史委托条件委托截图/05_安卓端取消与过期完整生命周期/01_已取消/Screenshot_20260722_212901.jpg</x:v>
      </x:c>
      <x:c r="AT8" t="str">
        <x:v>撤销</x:v>
      </x:c>
      <x:c r="AU8" t="n">
        <x:v>8319</x:v>
      </x:c>
      <x:c r="AV8" t="str">
        <x:v>STRONG_CONTEXT</x:v>
      </x:c>
      <x:c r="AW8" t="str">
        <x:v>无法确认</x:v>
      </x:c>
      <x:c r="AX8" t="str">
        <x:v>平台字段＋严格时间与仓位关系计算</x:v>
      </x:c>
    </x:row>
    <x:row r="9">
      <x:c r="A9" s="4" t="s">
        <x:v>71</x:v>
      </x:c>
      <x:c r="B9" s="4" t="s">
        <x:v>1573</x:v>
      </x:c>
      <x:c r="C9" s="4" t="s">
        <x:v>2432</x:v>
      </x:c>
      <x:c r="D9" s="4" t="s">
        <x:v>293</x:v>
      </x:c>
      <x:c r="E9" s="65" t="n">
        <x:v>46175.589849537035</x:v>
      </x:c>
      <x:c r="F9" s="4" t="s">
        <x:v>2423</x:v>
      </x:c>
      <x:c r="G9" s="4" t="s">
        <x:v>2424</x:v>
      </x:c>
      <x:c r="H9" s="4" t="s">
        <x:v>1336</x:v>
      </x:c>
      <x:c r="I9" s="4" t="s">
        <x:v>1409</x:v>
      </x:c>
      <x:c r="J9" s="4" t="s">
        <x:v>2431</x:v>
      </x:c>
      <x:c r="K9" s="4" t="s">
        <x:v>1826</x:v>
      </x:c>
      <x:c r="L9" s="4" t="s">
        <x:v>205</x:v>
      </x:c>
      <x:c r="M9" s="4" t="s">
        <x:v>2426</x:v>
      </x:c>
      <x:c r="N9" s="4" t="s">
        <x:v>294</x:v>
      </x:c>
      <x:c r="O9" s="4" t="s">
        <x:v>107</x:v>
      </x:c>
      <x:c r="P9" s="4" t="s">
        <x:v>169</x:v>
      </x:c>
      <x:c r="Q9" s="4" t="s">
        <x:v>2427</x:v>
      </x:c>
      <x:c r="R9" s="4" t="s">
        <x:v>187</x:v>
      </x:c>
      <x:c r="S9" s="65"/>
      <x:c r="T9" s="4" t="str"/>
      <x:c r="U9" s="4" t="s">
        <x:v>172</x:v>
      </x:c>
      <x:c r="V9" s="4" t="s">
        <x:v>169</x:v>
      </x:c>
      <x:c r="W9" s="4" t="s">
        <x:v>169</x:v>
      </x:c>
      <x:c r="X9" s="4" t="s">
        <x:v>107</x:v>
      </x:c>
      <x:c r="Y9" s="4" t="s">
        <x:v>107</x:v>
      </x:c>
      <x:c r="Z9" s="4" t="str">
        <x:v>否</x:v>
      </x:c>
      <x:c r="AA9" s="4" t="s">
        <x:v>172</x:v>
      </x:c>
      <x:c r="AB9" s="4" t="s">
        <x:v>172</x:v>
      </x:c>
      <x:c r="AC9" s="4" t="s">
        <x:v>172</x:v>
      </x:c>
      <x:c r="AD9" s="4" t="str">
        <x:v>终态：撤销</x:v>
      </x:c>
      <x:c r="AE9" s="4" t="str">
        <x:v>疑似连续调整</x:v>
      </x:c>
      <x:c r="AF9" s="4" t="s">
        <x:v>267</x:v>
      </x:c>
      <x:c r="AG9" s="4" t="s">
        <x:v>294</x:v>
      </x:c>
      <x:c r="AH9" s="4" t="s">
        <x:v>2436</x:v>
      </x:c>
      <x:c r="AI9" s="4" t="s">
        <x:v>169</x:v>
      </x:c>
      <x:c r="AJ9" s="4" t="str">
        <x:v>疑似连续调整</x:v>
      </x:c>
      <x:c r="AK9" s="4" t="s">
        <x:v>1830</x:v>
      </x:c>
      <x:c r="AL9" s="4" t="str">
        <x:v>条件委托已取消；算法编号1000001830298068；创建时间2026-06-02 21:28:29；撤销时间2026-06-02 22:09:23；是否触发否；周期关联等级STRONG_CONTEXT；取消/过期原因无法确认（已完成为不适用）。</x:v>
      </x:c>
      <x:c r="AM9" s="4" t="str">
        <x:v>否</x:v>
      </x:c>
      <x:c r="AN9" s="4" t="str"/>
      <x:c r="AO9" s="64" t="str">
        <x:v>1000001830298068</x:v>
      </x:c>
      <x:c r="AP9" s="4" t="s">
        <x:v>1931</x:v>
      </x:c>
      <x:c r="AQ9" s="4" t="str">
        <x:v>是</x:v>
      </x:c>
      <x:c r="AR9" s="4" t="s">
        <x:v>2428</x:v>
      </x:c>
      <x:c r="AS9" s="4" t="str">
        <x:v>/Users/luodaluo/Desktop/30天复盘原始数据/补充证据_历史委托条件委托截图/05_安卓端取消与过期完整生命周期/01_已取消/Screenshot_20260722_212908.jpg</x:v>
      </x:c>
      <x:c r="AT9" t="str">
        <x:v>撤销</x:v>
      </x:c>
      <x:c r="AU9" t="n">
        <x:v>2454</x:v>
      </x:c>
      <x:c r="AV9" t="str">
        <x:v>STRONG_CONTEXT</x:v>
      </x:c>
      <x:c r="AW9" t="str">
        <x:v>无法确认</x:v>
      </x:c>
      <x:c r="AX9" t="str">
        <x:v>平台字段＋严格时间与仓位关系计算</x:v>
      </x:c>
    </x:row>
    <x:row r="10">
      <x:c r="A10" s="4" t="s">
        <x:v>71</x:v>
      </x:c>
      <x:c r="B10" s="4" t="s">
        <x:v>330</x:v>
      </x:c>
      <x:c r="C10" s="4" t="s">
        <x:v>2430</x:v>
      </x:c>
      <x:c r="D10" s="4" t="s">
        <x:v>300</x:v>
      </x:c>
      <x:c r="E10" s="65" t="n">
        <x:v>46175.58802083333</x:v>
      </x:c>
      <x:c r="F10" s="4" t="s">
        <x:v>2423</x:v>
      </x:c>
      <x:c r="G10" s="4" t="s">
        <x:v>2424</x:v>
      </x:c>
      <x:c r="H10" s="4" t="s">
        <x:v>1336</x:v>
      </x:c>
      <x:c r="I10" s="4" t="s">
        <x:v>1409</x:v>
      </x:c>
      <x:c r="J10" s="4" t="s">
        <x:v>2431</x:v>
      </x:c>
      <x:c r="K10" s="4" t="s">
        <x:v>203</x:v>
      </x:c>
      <x:c r="L10" s="4" t="s">
        <x:v>203</x:v>
      </x:c>
      <x:c r="M10" s="4" t="s">
        <x:v>172</x:v>
      </x:c>
      <x:c r="N10" s="4" t="s">
        <x:v>301</x:v>
      </x:c>
      <x:c r="O10" s="4" t="s">
        <x:v>107</x:v>
      </x:c>
      <x:c r="P10" s="4" t="s">
        <x:v>169</x:v>
      </x:c>
      <x:c r="Q10" s="4" t="s">
        <x:v>2427</x:v>
      </x:c>
      <x:c r="R10" s="4" t="s">
        <x:v>187</x:v>
      </x:c>
      <x:c r="S10" s="65"/>
      <x:c r="T10" s="4" t="str"/>
      <x:c r="U10" s="4" t="s">
        <x:v>172</x:v>
      </x:c>
      <x:c r="V10" s="4" t="s">
        <x:v>169</x:v>
      </x:c>
      <x:c r="W10" s="4" t="s">
        <x:v>169</x:v>
      </x:c>
      <x:c r="X10" s="4" t="s">
        <x:v>107</x:v>
      </x:c>
      <x:c r="Y10" s="4" t="s">
        <x:v>107</x:v>
      </x:c>
      <x:c r="Z10" s="4" t="str">
        <x:v>否</x:v>
      </x:c>
      <x:c r="AA10" s="4" t="s">
        <x:v>172</x:v>
      </x:c>
      <x:c r="AB10" s="4" t="s">
        <x:v>172</x:v>
      </x:c>
      <x:c r="AC10" s="4" t="s">
        <x:v>172</x:v>
      </x:c>
      <x:c r="AD10" s="4" t="str">
        <x:v>终态：撤销</x:v>
      </x:c>
      <x:c r="AE10" s="4" t="str">
        <x:v>疑似连续调整</x:v>
      </x:c>
      <x:c r="AF10" s="4" t="s">
        <x:v>274</x:v>
      </x:c>
      <x:c r="AG10" s="4" t="s">
        <x:v>301</x:v>
      </x:c>
      <x:c r="AH10" s="4" t="s">
        <x:v>2437</x:v>
      </x:c>
      <x:c r="AI10" s="4" t="s">
        <x:v>169</x:v>
      </x:c>
      <x:c r="AJ10" s="4" t="str">
        <x:v>疑似连续调整</x:v>
      </x:c>
      <x:c r="AK10" s="4" t="s">
        <x:v>1830</x:v>
      </x:c>
      <x:c r="AL10" s="4" t="str">
        <x:v>条件委托已取消；算法编号1000001830609002；创建时间2026-06-02 22:04:53；撤销时间2026-06-02 22:06:45；是否触发否；周期关联等级STRONG_CONTEXT；取消/过期原因无法确认（已完成为不适用）。</x:v>
      </x:c>
      <x:c r="AM10" s="4" t="str">
        <x:v>否</x:v>
      </x:c>
      <x:c r="AN10" s="4" t="str"/>
      <x:c r="AO10" s="64" t="str">
        <x:v>1000001830609002</x:v>
      </x:c>
      <x:c r="AP10" s="4" t="s">
        <x:v>1936</x:v>
      </x:c>
      <x:c r="AQ10" s="4" t="str">
        <x:v>是</x:v>
      </x:c>
      <x:c r="AR10" s="4" t="s">
        <x:v>2428</x:v>
      </x:c>
      <x:c r="AS10" s="4" t="str">
        <x:v>/Users/luodaluo/Desktop/30天复盘原始数据/补充证据_历史委托条件委托截图/05_安卓端取消与过期完整生命周期/01_已取消/Screenshot_20260722_212912.jpg</x:v>
      </x:c>
      <x:c r="AT10" t="str">
        <x:v>撤销</x:v>
      </x:c>
      <x:c r="AU10" t="n">
        <x:v>112</x:v>
      </x:c>
      <x:c r="AV10" t="str">
        <x:v>STRONG_CONTEXT</x:v>
      </x:c>
      <x:c r="AW10" t="str">
        <x:v>无法确认</x:v>
      </x:c>
      <x:c r="AX10" t="str">
        <x:v>平台字段＋严格时间与仓位关系计算</x:v>
      </x:c>
    </x:row>
    <x:row r="11">
      <x:c r="A11" s="4" t="s">
        <x:v>71</x:v>
      </x:c>
      <x:c r="B11" s="4" t="s">
        <x:v>229</x:v>
      </x:c>
      <x:c r="C11" s="4" t="s">
        <x:v>2430</x:v>
      </x:c>
      <x:c r="D11" s="4" t="s">
        <x:v>302</x:v>
      </x:c>
      <x:c r="E11" s="65" t="n">
        <x:v>46175.610439814816</x:v>
      </x:c>
      <x:c r="F11" s="4" t="s">
        <x:v>2423</x:v>
      </x:c>
      <x:c r="G11" s="4" t="s">
        <x:v>2424</x:v>
      </x:c>
      <x:c r="H11" s="4" t="s">
        <x:v>1336</x:v>
      </x:c>
      <x:c r="I11" s="4" t="s">
        <x:v>1409</x:v>
      </x:c>
      <x:c r="J11" s="4" t="s">
        <x:v>2431</x:v>
      </x:c>
      <x:c r="K11" s="4" t="s">
        <x:v>203</x:v>
      </x:c>
      <x:c r="L11" s="4" t="s">
        <x:v>203</x:v>
      </x:c>
      <x:c r="M11" s="4" t="s">
        <x:v>172</x:v>
      </x:c>
      <x:c r="N11" s="4" t="s">
        <x:v>303</x:v>
      </x:c>
      <x:c r="O11" s="4" t="s">
        <x:v>107</x:v>
      </x:c>
      <x:c r="P11" s="4" t="s">
        <x:v>169</x:v>
      </x:c>
      <x:c r="Q11" s="4" t="s">
        <x:v>2427</x:v>
      </x:c>
      <x:c r="R11" s="4" t="s">
        <x:v>187</x:v>
      </x:c>
      <x:c r="S11" s="65"/>
      <x:c r="T11" s="4" t="str"/>
      <x:c r="U11" s="4" t="s">
        <x:v>172</x:v>
      </x:c>
      <x:c r="V11" s="4" t="s">
        <x:v>169</x:v>
      </x:c>
      <x:c r="W11" s="4" t="s">
        <x:v>169</x:v>
      </x:c>
      <x:c r="X11" s="4" t="s">
        <x:v>107</x:v>
      </x:c>
      <x:c r="Y11" s="4" t="s">
        <x:v>107</x:v>
      </x:c>
      <x:c r="Z11" s="4" t="str">
        <x:v>否</x:v>
      </x:c>
      <x:c r="AA11" s="4" t="s">
        <x:v>172</x:v>
      </x:c>
      <x:c r="AB11" s="4" t="s">
        <x:v>172</x:v>
      </x:c>
      <x:c r="AC11" s="4" t="s">
        <x:v>172</x:v>
      </x:c>
      <x:c r="AD11" s="4" t="str">
        <x:v>终态：撤销</x:v>
      </x:c>
      <x:c r="AE11" s="4" t="str">
        <x:v>疑似连续调整</x:v>
      </x:c>
      <x:c r="AF11" s="4" t="s">
        <x:v>301</x:v>
      </x:c>
      <x:c r="AG11" s="4" t="s">
        <x:v>303</x:v>
      </x:c>
      <x:c r="AH11" s="4" t="s">
        <x:v>2438</x:v>
      </x:c>
      <x:c r="AI11" s="4" t="s">
        <x:v>169</x:v>
      </x:c>
      <x:c r="AJ11" s="4" t="str">
        <x:v>疑似连续调整</x:v>
      </x:c>
      <x:c r="AK11" s="4" t="s">
        <x:v>1830</x:v>
      </x:c>
      <x:c r="AL11" s="4" t="str">
        <x:v>条件委托已取消；算法编号1000001830625752；创建时间2026-06-02 22:06:45；撤销时间2026-06-02 22:39:02；是否触发否；周期关联等级STRONG_CONTEXT；取消/过期原因无法确认（已完成为不适用）。</x:v>
      </x:c>
      <x:c r="AM11" s="4" t="str">
        <x:v>否</x:v>
      </x:c>
      <x:c r="AN11" s="4" t="str"/>
      <x:c r="AO11" s="64" t="str">
        <x:v>1000001830625752</x:v>
      </x:c>
      <x:c r="AP11" s="4" t="s">
        <x:v>1938</x:v>
      </x:c>
      <x:c r="AQ11" s="4" t="str">
        <x:v>是</x:v>
      </x:c>
      <x:c r="AR11" s="4" t="s">
        <x:v>2428</x:v>
      </x:c>
      <x:c r="AS11" s="4" t="str">
        <x:v>/Users/luodaluo/Desktop/30天复盘原始数据/补充证据_历史委托条件委托截图/05_安卓端取消与过期完整生命周期/01_已取消/Screenshot_20260722_212916.jpg</x:v>
      </x:c>
      <x:c r="AT11" t="str">
        <x:v>撤销</x:v>
      </x:c>
      <x:c r="AU11" t="n">
        <x:v>1937</x:v>
      </x:c>
      <x:c r="AV11" t="str">
        <x:v>STRONG_CONTEXT</x:v>
      </x:c>
      <x:c r="AW11" t="str">
        <x:v>无法确认</x:v>
      </x:c>
      <x:c r="AX11" t="str">
        <x:v>平台字段＋严格时间与仓位关系计算</x:v>
      </x:c>
    </x:row>
    <x:row r="12">
      <x:c r="A12" s="4" t="s">
        <x:v>71</x:v>
      </x:c>
      <x:c r="B12" s="4" t="s">
        <x:v>298</x:v>
      </x:c>
      <x:c r="C12" s="4" t="s">
        <x:v>2432</x:v>
      </x:c>
      <x:c r="D12" s="4" t="s">
        <x:v>307</x:v>
      </x:c>
      <x:c r="E12" s="65" t="n">
        <x:v>46175.5962037037</x:v>
      </x:c>
      <x:c r="F12" s="4" t="s">
        <x:v>2423</x:v>
      </x:c>
      <x:c r="G12" s="4" t="s">
        <x:v>2424</x:v>
      </x:c>
      <x:c r="H12" s="4" t="s">
        <x:v>1336</x:v>
      </x:c>
      <x:c r="I12" s="4" t="s">
        <x:v>1409</x:v>
      </x:c>
      <x:c r="J12" s="4" t="s">
        <x:v>2431</x:v>
      </x:c>
      <x:c r="K12" s="4" t="s">
        <x:v>1826</x:v>
      </x:c>
      <x:c r="L12" s="4" t="s">
        <x:v>205</x:v>
      </x:c>
      <x:c r="M12" s="4" t="s">
        <x:v>2426</x:v>
      </x:c>
      <x:c r="N12" s="4" t="s">
        <x:v>308</x:v>
      </x:c>
      <x:c r="O12" s="4" t="s">
        <x:v>107</x:v>
      </x:c>
      <x:c r="P12" s="4" t="s">
        <x:v>169</x:v>
      </x:c>
      <x:c r="Q12" s="4" t="s">
        <x:v>2427</x:v>
      </x:c>
      <x:c r="R12" s="4" t="s">
        <x:v>187</x:v>
      </x:c>
      <x:c r="S12" s="65"/>
      <x:c r="T12" s="4" t="str"/>
      <x:c r="U12" s="4" t="s">
        <x:v>172</x:v>
      </x:c>
      <x:c r="V12" s="4" t="s">
        <x:v>169</x:v>
      </x:c>
      <x:c r="W12" s="4" t="s">
        <x:v>169</x:v>
      </x:c>
      <x:c r="X12" s="4" t="s">
        <x:v>107</x:v>
      </x:c>
      <x:c r="Y12" s="4" t="s">
        <x:v>107</x:v>
      </x:c>
      <x:c r="Z12" s="4" t="str">
        <x:v>否</x:v>
      </x:c>
      <x:c r="AA12" s="4" t="s">
        <x:v>172</x:v>
      </x:c>
      <x:c r="AB12" s="4" t="s">
        <x:v>172</x:v>
      </x:c>
      <x:c r="AC12" s="4" t="s">
        <x:v>172</x:v>
      </x:c>
      <x:c r="AD12" s="4" t="str">
        <x:v>终态：撤销</x:v>
      </x:c>
      <x:c r="AE12" s="4" t="str">
        <x:v>疑似连续调整</x:v>
      </x:c>
      <x:c r="AF12" s="4" t="s">
        <x:v>294</x:v>
      </x:c>
      <x:c r="AG12" s="4" t="s">
        <x:v>308</x:v>
      </x:c>
      <x:c r="AH12" s="4" t="s">
        <x:v>2439</x:v>
      </x:c>
      <x:c r="AI12" s="4" t="s">
        <x:v>169</x:v>
      </x:c>
      <x:c r="AJ12" s="4" t="str">
        <x:v>疑似连续调整</x:v>
      </x:c>
      <x:c r="AK12" s="4" t="s">
        <x:v>1830</x:v>
      </x:c>
      <x:c r="AL12" s="4" t="str">
        <x:v>条件委托已取消；算法编号1000001830651002；创建时间2026-06-02 22:09:23；撤销时间2026-06-02 22:18:32；是否触发否；周期关联等级STRONG_CONTEXT；取消/过期原因无法确认（已完成为不适用）。</x:v>
      </x:c>
      <x:c r="AM12" s="4" t="str">
        <x:v>否</x:v>
      </x:c>
      <x:c r="AN12" s="4" t="str"/>
      <x:c r="AO12" s="64" t="str">
        <x:v>1000001830651002</x:v>
      </x:c>
      <x:c r="AP12" s="4" t="s">
        <x:v>1945</x:v>
      </x:c>
      <x:c r="AQ12" s="4" t="str">
        <x:v>是</x:v>
      </x:c>
      <x:c r="AR12" s="4" t="s">
        <x:v>2428</x:v>
      </x:c>
      <x:c r="AS12" s="4" t="str">
        <x:v>/Users/luodaluo/Desktop/30天复盘原始数据/补充证据_历史委托条件委托截图/05_安卓端取消与过期完整生命周期/01_已取消/Screenshot_20260722_212923.jpg</x:v>
      </x:c>
      <x:c r="AT12" t="str">
        <x:v>撤销</x:v>
      </x:c>
      <x:c r="AU12" t="n">
        <x:v>549</x:v>
      </x:c>
      <x:c r="AV12" t="str">
        <x:v>STRONG_CONTEXT</x:v>
      </x:c>
      <x:c r="AW12" t="str">
        <x:v>无法确认</x:v>
      </x:c>
      <x:c r="AX12" t="str">
        <x:v>平台字段＋严格时间与仓位关系计算</x:v>
      </x:c>
    </x:row>
    <x:row r="13">
      <x:c r="A13" s="4" t="s">
        <x:v>71</x:v>
      </x:c>
      <x:c r="B13" s="4" t="s">
        <x:v>632</x:v>
      </x:c>
      <x:c r="C13" s="4" t="s">
        <x:v>2432</x:v>
      </x:c>
      <x:c r="D13" s="4" t="s">
        <x:v>309</x:v>
      </x:c>
      <x:c r="E13" s="65" t="n">
        <x:v>46175.60491898148</x:v>
      </x:c>
      <x:c r="F13" s="4" t="s">
        <x:v>2423</x:v>
      </x:c>
      <x:c r="G13" s="4" t="s">
        <x:v>2424</x:v>
      </x:c>
      <x:c r="H13" s="4" t="s">
        <x:v>1336</x:v>
      </x:c>
      <x:c r="I13" s="4" t="s">
        <x:v>1409</x:v>
      </x:c>
      <x:c r="J13" s="4" t="s">
        <x:v>2431</x:v>
      </x:c>
      <x:c r="K13" s="4" t="s">
        <x:v>1826</x:v>
      </x:c>
      <x:c r="L13" s="4" t="s">
        <x:v>205</x:v>
      </x:c>
      <x:c r="M13" s="4" t="s">
        <x:v>2426</x:v>
      </x:c>
      <x:c r="N13" s="4" t="s">
        <x:v>310</x:v>
      </x:c>
      <x:c r="O13" s="4" t="s">
        <x:v>107</x:v>
      </x:c>
      <x:c r="P13" s="4" t="s">
        <x:v>169</x:v>
      </x:c>
      <x:c r="Q13" s="4" t="s">
        <x:v>2427</x:v>
      </x:c>
      <x:c r="R13" s="4" t="s">
        <x:v>187</x:v>
      </x:c>
      <x:c r="S13" s="65"/>
      <x:c r="T13" s="4" t="str"/>
      <x:c r="U13" s="4" t="s">
        <x:v>172</x:v>
      </x:c>
      <x:c r="V13" s="4" t="s">
        <x:v>169</x:v>
      </x:c>
      <x:c r="W13" s="4" t="s">
        <x:v>169</x:v>
      </x:c>
      <x:c r="X13" s="4" t="s">
        <x:v>107</x:v>
      </x:c>
      <x:c r="Y13" s="4" t="s">
        <x:v>107</x:v>
      </x:c>
      <x:c r="Z13" s="4" t="str">
        <x:v>否</x:v>
      </x:c>
      <x:c r="AA13" s="4" t="s">
        <x:v>172</x:v>
      </x:c>
      <x:c r="AB13" s="4" t="s">
        <x:v>172</x:v>
      </x:c>
      <x:c r="AC13" s="4" t="s">
        <x:v>172</x:v>
      </x:c>
      <x:c r="AD13" s="4" t="str">
        <x:v>终态：撤销</x:v>
      </x:c>
      <x:c r="AE13" s="4" t="str">
        <x:v>疑似连续调整</x:v>
      </x:c>
      <x:c r="AF13" s="4" t="s">
        <x:v>308</x:v>
      </x:c>
      <x:c r="AG13" s="4" t="s">
        <x:v>310</x:v>
      </x:c>
      <x:c r="AH13" s="4" t="s">
        <x:v>2440</x:v>
      </x:c>
      <x:c r="AI13" s="4" t="s">
        <x:v>169</x:v>
      </x:c>
      <x:c r="AJ13" s="4" t="str">
        <x:v>疑似连续调整</x:v>
      </x:c>
      <x:c r="AK13" s="4" t="s">
        <x:v>1830</x:v>
      </x:c>
      <x:c r="AL13" s="4" t="str">
        <x:v>条件委托已取消；算法编号1000001830742104；创建时间2026-06-02 22:18:33；撤销时间2026-06-02 22:31:05；是否触发否；周期关联等级STRONG_CONTEXT；取消/过期原因无法确认（已完成为不适用）。</x:v>
      </x:c>
      <x:c r="AM13" s="4" t="str">
        <x:v>否</x:v>
      </x:c>
      <x:c r="AN13" s="4" t="str"/>
      <x:c r="AO13" s="64" t="str">
        <x:v>1000001830742104</x:v>
      </x:c>
      <x:c r="AP13" s="4" t="s">
        <x:v>1947</x:v>
      </x:c>
      <x:c r="AQ13" s="4" t="str">
        <x:v>是</x:v>
      </x:c>
      <x:c r="AR13" s="4" t="s">
        <x:v>2428</x:v>
      </x:c>
      <x:c r="AS13" s="4" t="str">
        <x:v>/Users/luodaluo/Desktop/30天复盘原始数据/补充证据_历史委托条件委托截图/05_安卓端取消与过期完整生命周期/01_已取消/Screenshot_20260722_212929.jpg</x:v>
      </x:c>
      <x:c r="AT13" t="str">
        <x:v>撤销</x:v>
      </x:c>
      <x:c r="AU13" t="n">
        <x:v>752</x:v>
      </x:c>
      <x:c r="AV13" t="str">
        <x:v>STRONG_CONTEXT</x:v>
      </x:c>
      <x:c r="AW13" t="str">
        <x:v>无法确认</x:v>
      </x:c>
      <x:c r="AX13" t="str">
        <x:v>平台字段＋严格时间与仓位关系计算</x:v>
      </x:c>
    </x:row>
    <x:row r="14">
      <x:c r="A14" s="4" t="s">
        <x:v>71</x:v>
      </x:c>
      <x:c r="B14" s="4" t="s">
        <x:v>1607</x:v>
      </x:c>
      <x:c r="C14" s="4" t="s">
        <x:v>2432</x:v>
      </x:c>
      <x:c r="D14" s="4" t="s">
        <x:v>316</x:v>
      </x:c>
      <x:c r="E14" s="65" t="n">
        <x:v>46175.631157407406</x:v>
      </x:c>
      <x:c r="F14" s="4" t="s">
        <x:v>2423</x:v>
      </x:c>
      <x:c r="G14" s="4" t="s">
        <x:v>2424</x:v>
      </x:c>
      <x:c r="H14" s="4" t="s">
        <x:v>1336</x:v>
      </x:c>
      <x:c r="I14" s="4" t="s">
        <x:v>1409</x:v>
      </x:c>
      <x:c r="J14" s="4" t="s">
        <x:v>2431</x:v>
      </x:c>
      <x:c r="K14" s="4" t="s">
        <x:v>1826</x:v>
      </x:c>
      <x:c r="L14" s="4" t="s">
        <x:v>205</x:v>
      </x:c>
      <x:c r="M14" s="4" t="s">
        <x:v>2426</x:v>
      </x:c>
      <x:c r="N14" s="4" t="s">
        <x:v>317</x:v>
      </x:c>
      <x:c r="O14" s="4" t="s">
        <x:v>107</x:v>
      </x:c>
      <x:c r="P14" s="4" t="s">
        <x:v>169</x:v>
      </x:c>
      <x:c r="Q14" s="4" t="s">
        <x:v>2427</x:v>
      </x:c>
      <x:c r="R14" s="4" t="s">
        <x:v>187</x:v>
      </x:c>
      <x:c r="S14" s="65"/>
      <x:c r="T14" s="4" t="str"/>
      <x:c r="U14" s="4" t="s">
        <x:v>172</x:v>
      </x:c>
      <x:c r="V14" s="4" t="s">
        <x:v>169</x:v>
      </x:c>
      <x:c r="W14" s="4" t="s">
        <x:v>169</x:v>
      </x:c>
      <x:c r="X14" s="4" t="s">
        <x:v>107</x:v>
      </x:c>
      <x:c r="Y14" s="4" t="s">
        <x:v>107</x:v>
      </x:c>
      <x:c r="Z14" s="4" t="str">
        <x:v>否</x:v>
      </x:c>
      <x:c r="AA14" s="4" t="s">
        <x:v>172</x:v>
      </x:c>
      <x:c r="AB14" s="4" t="s">
        <x:v>172</x:v>
      </x:c>
      <x:c r="AC14" s="4" t="s">
        <x:v>172</x:v>
      </x:c>
      <x:c r="AD14" s="4" t="str">
        <x:v>终态：撤销</x:v>
      </x:c>
      <x:c r="AE14" s="4" t="str">
        <x:v>疑似连续调整</x:v>
      </x:c>
      <x:c r="AF14" s="4" t="s">
        <x:v>310</x:v>
      </x:c>
      <x:c r="AG14" s="4" t="s">
        <x:v>317</x:v>
      </x:c>
      <x:c r="AH14" s="4" t="s">
        <x:v>2441</x:v>
      </x:c>
      <x:c r="AI14" s="4" t="s">
        <x:v>169</x:v>
      </x:c>
      <x:c r="AJ14" s="4" t="str">
        <x:v>疑似连续调整</x:v>
      </x:c>
      <x:c r="AK14" s="4" t="s">
        <x:v>1830</x:v>
      </x:c>
      <x:c r="AL14" s="4" t="str">
        <x:v>条件委托已取消；算法编号1000001830946355；创建时间2026-06-02 22:31:05；撤销时间2026-06-02 23:08:52；是否触发否；周期关联等级STRONG_CONTEXT；取消/过期原因无法确认（已完成为不适用）。</x:v>
      </x:c>
      <x:c r="AM14" s="4" t="str">
        <x:v>否</x:v>
      </x:c>
      <x:c r="AN14" s="4" t="str"/>
      <x:c r="AO14" s="64" t="str">
        <x:v>1000001830946355</x:v>
      </x:c>
      <x:c r="AP14" s="4" t="s">
        <x:v>1954</x:v>
      </x:c>
      <x:c r="AQ14" s="4" t="str">
        <x:v>是</x:v>
      </x:c>
      <x:c r="AR14" s="4" t="s">
        <x:v>2428</x:v>
      </x:c>
      <x:c r="AS14" s="4" t="str">
        <x:v>/Users/luodaluo/Desktop/30天复盘原始数据/补充证据_历史委托条件委托截图/05_安卓端取消与过期完整生命周期/01_已取消/Screenshot_20260722_212933.jpg</x:v>
      </x:c>
      <x:c r="AT14" t="str">
        <x:v>撤销</x:v>
      </x:c>
      <x:c r="AU14" t="n">
        <x:v>2267</x:v>
      </x:c>
      <x:c r="AV14" t="str">
        <x:v>STRONG_CONTEXT</x:v>
      </x:c>
      <x:c r="AW14" t="str">
        <x:v>无法确认</x:v>
      </x:c>
      <x:c r="AX14" t="str">
        <x:v>平台字段＋严格时间与仓位关系计算</x:v>
      </x:c>
    </x:row>
    <x:row r="15">
      <x:c r="A15" s="4" t="s">
        <x:v>71</x:v>
      </x:c>
      <x:c r="B15" s="4" t="s">
        <x:v>358</x:v>
      </x:c>
      <x:c r="C15" s="4" t="s">
        <x:v>2432</x:v>
      </x:c>
      <x:c r="D15" s="4" t="s">
        <x:v>326</x:v>
      </x:c>
      <x:c r="E15" s="65" t="n">
        <x:v>46175.66074074074</x:v>
      </x:c>
      <x:c r="F15" s="4" t="s">
        <x:v>2423</x:v>
      </x:c>
      <x:c r="G15" s="4" t="s">
        <x:v>2424</x:v>
      </x:c>
      <x:c r="H15" s="4" t="s">
        <x:v>1336</x:v>
      </x:c>
      <x:c r="I15" s="4" t="s">
        <x:v>1409</x:v>
      </x:c>
      <x:c r="J15" s="4" t="s">
        <x:v>2431</x:v>
      </x:c>
      <x:c r="K15" s="4" t="s">
        <x:v>1826</x:v>
      </x:c>
      <x:c r="L15" s="4" t="s">
        <x:v>205</x:v>
      </x:c>
      <x:c r="M15" s="4" t="s">
        <x:v>2426</x:v>
      </x:c>
      <x:c r="N15" s="4" t="s">
        <x:v>327</x:v>
      </x:c>
      <x:c r="O15" s="4" t="s">
        <x:v>107</x:v>
      </x:c>
      <x:c r="P15" s="4" t="s">
        <x:v>169</x:v>
      </x:c>
      <x:c r="Q15" s="4" t="s">
        <x:v>2427</x:v>
      </x:c>
      <x:c r="R15" s="4" t="s">
        <x:v>187</x:v>
      </x:c>
      <x:c r="S15" s="65"/>
      <x:c r="T15" s="4" t="str"/>
      <x:c r="U15" s="4" t="s">
        <x:v>172</x:v>
      </x:c>
      <x:c r="V15" s="4" t="s">
        <x:v>169</x:v>
      </x:c>
      <x:c r="W15" s="4" t="s">
        <x:v>169</x:v>
      </x:c>
      <x:c r="X15" s="4" t="s">
        <x:v>107</x:v>
      </x:c>
      <x:c r="Y15" s="4" t="s">
        <x:v>107</x:v>
      </x:c>
      <x:c r="Z15" s="4" t="str">
        <x:v>否</x:v>
      </x:c>
      <x:c r="AA15" s="4" t="s">
        <x:v>172</x:v>
      </x:c>
      <x:c r="AB15" s="4" t="s">
        <x:v>172</x:v>
      </x:c>
      <x:c r="AC15" s="4" t="s">
        <x:v>172</x:v>
      </x:c>
      <x:c r="AD15" s="4" t="str">
        <x:v>终态：撤销</x:v>
      </x:c>
      <x:c r="AE15" s="4" t="str">
        <x:v>疑似连续调整</x:v>
      </x:c>
      <x:c r="AF15" s="4" t="s">
        <x:v>317</x:v>
      </x:c>
      <x:c r="AG15" s="4" t="s">
        <x:v>327</x:v>
      </x:c>
      <x:c r="AH15" s="4" t="s">
        <x:v>2442</x:v>
      </x:c>
      <x:c r="AI15" s="4" t="s">
        <x:v>169</x:v>
      </x:c>
      <x:c r="AJ15" s="4" t="str">
        <x:v>疑似连续调整</x:v>
      </x:c>
      <x:c r="AK15" s="4" t="s">
        <x:v>1830</x:v>
      </x:c>
      <x:c r="AL15" s="4" t="str">
        <x:v>条件委托已取消；算法编号1000001831316229；创建时间2026-06-02 23:08:52；撤销时间2026-06-02 23:51:28；是否触发否；周期关联等级STRONG_CONTEXT；取消/过期原因无法确认（已完成为不适用）。</x:v>
      </x:c>
      <x:c r="AM15" s="4" t="str">
        <x:v>否</x:v>
      </x:c>
      <x:c r="AN15" s="4" t="str"/>
      <x:c r="AO15" s="64" t="str">
        <x:v>1000001831316229</x:v>
      </x:c>
      <x:c r="AP15" s="4" t="s">
        <x:v>1970</x:v>
      </x:c>
      <x:c r="AQ15" s="4" t="str">
        <x:v>是</x:v>
      </x:c>
      <x:c r="AR15" s="4" t="s">
        <x:v>2428</x:v>
      </x:c>
      <x:c r="AS15" s="4" t="str">
        <x:v>/Users/luodaluo/Desktop/30天复盘原始数据/补充证据_历史委托条件委托截图/05_安卓端取消与过期完整生命周期/01_已取消/Screenshot_20260722_212947.jpg</x:v>
      </x:c>
      <x:c r="AT15" t="str">
        <x:v>撤销</x:v>
      </x:c>
      <x:c r="AU15" t="n">
        <x:v>2556</x:v>
      </x:c>
      <x:c r="AV15" t="str">
        <x:v>STRONG_CONTEXT</x:v>
      </x:c>
      <x:c r="AW15" t="str">
        <x:v>无法确认</x:v>
      </x:c>
      <x:c r="AX15" t="str">
        <x:v>平台字段＋严格时间与仓位关系计算</x:v>
      </x:c>
    </x:row>
    <x:row r="16">
      <x:c r="A16" s="4" t="s">
        <x:v>71</x:v>
      </x:c>
      <x:c r="B16" s="4" t="s">
        <x:v>1465</x:v>
      </x:c>
      <x:c r="C16" s="4" t="s">
        <x:v>2432</x:v>
      </x:c>
      <x:c r="D16" s="4" t="s">
        <x:v>332</x:v>
      </x:c>
      <x:c r="E16" s="65" t="n">
        <x:v>46175.64542824074</x:v>
      </x:c>
      <x:c r="F16" s="4" t="s">
        <x:v>2423</x:v>
      </x:c>
      <x:c r="G16" s="4" t="s">
        <x:v>2424</x:v>
      </x:c>
      <x:c r="H16" s="4" t="s">
        <x:v>1336</x:v>
      </x:c>
      <x:c r="I16" s="4" t="s">
        <x:v>1409</x:v>
      </x:c>
      <x:c r="J16" s="4" t="s">
        <x:v>2431</x:v>
      </x:c>
      <x:c r="K16" s="4" t="s">
        <x:v>1826</x:v>
      </x:c>
      <x:c r="L16" s="4" t="s">
        <x:v>205</x:v>
      </x:c>
      <x:c r="M16" s="4" t="s">
        <x:v>2426</x:v>
      </x:c>
      <x:c r="N16" s="4" t="s">
        <x:v>333</x:v>
      </x:c>
      <x:c r="O16" s="4" t="s">
        <x:v>107</x:v>
      </x:c>
      <x:c r="P16" s="4" t="s">
        <x:v>1353</x:v>
      </x:c>
      <x:c r="Q16" s="4" t="s">
        <x:v>2443</x:v>
      </x:c>
      <x:c r="R16" s="4" t="s">
        <x:v>187</x:v>
      </x:c>
      <x:c r="S16" s="65"/>
      <x:c r="T16" s="4" t="str"/>
      <x:c r="U16" s="4" t="s">
        <x:v>172</x:v>
      </x:c>
      <x:c r="V16" s="4" t="s">
        <x:v>169</x:v>
      </x:c>
      <x:c r="W16" s="4" t="s">
        <x:v>169</x:v>
      </x:c>
      <x:c r="X16" s="4" t="s">
        <x:v>107</x:v>
      </x:c>
      <x:c r="Y16" s="4" t="s">
        <x:v>107</x:v>
      </x:c>
      <x:c r="Z16" s="4" t="str">
        <x:v>否</x:v>
      </x:c>
      <x:c r="AA16" s="4" t="s">
        <x:v>172</x:v>
      </x:c>
      <x:c r="AB16" s="4" t="s">
        <x:v>172</x:v>
      </x:c>
      <x:c r="AC16" s="4" t="s">
        <x:v>172</x:v>
      </x:c>
      <x:c r="AD16" s="4" t="str">
        <x:v>终态：撤销</x:v>
      </x:c>
      <x:c r="AE16" s="4" t="str">
        <x:v>相邻记录</x:v>
      </x:c>
      <x:c r="AF16" s="4" t="s">
        <x:v>327</x:v>
      </x:c>
      <x:c r="AG16" s="4" t="s">
        <x:v>333</x:v>
      </x:c>
      <x:c r="AH16" s="4" t="s">
        <x:v>2444</x:v>
      </x:c>
      <x:c r="AI16" s="4" t="s">
        <x:v>1353</x:v>
      </x:c>
      <x:c r="AJ16" s="4" t="str">
        <x:v>相邻记录</x:v>
      </x:c>
      <x:c r="AK16" s="4" t="s">
        <x:v>1848</x:v>
      </x:c>
      <x:c r="AL16" s="4" t="str">
        <x:v>条件委托已取消；算法编号1000001831526346；创建时间2026-06-02 23:27:54；撤销时间2026-06-02 23:29:25；是否触发否；周期关联等级STRONG_CONTEXT；取消/过期原因无法确认（已完成为不适用）。</x:v>
      </x:c>
      <x:c r="AM16" s="4" t="str">
        <x:v>否</x:v>
      </x:c>
      <x:c r="AN16" s="4" t="str"/>
      <x:c r="AO16" s="64" t="str">
        <x:v>1000001831526346</x:v>
      </x:c>
      <x:c r="AP16" s="4" t="s">
        <x:v>1976</x:v>
      </x:c>
      <x:c r="AQ16" s="4" t="str">
        <x:v>是</x:v>
      </x:c>
      <x:c r="AR16" s="4" t="s">
        <x:v>2428</x:v>
      </x:c>
      <x:c r="AS16" s="4" t="str">
        <x:v>/Users/luodaluo/Desktop/30天复盘原始数据/补充证据_历史委托条件委托截图/05_安卓端取消与过期完整生命周期/01_已取消/Screenshot_20260722_212952.jpg</x:v>
      </x:c>
      <x:c r="AT16" t="str">
        <x:v>撤销</x:v>
      </x:c>
      <x:c r="AU16" t="n">
        <x:v>91</x:v>
      </x:c>
      <x:c r="AV16" t="str">
        <x:v>STRONG_CONTEXT</x:v>
      </x:c>
      <x:c r="AW16" t="str">
        <x:v>无法确认</x:v>
      </x:c>
      <x:c r="AX16" t="str">
        <x:v>平台字段＋严格时间与仓位关系计算</x:v>
      </x:c>
    </x:row>
    <x:row r="17">
      <x:c r="A17" s="4" t="s">
        <x:v>71</x:v>
      </x:c>
      <x:c r="B17" s="4" t="s">
        <x:v>1464</x:v>
      </x:c>
      <x:c r="C17" s="4" t="s">
        <x:v>2430</x:v>
      </x:c>
      <x:c r="D17" s="4" t="s">
        <x:v>334</x:v>
      </x:c>
      <x:c r="E17" s="65" t="n">
        <x:v>46175.65293981481</x:v>
      </x:c>
      <x:c r="F17" s="4" t="s">
        <x:v>2423</x:v>
      </x:c>
      <x:c r="G17" s="4" t="s">
        <x:v>2424</x:v>
      </x:c>
      <x:c r="H17" s="4" t="s">
        <x:v>1336</x:v>
      </x:c>
      <x:c r="I17" s="4" t="s">
        <x:v>1409</x:v>
      </x:c>
      <x:c r="J17" s="4" t="s">
        <x:v>2431</x:v>
      </x:c>
      <x:c r="K17" s="4" t="s">
        <x:v>203</x:v>
      </x:c>
      <x:c r="L17" s="4" t="s">
        <x:v>203</x:v>
      </x:c>
      <x:c r="M17" s="4" t="s">
        <x:v>172</x:v>
      </x:c>
      <x:c r="N17" s="4" t="s">
        <x:v>335</x:v>
      </x:c>
      <x:c r="O17" s="4" t="s">
        <x:v>107</x:v>
      </x:c>
      <x:c r="P17" s="4" t="s">
        <x:v>169</x:v>
      </x:c>
      <x:c r="Q17" s="4" t="s">
        <x:v>2427</x:v>
      </x:c>
      <x:c r="R17" s="4" t="s">
        <x:v>187</x:v>
      </x:c>
      <x:c r="S17" s="65"/>
      <x:c r="T17" s="4" t="str"/>
      <x:c r="U17" s="4" t="s">
        <x:v>172</x:v>
      </x:c>
      <x:c r="V17" s="4" t="s">
        <x:v>169</x:v>
      </x:c>
      <x:c r="W17" s="4" t="s">
        <x:v>169</x:v>
      </x:c>
      <x:c r="X17" s="4" t="s">
        <x:v>107</x:v>
      </x:c>
      <x:c r="Y17" s="4" t="s">
        <x:v>107</x:v>
      </x:c>
      <x:c r="Z17" s="4" t="str">
        <x:v>否</x:v>
      </x:c>
      <x:c r="AA17" s="4" t="s">
        <x:v>172</x:v>
      </x:c>
      <x:c r="AB17" s="4" t="s">
        <x:v>172</x:v>
      </x:c>
      <x:c r="AC17" s="4" t="s">
        <x:v>172</x:v>
      </x:c>
      <x:c r="AD17" s="4" t="str">
        <x:v>终态：撤销</x:v>
      </x:c>
      <x:c r="AE17" s="4" t="str">
        <x:v>相邻记录</x:v>
      </x:c>
      <x:c r="AF17" s="4" t="s">
        <x:v>303</x:v>
      </x:c>
      <x:c r="AG17" s="4" t="s">
        <x:v>335</x:v>
      </x:c>
      <x:c r="AH17" s="4" t="s">
        <x:v>2445</x:v>
      </x:c>
      <x:c r="AI17" s="4" t="s">
        <x:v>169</x:v>
      </x:c>
      <x:c r="AJ17" s="4" t="str">
        <x:v>相邻记录</x:v>
      </x:c>
      <x:c r="AK17" s="4" t="s">
        <x:v>1830</x:v>
      </x:c>
      <x:c r="AL17" s="4" t="str">
        <x:v>条件委托已取消；算法编号1000001831604235；创建时间2026-06-02 23:32:56；撤销时间2026-06-02 23:40:14；是否触发否；周期关联等级STRONG_CONTEXT；取消/过期原因无法确认（已完成为不适用）。</x:v>
      </x:c>
      <x:c r="AM17" s="4" t="str">
        <x:v>否</x:v>
      </x:c>
      <x:c r="AN17" s="4" t="str"/>
      <x:c r="AO17" s="64" t="str">
        <x:v>1000001831604235</x:v>
      </x:c>
      <x:c r="AP17" s="4" t="s">
        <x:v>1979</x:v>
      </x:c>
      <x:c r="AQ17" s="4" t="str">
        <x:v>是</x:v>
      </x:c>
      <x:c r="AR17" s="4" t="s">
        <x:v>2428</x:v>
      </x:c>
      <x:c r="AS17" s="4" t="str">
        <x:v>/Users/luodaluo/Desktop/30天复盘原始数据/补充证据_历史委托条件委托截图/05_安卓端取消与过期完整生命周期/01_已取消/Screenshot_20260722_212956.jpg</x:v>
      </x:c>
      <x:c r="AT17" t="str">
        <x:v>撤销</x:v>
      </x:c>
      <x:c r="AU17" t="n">
        <x:v>438</x:v>
      </x:c>
      <x:c r="AV17" t="str">
        <x:v>STRONG_CONTEXT</x:v>
      </x:c>
      <x:c r="AW17" t="str">
        <x:v>无法确认</x:v>
      </x:c>
      <x:c r="AX17" t="str">
        <x:v>平台字段＋严格时间与仓位关系计算</x:v>
      </x:c>
    </x:row>
    <x:row r="18">
      <x:c r="A18" s="4" t="s">
        <x:v>71</x:v>
      </x:c>
      <x:c r="B18" s="4" t="s">
        <x:v>638</x:v>
      </x:c>
      <x:c r="C18" s="4" t="s">
        <x:v>2430</x:v>
      </x:c>
      <x:c r="D18" s="4" t="s">
        <x:v>336</x:v>
      </x:c>
      <x:c r="E18" s="65" t="n">
        <x:v>46175.6593287037</x:v>
      </x:c>
      <x:c r="F18" s="4" t="s">
        <x:v>2423</x:v>
      </x:c>
      <x:c r="G18" s="4" t="s">
        <x:v>2424</x:v>
      </x:c>
      <x:c r="H18" s="4" t="s">
        <x:v>1336</x:v>
      </x:c>
      <x:c r="I18" s="4" t="s">
        <x:v>1409</x:v>
      </x:c>
      <x:c r="J18" s="4" t="s">
        <x:v>2431</x:v>
      </x:c>
      <x:c r="K18" s="4" t="s">
        <x:v>203</x:v>
      </x:c>
      <x:c r="L18" s="4" t="s">
        <x:v>203</x:v>
      </x:c>
      <x:c r="M18" s="4" t="s">
        <x:v>172</x:v>
      </x:c>
      <x:c r="N18" s="4" t="s">
        <x:v>337</x:v>
      </x:c>
      <x:c r="O18" s="4" t="s">
        <x:v>107</x:v>
      </x:c>
      <x:c r="P18" s="4" t="s">
        <x:v>169</x:v>
      </x:c>
      <x:c r="Q18" s="4" t="s">
        <x:v>2427</x:v>
      </x:c>
      <x:c r="R18" s="4" t="s">
        <x:v>187</x:v>
      </x:c>
      <x:c r="S18" s="65"/>
      <x:c r="T18" s="4" t="str"/>
      <x:c r="U18" s="4" t="s">
        <x:v>172</x:v>
      </x:c>
      <x:c r="V18" s="4" t="s">
        <x:v>169</x:v>
      </x:c>
      <x:c r="W18" s="4" t="s">
        <x:v>169</x:v>
      </x:c>
      <x:c r="X18" s="4" t="s">
        <x:v>107</x:v>
      </x:c>
      <x:c r="Y18" s="4" t="s">
        <x:v>107</x:v>
      </x:c>
      <x:c r="Z18" s="4" t="str">
        <x:v>否</x:v>
      </x:c>
      <x:c r="AA18" s="4" t="s">
        <x:v>172</x:v>
      </x:c>
      <x:c r="AB18" s="4" t="s">
        <x:v>172</x:v>
      </x:c>
      <x:c r="AC18" s="4" t="s">
        <x:v>172</x:v>
      </x:c>
      <x:c r="AD18" s="4" t="str">
        <x:v>终态：撤销</x:v>
      </x:c>
      <x:c r="AE18" s="4" t="str">
        <x:v>疑似连续调整</x:v>
      </x:c>
      <x:c r="AF18" s="4" t="s">
        <x:v>335</x:v>
      </x:c>
      <x:c r="AG18" s="4" t="s">
        <x:v>337</x:v>
      </x:c>
      <x:c r="AH18" s="4" t="s">
        <x:v>2446</x:v>
      </x:c>
      <x:c r="AI18" s="4" t="s">
        <x:v>169</x:v>
      </x:c>
      <x:c r="AJ18" s="4" t="str">
        <x:v>疑似连续调整</x:v>
      </x:c>
      <x:c r="AK18" s="4" t="s">
        <x:v>1830</x:v>
      </x:c>
      <x:c r="AL18" s="4" t="str">
        <x:v>条件委托已取消；算法编号1000001831697541；创建时间2026-06-02 23:40:15；撤销时间2026-06-02 23:49:26；是否触发否；周期关联等级STRONG_CONTEXT；取消/过期原因无法确认（已完成为不适用）。</x:v>
      </x:c>
      <x:c r="AM18" s="4" t="str">
        <x:v>否</x:v>
      </x:c>
      <x:c r="AN18" s="4" t="str"/>
      <x:c r="AO18" s="64" t="str">
        <x:v>1000001831697541</x:v>
      </x:c>
      <x:c r="AP18" s="4" t="s">
        <x:v>1981</x:v>
      </x:c>
      <x:c r="AQ18" s="4" t="str">
        <x:v>是</x:v>
      </x:c>
      <x:c r="AR18" s="4" t="s">
        <x:v>2428</x:v>
      </x:c>
      <x:c r="AS18" s="4" t="str">
        <x:v>/Users/luodaluo/Desktop/30天复盘原始数据/补充证据_历史委托条件委托截图/05_安卓端取消与过期完整生命周期/01_已取消/Screenshot_20260722_213004.jpg</x:v>
      </x:c>
      <x:c r="AT18" t="str">
        <x:v>撤销</x:v>
      </x:c>
      <x:c r="AU18" t="n">
        <x:v>551</x:v>
      </x:c>
      <x:c r="AV18" t="str">
        <x:v>STRONG_CONTEXT</x:v>
      </x:c>
      <x:c r="AW18" t="str">
        <x:v>无法确认</x:v>
      </x:c>
      <x:c r="AX18" t="str">
        <x:v>平台字段＋严格时间与仓位关系计算</x:v>
      </x:c>
    </x:row>
    <x:row r="19">
      <x:c r="A19" s="4" t="s">
        <x:v>71</x:v>
      </x:c>
      <x:c r="B19" s="4" t="s">
        <x:v>1911</x:v>
      </x:c>
      <x:c r="C19" s="4" t="s">
        <x:v>2430</x:v>
      </x:c>
      <x:c r="D19" s="4" t="s">
        <x:v>338</x:v>
      </x:c>
      <x:c r="E19" s="65" t="n">
        <x:v>46175.71236111111</x:v>
      </x:c>
      <x:c r="F19" s="4" t="s">
        <x:v>2423</x:v>
      </x:c>
      <x:c r="G19" s="4" t="s">
        <x:v>2424</x:v>
      </x:c>
      <x:c r="H19" s="4" t="s">
        <x:v>1336</x:v>
      </x:c>
      <x:c r="I19" s="4" t="s">
        <x:v>1409</x:v>
      </x:c>
      <x:c r="J19" s="4" t="s">
        <x:v>2431</x:v>
      </x:c>
      <x:c r="K19" s="4" t="s">
        <x:v>203</x:v>
      </x:c>
      <x:c r="L19" s="4" t="s">
        <x:v>203</x:v>
      </x:c>
      <x:c r="M19" s="4" t="s">
        <x:v>172</x:v>
      </x:c>
      <x:c r="N19" s="4" t="s">
        <x:v>339</x:v>
      </x:c>
      <x:c r="O19" s="4" t="s">
        <x:v>107</x:v>
      </x:c>
      <x:c r="P19" s="4" t="s">
        <x:v>169</x:v>
      </x:c>
      <x:c r="Q19" s="4" t="s">
        <x:v>2427</x:v>
      </x:c>
      <x:c r="R19" s="4" t="s">
        <x:v>187</x:v>
      </x:c>
      <x:c r="S19" s="65"/>
      <x:c r="T19" s="4" t="str"/>
      <x:c r="U19" s="4" t="s">
        <x:v>172</x:v>
      </x:c>
      <x:c r="V19" s="4" t="s">
        <x:v>169</x:v>
      </x:c>
      <x:c r="W19" s="4" t="s">
        <x:v>169</x:v>
      </x:c>
      <x:c r="X19" s="4" t="s">
        <x:v>107</x:v>
      </x:c>
      <x:c r="Y19" s="4" t="s">
        <x:v>107</x:v>
      </x:c>
      <x:c r="Z19" s="4" t="str">
        <x:v>否</x:v>
      </x:c>
      <x:c r="AA19" s="4" t="s">
        <x:v>172</x:v>
      </x:c>
      <x:c r="AB19" s="4" t="s">
        <x:v>172</x:v>
      </x:c>
      <x:c r="AC19" s="4" t="s">
        <x:v>172</x:v>
      </x:c>
      <x:c r="AD19" s="4" t="str">
        <x:v>终态：撤销</x:v>
      </x:c>
      <x:c r="AE19" s="4" t="str">
        <x:v>疑似连续调整</x:v>
      </x:c>
      <x:c r="AF19" s="4" t="s">
        <x:v>337</x:v>
      </x:c>
      <x:c r="AG19" s="4" t="s">
        <x:v>339</x:v>
      </x:c>
      <x:c r="AH19" s="4" t="s">
        <x:v>2447</x:v>
      </x:c>
      <x:c r="AI19" s="4" t="s">
        <x:v>169</x:v>
      </x:c>
      <x:c r="AJ19" s="4" t="str">
        <x:v>疑似连续调整</x:v>
      </x:c>
      <x:c r="AK19" s="4" t="s">
        <x:v>1830</x:v>
      </x:c>
      <x:c r="AL19" s="4" t="str">
        <x:v>条件委托已取消；算法编号1000001831791090；创建时间2026-06-02 23:49:26；撤销时间2026-06-03 01:05:48；是否触发否；周期关联等级STRONG_CONTEXT；取消/过期原因无法确认（已完成为不适用）。</x:v>
      </x:c>
      <x:c r="AM19" s="4" t="str">
        <x:v>否</x:v>
      </x:c>
      <x:c r="AN19" s="4" t="str"/>
      <x:c r="AO19" s="64" t="str">
        <x:v>1000001831791090</x:v>
      </x:c>
      <x:c r="AP19" s="4" t="s">
        <x:v>1983</x:v>
      </x:c>
      <x:c r="AQ19" s="4" t="str">
        <x:v>是</x:v>
      </x:c>
      <x:c r="AR19" s="4" t="s">
        <x:v>2428</x:v>
      </x:c>
      <x:c r="AS19" s="4" t="str">
        <x:v>/Users/luodaluo/Desktop/30天复盘原始数据/补充证据_历史委托条件委托截图/05_安卓端取消与过期完整生命周期/01_已取消/Screenshot_20260722_213009.jpg</x:v>
      </x:c>
      <x:c r="AT19" t="str">
        <x:v>撤销</x:v>
      </x:c>
      <x:c r="AU19" t="n">
        <x:v>4582</x:v>
      </x:c>
      <x:c r="AV19" t="str">
        <x:v>STRONG_CONTEXT</x:v>
      </x:c>
      <x:c r="AW19" t="str">
        <x:v>无法确认</x:v>
      </x:c>
      <x:c r="AX19" t="str">
        <x:v>平台字段＋严格时间与仓位关系计算</x:v>
      </x:c>
    </x:row>
    <x:row r="20">
      <x:c r="A20" s="4" t="s">
        <x:v>71</x:v>
      </x:c>
      <x:c r="B20" s="4" t="s">
        <x:v>373</x:v>
      </x:c>
      <x:c r="C20" s="4" t="s">
        <x:v>2432</x:v>
      </x:c>
      <x:c r="D20" s="4" t="s">
        <x:v>340</x:v>
      </x:c>
      <x:c r="E20" s="65" t="n">
        <x:v>46175.70462962963</x:v>
      </x:c>
      <x:c r="F20" s="4" t="s">
        <x:v>2423</x:v>
      </x:c>
      <x:c r="G20" s="4" t="s">
        <x:v>2424</x:v>
      </x:c>
      <x:c r="H20" s="4" t="s">
        <x:v>1336</x:v>
      </x:c>
      <x:c r="I20" s="4" t="s">
        <x:v>1409</x:v>
      </x:c>
      <x:c r="J20" s="4" t="s">
        <x:v>2431</x:v>
      </x:c>
      <x:c r="K20" s="4" t="s">
        <x:v>1826</x:v>
      </x:c>
      <x:c r="L20" s="4" t="s">
        <x:v>205</x:v>
      </x:c>
      <x:c r="M20" s="4" t="s">
        <x:v>2426</x:v>
      </x:c>
      <x:c r="N20" s="4" t="s">
        <x:v>341</x:v>
      </x:c>
      <x:c r="O20" s="4" t="s">
        <x:v>107</x:v>
      </x:c>
      <x:c r="P20" s="4" t="s">
        <x:v>169</x:v>
      </x:c>
      <x:c r="Q20" s="4" t="s">
        <x:v>2427</x:v>
      </x:c>
      <x:c r="R20" s="4" t="s">
        <x:v>187</x:v>
      </x:c>
      <x:c r="S20" s="65"/>
      <x:c r="T20" s="4" t="str"/>
      <x:c r="U20" s="4" t="s">
        <x:v>172</x:v>
      </x:c>
      <x:c r="V20" s="4" t="s">
        <x:v>169</x:v>
      </x:c>
      <x:c r="W20" s="4" t="s">
        <x:v>169</x:v>
      </x:c>
      <x:c r="X20" s="4" t="s">
        <x:v>107</x:v>
      </x:c>
      <x:c r="Y20" s="4" t="s">
        <x:v>107</x:v>
      </x:c>
      <x:c r="Z20" s="4" t="str">
        <x:v>否</x:v>
      </x:c>
      <x:c r="AA20" s="4" t="s">
        <x:v>172</x:v>
      </x:c>
      <x:c r="AB20" s="4" t="s">
        <x:v>172</x:v>
      </x:c>
      <x:c r="AC20" s="4" t="s">
        <x:v>172</x:v>
      </x:c>
      <x:c r="AD20" s="4" t="str">
        <x:v>终态：撤销</x:v>
      </x:c>
      <x:c r="AE20" s="4" t="str">
        <x:v>相邻记录</x:v>
      </x:c>
      <x:c r="AF20" s="4" t="s">
        <x:v>333</x:v>
      </x:c>
      <x:c r="AG20" s="4" t="s">
        <x:v>341</x:v>
      </x:c>
      <x:c r="AH20" s="4" t="s">
        <x:v>2448</x:v>
      </x:c>
      <x:c r="AI20" s="4" t="s">
        <x:v>2449</x:v>
      </x:c>
      <x:c r="AJ20" s="4" t="str">
        <x:v>相邻记录</x:v>
      </x:c>
      <x:c r="AK20" s="4" t="s">
        <x:v>1830</x:v>
      </x:c>
      <x:c r="AL20" s="4" t="str">
        <x:v>条件委托已取消；算法编号1000001831809942；创建时间2026-06-02 23:51:28；撤销时间2026-06-03 00:54:40；是否触发否；周期关联等级STRONG_CONTEXT；取消/过期原因无法确认（已完成为不适用）。</x:v>
      </x:c>
      <x:c r="AM20" s="4" t="str">
        <x:v>否</x:v>
      </x:c>
      <x:c r="AN20" s="4" t="str"/>
      <x:c r="AO20" s="64" t="str">
        <x:v>1000001831809942</x:v>
      </x:c>
      <x:c r="AP20" s="4" t="s">
        <x:v>1985</x:v>
      </x:c>
      <x:c r="AQ20" s="4" t="str">
        <x:v>是</x:v>
      </x:c>
      <x:c r="AR20" s="4" t="s">
        <x:v>2428</x:v>
      </x:c>
      <x:c r="AS20" s="4" t="str">
        <x:v>/Users/luodaluo/Desktop/30天复盘原始数据/补充证据_历史委托条件委托截图/05_安卓端取消与过期完整生命周期/01_已取消/Screenshot_20260722_213014.jpg</x:v>
      </x:c>
      <x:c r="AT20" t="str">
        <x:v>撤销</x:v>
      </x:c>
      <x:c r="AU20" t="n">
        <x:v>3792</x:v>
      </x:c>
      <x:c r="AV20" t="str">
        <x:v>STRONG_CONTEXT</x:v>
      </x:c>
      <x:c r="AW20" t="str">
        <x:v>无法确认</x:v>
      </x:c>
      <x:c r="AX20" t="str">
        <x:v>平台字段＋严格时间与仓位关系计算</x:v>
      </x:c>
    </x:row>
    <x:row r="21">
      <x:c r="A21" s="4" t="s">
        <x:v>71</x:v>
      </x:c>
      <x:c r="B21" s="4" t="s">
        <x:v>1918</x:v>
      </x:c>
      <x:c r="C21" s="4" t="s">
        <x:v>2432</x:v>
      </x:c>
      <x:c r="D21" s="4" t="s">
        <x:v>360</x:v>
      </x:c>
      <x:c r="E21" s="65" t="n">
        <x:v>46175.711377314816</x:v>
      </x:c>
      <x:c r="F21" s="4" t="s">
        <x:v>2423</x:v>
      </x:c>
      <x:c r="G21" s="4" t="s">
        <x:v>2424</x:v>
      </x:c>
      <x:c r="H21" s="4" t="s">
        <x:v>1336</x:v>
      </x:c>
      <x:c r="I21" s="4" t="s">
        <x:v>1409</x:v>
      </x:c>
      <x:c r="J21" s="4" t="s">
        <x:v>2431</x:v>
      </x:c>
      <x:c r="K21" s="4" t="s">
        <x:v>1826</x:v>
      </x:c>
      <x:c r="L21" s="4" t="s">
        <x:v>205</x:v>
      </x:c>
      <x:c r="M21" s="4" t="s">
        <x:v>2426</x:v>
      </x:c>
      <x:c r="N21" s="4" t="s">
        <x:v>327</x:v>
      </x:c>
      <x:c r="O21" s="4" t="s">
        <x:v>107</x:v>
      </x:c>
      <x:c r="P21" s="4" t="s">
        <x:v>169</x:v>
      </x:c>
      <x:c r="Q21" s="4" t="s">
        <x:v>2427</x:v>
      </x:c>
      <x:c r="R21" s="4" t="s">
        <x:v>187</x:v>
      </x:c>
      <x:c r="S21" s="65"/>
      <x:c r="T21" s="4" t="str"/>
      <x:c r="U21" s="4" t="s">
        <x:v>172</x:v>
      </x:c>
      <x:c r="V21" s="4" t="s">
        <x:v>169</x:v>
      </x:c>
      <x:c r="W21" s="4" t="s">
        <x:v>169</x:v>
      </x:c>
      <x:c r="X21" s="4" t="s">
        <x:v>107</x:v>
      </x:c>
      <x:c r="Y21" s="4" t="s">
        <x:v>107</x:v>
      </x:c>
      <x:c r="Z21" s="4" t="str">
        <x:v>否</x:v>
      </x:c>
      <x:c r="AA21" s="4" t="s">
        <x:v>172</x:v>
      </x:c>
      <x:c r="AB21" s="4" t="s">
        <x:v>172</x:v>
      </x:c>
      <x:c r="AC21" s="4" t="s">
        <x:v>172</x:v>
      </x:c>
      <x:c r="AD21" s="4" t="str">
        <x:v>终态：撤销</x:v>
      </x:c>
      <x:c r="AE21" s="4" t="str">
        <x:v>疑似连续调整</x:v>
      </x:c>
      <x:c r="AF21" s="4" t="s">
        <x:v>341</x:v>
      </x:c>
      <x:c r="AG21" s="4" t="s">
        <x:v>327</x:v>
      </x:c>
      <x:c r="AH21" s="4" t="s">
        <x:v>2450</x:v>
      </x:c>
      <x:c r="AI21" s="4" t="s">
        <x:v>169</x:v>
      </x:c>
      <x:c r="AJ21" s="4" t="str">
        <x:v>疑似连续调整</x:v>
      </x:c>
      <x:c r="AK21" s="4" t="s">
        <x:v>1830</x:v>
      </x:c>
      <x:c r="AL21" s="4" t="str">
        <x:v>条件委托已取消；算法编号1000001832388659；创建时间2026-06-03 00:54:41；撤销时间2026-06-03 01:04:23；是否触发否；周期关联等级STRONG_CONTEXT；取消/过期原因无法确认（已完成为不适用）。</x:v>
      </x:c>
      <x:c r="AM21" s="4" t="str">
        <x:v>否</x:v>
      </x:c>
      <x:c r="AN21" s="4" t="str"/>
      <x:c r="AO21" s="64" t="str">
        <x:v>1000001832388659</x:v>
      </x:c>
      <x:c r="AP21" s="4" t="s">
        <x:v>2013</x:v>
      </x:c>
      <x:c r="AQ21" s="4" t="str">
        <x:v>是</x:v>
      </x:c>
      <x:c r="AR21" s="4" t="s">
        <x:v>2428</x:v>
      </x:c>
      <x:c r="AS21" s="4" t="str">
        <x:v>/Users/luodaluo/Desktop/30天复盘原始数据/补充证据_历史委托条件委托截图/05_安卓端取消与过期完整生命周期/01_已取消/Screenshot_20260722_213026.jpg</x:v>
      </x:c>
      <x:c r="AT21" t="str">
        <x:v>撤销</x:v>
      </x:c>
      <x:c r="AU21" t="n">
        <x:v>582</x:v>
      </x:c>
      <x:c r="AV21" t="str">
        <x:v>STRONG_CONTEXT</x:v>
      </x:c>
      <x:c r="AW21" t="str">
        <x:v>无法确认</x:v>
      </x:c>
      <x:c r="AX21" t="str">
        <x:v>平台字段＋严格时间与仓位关系计算</x:v>
      </x:c>
    </x:row>
    <x:row r="22">
      <x:c r="A22" s="4" t="s">
        <x:v>71</x:v>
      </x:c>
      <x:c r="B22" s="4" t="s">
        <x:v>1721</x:v>
      </x:c>
      <x:c r="C22" s="4" t="s">
        <x:v>2432</x:v>
      </x:c>
      <x:c r="D22" s="4" t="s">
        <x:v>366</x:v>
      </x:c>
      <x:c r="E22" s="65" t="n">
        <x:v>46175.77240740741</x:v>
      </x:c>
      <x:c r="F22" s="4" t="s">
        <x:v>2423</x:v>
      </x:c>
      <x:c r="G22" s="4" t="s">
        <x:v>2424</x:v>
      </x:c>
      <x:c r="H22" s="4" t="s">
        <x:v>1336</x:v>
      </x:c>
      <x:c r="I22" s="4" t="s">
        <x:v>1409</x:v>
      </x:c>
      <x:c r="J22" s="4" t="s">
        <x:v>2431</x:v>
      </x:c>
      <x:c r="K22" s="4" t="s">
        <x:v>1826</x:v>
      </x:c>
      <x:c r="L22" s="4" t="s">
        <x:v>205</x:v>
      </x:c>
      <x:c r="M22" s="4" t="s">
        <x:v>2426</x:v>
      </x:c>
      <x:c r="N22" s="4" t="s">
        <x:v>367</x:v>
      </x:c>
      <x:c r="O22" s="4" t="s">
        <x:v>107</x:v>
      </x:c>
      <x:c r="P22" s="4" t="s">
        <x:v>169</x:v>
      </x:c>
      <x:c r="Q22" s="4" t="s">
        <x:v>2427</x:v>
      </x:c>
      <x:c r="R22" s="4" t="s">
        <x:v>187</x:v>
      </x:c>
      <x:c r="S22" s="65"/>
      <x:c r="T22" s="4" t="str"/>
      <x:c r="U22" s="4" t="s">
        <x:v>172</x:v>
      </x:c>
      <x:c r="V22" s="4" t="s">
        <x:v>169</x:v>
      </x:c>
      <x:c r="W22" s="4" t="s">
        <x:v>169</x:v>
      </x:c>
      <x:c r="X22" s="4" t="s">
        <x:v>107</x:v>
      </x:c>
      <x:c r="Y22" s="4" t="s">
        <x:v>107</x:v>
      </x:c>
      <x:c r="Z22" s="4" t="str">
        <x:v>否</x:v>
      </x:c>
      <x:c r="AA22" s="4" t="s">
        <x:v>172</x:v>
      </x:c>
      <x:c r="AB22" s="4" t="s">
        <x:v>172</x:v>
      </x:c>
      <x:c r="AC22" s="4" t="s">
        <x:v>172</x:v>
      </x:c>
      <x:c r="AD22" s="4" t="str">
        <x:v>终态：撤销</x:v>
      </x:c>
      <x:c r="AE22" s="4" t="str">
        <x:v>疑似连续调整</x:v>
      </x:c>
      <x:c r="AF22" s="4" t="s">
        <x:v>327</x:v>
      </x:c>
      <x:c r="AG22" s="4" t="s">
        <x:v>367</x:v>
      </x:c>
      <x:c r="AH22" s="4" t="s">
        <x:v>2451</x:v>
      </x:c>
      <x:c r="AI22" s="4" t="s">
        <x:v>169</x:v>
      </x:c>
      <x:c r="AJ22" s="4" t="str">
        <x:v>疑似连续调整</x:v>
      </x:c>
      <x:c r="AK22" s="4" t="s">
        <x:v>1830</x:v>
      </x:c>
      <x:c r="AL22" s="4" t="str">
        <x:v>条件委托已取消；算法编号1000001832468676；创建时间2026-06-03 01:04:23；撤销时间2026-06-03 02:32:16；是否触发否；周期关联等级STRONG_CONTEXT；取消/过期原因无法确认（已完成为不适用）。</x:v>
      </x:c>
      <x:c r="AM22" s="4" t="str">
        <x:v>否</x:v>
      </x:c>
      <x:c r="AN22" s="4" t="str"/>
      <x:c r="AO22" s="64" t="str">
        <x:v>1000001832468676</x:v>
      </x:c>
      <x:c r="AP22" s="4" t="s">
        <x:v>2024</x:v>
      </x:c>
      <x:c r="AQ22" s="4" t="str">
        <x:v>是</x:v>
      </x:c>
      <x:c r="AR22" s="4" t="s">
        <x:v>2428</x:v>
      </x:c>
      <x:c r="AS22" s="4" t="str">
        <x:v>/Users/luodaluo/Desktop/30天复盘原始数据/补充证据_历史委托条件委托截图/05_安卓端取消与过期完整生命周期/01_已取消/Screenshot_20260722_213032.jpg</x:v>
      </x:c>
      <x:c r="AT22" t="str">
        <x:v>撤销</x:v>
      </x:c>
      <x:c r="AU22" t="n">
        <x:v>5273</x:v>
      </x:c>
      <x:c r="AV22" t="str">
        <x:v>STRONG_CONTEXT</x:v>
      </x:c>
      <x:c r="AW22" t="str">
        <x:v>无法确认</x:v>
      </x:c>
      <x:c r="AX22" t="str">
        <x:v>平台字段＋严格时间与仓位关系计算</x:v>
      </x:c>
    </x:row>
    <x:row r="23">
      <x:c r="A23" s="4" t="s">
        <x:v>71</x:v>
      </x:c>
      <x:c r="B23" s="4" t="s">
        <x:v>1720</x:v>
      </x:c>
      <x:c r="C23" s="4" t="s">
        <x:v>2432</x:v>
      </x:c>
      <x:c r="D23" s="4" t="s">
        <x:v>385</x:v>
      </x:c>
      <x:c r="E23" s="65" t="n">
        <x:v>46175.78107638889</x:v>
      </x:c>
      <x:c r="F23" s="4" t="s">
        <x:v>2423</x:v>
      </x:c>
      <x:c r="G23" s="4" t="s">
        <x:v>2424</x:v>
      </x:c>
      <x:c r="H23" s="4" t="s">
        <x:v>1336</x:v>
      </x:c>
      <x:c r="I23" s="4" t="s">
        <x:v>1409</x:v>
      </x:c>
      <x:c r="J23" s="4" t="s">
        <x:v>2431</x:v>
      </x:c>
      <x:c r="K23" s="4" t="s">
        <x:v>1826</x:v>
      </x:c>
      <x:c r="L23" s="4" t="s">
        <x:v>205</x:v>
      </x:c>
      <x:c r="M23" s="4" t="s">
        <x:v>2426</x:v>
      </x:c>
      <x:c r="N23" s="4" t="s">
        <x:v>386</x:v>
      </x:c>
      <x:c r="O23" s="4" t="s">
        <x:v>107</x:v>
      </x:c>
      <x:c r="P23" s="4" t="s">
        <x:v>169</x:v>
      </x:c>
      <x:c r="Q23" s="4" t="s">
        <x:v>2427</x:v>
      </x:c>
      <x:c r="R23" s="4" t="s">
        <x:v>187</x:v>
      </x:c>
      <x:c r="S23" s="65"/>
      <x:c r="T23" s="4" t="str"/>
      <x:c r="U23" s="4" t="s">
        <x:v>172</x:v>
      </x:c>
      <x:c r="V23" s="4" t="s">
        <x:v>169</x:v>
      </x:c>
      <x:c r="W23" s="4" t="s">
        <x:v>169</x:v>
      </x:c>
      <x:c r="X23" s="4" t="s">
        <x:v>107</x:v>
      </x:c>
      <x:c r="Y23" s="4" t="s">
        <x:v>107</x:v>
      </x:c>
      <x:c r="Z23" s="4" t="str">
        <x:v>否</x:v>
      </x:c>
      <x:c r="AA23" s="4" t="s">
        <x:v>172</x:v>
      </x:c>
      <x:c r="AB23" s="4" t="s">
        <x:v>172</x:v>
      </x:c>
      <x:c r="AC23" s="4" t="s">
        <x:v>172</x:v>
      </x:c>
      <x:c r="AD23" s="4" t="str">
        <x:v>终态：撤销</x:v>
      </x:c>
      <x:c r="AE23" s="4" t="str">
        <x:v>疑似连续调整</x:v>
      </x:c>
      <x:c r="AF23" s="4" t="s">
        <x:v>367</x:v>
      </x:c>
      <x:c r="AG23" s="4" t="s">
        <x:v>386</x:v>
      </x:c>
      <x:c r="AH23" s="4" t="s">
        <x:v>2452</x:v>
      </x:c>
      <x:c r="AI23" s="4" t="s">
        <x:v>169</x:v>
      </x:c>
      <x:c r="AJ23" s="4" t="str">
        <x:v>疑似连续调整</x:v>
      </x:c>
      <x:c r="AK23" s="4" t="s">
        <x:v>1830</x:v>
      </x:c>
      <x:c r="AL23" s="4" t="str">
        <x:v>条件委托已取消；算法编号1000001833129681；创建时间2026-06-03 02:32:16；撤销时间2026-06-03 02:44:45；是否触发否；周期关联等级STRONG_CONTEXT；取消/过期原因无法确认（已完成为不适用）。</x:v>
      </x:c>
      <x:c r="AM23" s="4" t="str">
        <x:v>否</x:v>
      </x:c>
      <x:c r="AN23" s="4" t="str"/>
      <x:c r="AO23" s="64" t="str">
        <x:v>1000001833129681</x:v>
      </x:c>
      <x:c r="AP23" s="4" t="s">
        <x:v>2049</x:v>
      </x:c>
      <x:c r="AQ23" s="4" t="str">
        <x:v>是</x:v>
      </x:c>
      <x:c r="AR23" s="4" t="s">
        <x:v>2428</x:v>
      </x:c>
      <x:c r="AS23" s="4" t="str">
        <x:v>/Users/luodaluo/Desktop/30天复盘原始数据/补充证据_历史委托条件委托截图/05_安卓端取消与过期完整生命周期/01_已取消/Screenshot_20260722_213036.jpg</x:v>
      </x:c>
      <x:c r="AT23" t="str">
        <x:v>撤销</x:v>
      </x:c>
      <x:c r="AU23" t="n">
        <x:v>749</x:v>
      </x:c>
      <x:c r="AV23" t="str">
        <x:v>STRONG_CONTEXT</x:v>
      </x:c>
      <x:c r="AW23" t="str">
        <x:v>无法确认</x:v>
      </x:c>
      <x:c r="AX23" t="str">
        <x:v>平台字段＋严格时间与仓位关系计算</x:v>
      </x:c>
    </x:row>
    <x:row r="24">
      <x:c r="A24" s="4" t="s">
        <x:v>71</x:v>
      </x:c>
      <x:c r="B24" s="4" t="s">
        <x:v>1927</x:v>
      </x:c>
      <x:c r="C24" s="4" t="s">
        <x:v>2432</x:v>
      </x:c>
      <x:c r="D24" s="4" t="s">
        <x:v>393</x:v>
      </x:c>
      <x:c r="E24" s="65" t="n">
        <x:v>46175.81175925926</x:v>
      </x:c>
      <x:c r="F24" s="4" t="s">
        <x:v>2423</x:v>
      </x:c>
      <x:c r="G24" s="4" t="s">
        <x:v>2424</x:v>
      </x:c>
      <x:c r="H24" s="4" t="s">
        <x:v>1336</x:v>
      </x:c>
      <x:c r="I24" s="4" t="s">
        <x:v>1409</x:v>
      </x:c>
      <x:c r="J24" s="4" t="s">
        <x:v>2431</x:v>
      </x:c>
      <x:c r="K24" s="4" t="s">
        <x:v>1826</x:v>
      </x:c>
      <x:c r="L24" s="4" t="s">
        <x:v>205</x:v>
      </x:c>
      <x:c r="M24" s="4" t="s">
        <x:v>2426</x:v>
      </x:c>
      <x:c r="N24" s="4" t="s">
        <x:v>394</x:v>
      </x:c>
      <x:c r="O24" s="4" t="s">
        <x:v>107</x:v>
      </x:c>
      <x:c r="P24" s="4" t="s">
        <x:v>169</x:v>
      </x:c>
      <x:c r="Q24" s="4" t="s">
        <x:v>2427</x:v>
      </x:c>
      <x:c r="R24" s="4" t="s">
        <x:v>187</x:v>
      </x:c>
      <x:c r="S24" s="65"/>
      <x:c r="T24" s="4" t="str"/>
      <x:c r="U24" s="4" t="s">
        <x:v>172</x:v>
      </x:c>
      <x:c r="V24" s="4" t="s">
        <x:v>169</x:v>
      </x:c>
      <x:c r="W24" s="4" t="s">
        <x:v>169</x:v>
      </x:c>
      <x:c r="X24" s="4" t="s">
        <x:v>107</x:v>
      </x:c>
      <x:c r="Y24" s="4" t="s">
        <x:v>107</x:v>
      </x:c>
      <x:c r="Z24" s="4" t="str">
        <x:v>否</x:v>
      </x:c>
      <x:c r="AA24" s="4" t="s">
        <x:v>172</x:v>
      </x:c>
      <x:c r="AB24" s="4" t="s">
        <x:v>172</x:v>
      </x:c>
      <x:c r="AC24" s="4" t="s">
        <x:v>172</x:v>
      </x:c>
      <x:c r="AD24" s="4" t="str">
        <x:v>终态：撤销</x:v>
      </x:c>
      <x:c r="AE24" s="4" t="str">
        <x:v>疑似连续调整</x:v>
      </x:c>
      <x:c r="AF24" s="4" t="s">
        <x:v>386</x:v>
      </x:c>
      <x:c r="AG24" s="4" t="s">
        <x:v>394</x:v>
      </x:c>
      <x:c r="AH24" s="4" t="s">
        <x:v>2453</x:v>
      </x:c>
      <x:c r="AI24" s="4" t="s">
        <x:v>169</x:v>
      </x:c>
      <x:c r="AJ24" s="4" t="str">
        <x:v>疑似连续调整</x:v>
      </x:c>
      <x:c r="AK24" s="4" t="s">
        <x:v>1830</x:v>
      </x:c>
      <x:c r="AL24" s="4" t="str">
        <x:v>条件委托已取消；算法编号1000001833213621；创建时间2026-06-03 02:44:45；撤销时间2026-06-03 03:28:56；是否触发否；周期关联等级STRONG_CONTEXT；取消/过期原因无法确认（已完成为不适用）。</x:v>
      </x:c>
      <x:c r="AM24" s="4" t="str">
        <x:v>否</x:v>
      </x:c>
      <x:c r="AN24" s="4" t="str"/>
      <x:c r="AO24" s="64" t="str">
        <x:v>1000001833213621</x:v>
      </x:c>
      <x:c r="AP24" s="4" t="s">
        <x:v>2059</x:v>
      </x:c>
      <x:c r="AQ24" s="4" t="str">
        <x:v>是</x:v>
      </x:c>
      <x:c r="AR24" s="4" t="s">
        <x:v>2428</x:v>
      </x:c>
      <x:c r="AS24" s="4" t="str">
        <x:v>/Users/luodaluo/Desktop/30天复盘原始数据/补充证据_历史委托条件委托截图/05_安卓端取消与过期完整生命周期/01_已取消/Screenshot_20260722_213043.jpg</x:v>
      </x:c>
      <x:c r="AT24" t="str">
        <x:v>撤销</x:v>
      </x:c>
      <x:c r="AU24" t="n">
        <x:v>2651</x:v>
      </x:c>
      <x:c r="AV24" t="str">
        <x:v>STRONG_CONTEXT</x:v>
      </x:c>
      <x:c r="AW24" t="str">
        <x:v>无法确认</x:v>
      </x:c>
      <x:c r="AX24" t="str">
        <x:v>平台字段＋严格时间与仓位关系计算</x:v>
      </x:c>
    </x:row>
    <x:row r="25">
      <x:c r="A25" s="4" t="s">
        <x:v>71</x:v>
      </x:c>
      <x:c r="B25" s="4" t="s">
        <x:v>1855</x:v>
      </x:c>
      <x:c r="C25" s="4" t="s">
        <x:v>2432</x:v>
      </x:c>
      <x:c r="D25" s="4" t="s">
        <x:v>395</x:v>
      </x:c>
      <x:c r="E25" s="65" t="n">
        <x:v>46175.81490740741</x:v>
      </x:c>
      <x:c r="F25" s="4" t="s">
        <x:v>2423</x:v>
      </x:c>
      <x:c r="G25" s="4" t="s">
        <x:v>2424</x:v>
      </x:c>
      <x:c r="H25" s="4" t="s">
        <x:v>1336</x:v>
      </x:c>
      <x:c r="I25" s="4" t="s">
        <x:v>1409</x:v>
      </x:c>
      <x:c r="J25" s="4" t="s">
        <x:v>2431</x:v>
      </x:c>
      <x:c r="K25" s="4" t="s">
        <x:v>1826</x:v>
      </x:c>
      <x:c r="L25" s="4" t="s">
        <x:v>205</x:v>
      </x:c>
      <x:c r="M25" s="4" t="s">
        <x:v>2426</x:v>
      </x:c>
      <x:c r="N25" s="4" t="s">
        <x:v>396</x:v>
      </x:c>
      <x:c r="O25" s="4" t="s">
        <x:v>107</x:v>
      </x:c>
      <x:c r="P25" s="4" t="s">
        <x:v>383</x:v>
      </x:c>
      <x:c r="Q25" s="4" t="s">
        <x:v>2454</x:v>
      </x:c>
      <x:c r="R25" s="4" t="s">
        <x:v>2455</x:v>
      </x:c>
      <x:c r="S25" s="65" t="n">
        <x:v>46175.81490740741</x:v>
      </x:c>
      <x:c r="T25" s="4" t="str">
        <x:v>1028236678944</x:v>
      </x:c>
      <x:c r="U25" s="4" t="s">
        <x:v>171</x:v>
      </x:c>
      <x:c r="V25" s="4" t="s">
        <x:v>2065</x:v>
      </x:c>
      <x:c r="W25" s="4" t="s">
        <x:v>383</x:v>
      </x:c>
      <x:c r="X25" s="4" t="s">
        <x:v>383</x:v>
      </x:c>
      <x:c r="Y25" s="4" t="s">
        <x:v>169</x:v>
      </x:c>
      <x:c r="Z25" s="4" t="str">
        <x:v>是</x:v>
      </x:c>
      <x:c r="AA25" s="4" t="s">
        <x:v>171</x:v>
      </x:c>
      <x:c r="AB25" s="4" t="s">
        <x:v>171</x:v>
      </x:c>
      <x:c r="AC25" s="4" t="s">
        <x:v>171</x:v>
      </x:c>
      <x:c r="AD25" s="4" t="str">
        <x:v>终态：触发</x:v>
      </x:c>
      <x:c r="AE25" s="4" t="str">
        <x:v>可能无关</x:v>
      </x:c>
      <x:c r="AF25" s="4" t="s">
        <x:v>394</x:v>
      </x:c>
      <x:c r="AG25" s="4" t="s">
        <x:v>396</x:v>
      </x:c>
      <x:c r="AH25" s="4" t="s">
        <x:v>2456</x:v>
      </x:c>
      <x:c r="AI25" s="4" t="s">
        <x:v>383</x:v>
      </x:c>
      <x:c r="AJ25" s="4" t="str">
        <x:v>可能无关</x:v>
      </x:c>
      <x:c r="AK25" s="4" t="s">
        <x:v>1820</x:v>
      </x:c>
      <x:c r="AL25" s="4" t="str">
        <x:v>条件委托已完成；算法编号1000001833525080；创建时间2026-06-03 03:28:56；触发时间2026-06-03 03:33:28；是否触发是；周期关联等级DIRECT_ORDER；取消/过期原因无法确认（已完成为不适用）。</x:v>
      </x:c>
      <x:c r="AM25" s="4" t="str">
        <x:v>否</x:v>
      </x:c>
      <x:c r="AN25" s="4" t="str"/>
      <x:c r="AO25" s="64" t="str">
        <x:v>1000001833525080</x:v>
      </x:c>
      <x:c r="AP25" s="4" t="s">
        <x:v>2061</x:v>
      </x:c>
      <x:c r="AQ25" s="4" t="str">
        <x:v>是</x:v>
      </x:c>
      <x:c r="AR25" s="4" t="s">
        <x:v>2428</x:v>
      </x:c>
      <x:c r="AS25" s="4" t="str">
        <x:v>补充证据_历史委托条件委托截图/01_全部条件委托列表/截屏2026-07-19 06.05.43.png#行3</x:v>
      </x:c>
      <x:c r="AT25" t="str">
        <x:v>触发</x:v>
      </x:c>
      <x:c r="AU25" t="n">
        <x:v>272</x:v>
      </x:c>
      <x:c r="AV25" t="str">
        <x:v>DIRECT_ORDER</x:v>
      </x:c>
      <x:c r="AW25" t="str">
        <x:v>不适用</x:v>
      </x:c>
      <x:c r="AX25" t="str">
        <x:v>平台字段＋基础订单直接关联</x:v>
      </x:c>
    </x:row>
    <x:row r="26">
      <x:c r="A26" s="4" t="s">
        <x:v>73</x:v>
      </x:c>
      <x:c r="B26" s="4" t="s">
        <x:v>200</x:v>
      </x:c>
      <x:c r="C26" s="4" t="s">
        <x:v>2457</x:v>
      </x:c>
      <x:c r="D26" s="4" t="s">
        <x:v>475</x:v>
      </x:c>
      <x:c r="E26" s="65" t="n">
        <x:v>46178.62180555556</x:v>
      </x:c>
      <x:c r="F26" s="4" t="s">
        <x:v>2423</x:v>
      </x:c>
      <x:c r="G26" s="4" t="s">
        <x:v>2424</x:v>
      </x:c>
      <x:c r="H26" s="4" t="s">
        <x:v>1336</x:v>
      </x:c>
      <x:c r="I26" s="4" t="s">
        <x:v>1409</x:v>
      </x:c>
      <x:c r="J26" s="4" t="s">
        <x:v>2431</x:v>
      </x:c>
      <x:c r="K26" s="4" t="s">
        <x:v>1826</x:v>
      </x:c>
      <x:c r="L26" s="4" t="s">
        <x:v>205</x:v>
      </x:c>
      <x:c r="M26" s="4" t="s">
        <x:v>2426</x:v>
      </x:c>
      <x:c r="N26" s="4" t="s">
        <x:v>476</x:v>
      </x:c>
      <x:c r="O26" s="4" t="s">
        <x:v>107</x:v>
      </x:c>
      <x:c r="P26" s="4" t="s">
        <x:v>463</x:v>
      </x:c>
      <x:c r="Q26" s="4" t="s">
        <x:v>2458</x:v>
      </x:c>
      <x:c r="R26" s="4" t="s">
        <x:v>2455</x:v>
      </x:c>
      <x:c r="S26" s="65" t="n">
        <x:v>46178.62180555556</x:v>
      </x:c>
      <x:c r="T26" s="4" t="str">
        <x:v>1032003900695</x:v>
      </x:c>
      <x:c r="U26" s="4" t="s">
        <x:v>171</x:v>
      </x:c>
      <x:c r="V26" s="4" t="s">
        <x:v>200</x:v>
      </x:c>
      <x:c r="W26" s="4" t="s">
        <x:v>463</x:v>
      </x:c>
      <x:c r="X26" s="4" t="s">
        <x:v>463</x:v>
      </x:c>
      <x:c r="Y26" s="4" t="s">
        <x:v>169</x:v>
      </x:c>
      <x:c r="Z26" s="4" t="str">
        <x:v>是</x:v>
      </x:c>
      <x:c r="AA26" s="4" t="s">
        <x:v>171</x:v>
      </x:c>
      <x:c r="AB26" s="4" t="s">
        <x:v>171</x:v>
      </x:c>
      <x:c r="AC26" s="4" t="s">
        <x:v>171</x:v>
      </x:c>
      <x:c r="AD26" s="4" t="str">
        <x:v>终态：触发</x:v>
      </x:c>
      <x:c r="AE26" s="4" t="str">
        <x:v>相邻记录</x:v>
      </x:c>
      <x:c r="AF26" s="4" t="s">
        <x:v>107</x:v>
      </x:c>
      <x:c r="AG26" s="4" t="s">
        <x:v>476</x:v>
      </x:c>
      <x:c r="AH26" s="4" t="s">
        <x:v>107</x:v>
      </x:c>
      <x:c r="AI26" s="4" t="s">
        <x:v>107</x:v>
      </x:c>
      <x:c r="AJ26" s="4" t="str">
        <x:v>相邻记录</x:v>
      </x:c>
      <x:c r="AK26" s="4" t="s">
        <x:v>1820</x:v>
      </x:c>
      <x:c r="AL26" s="4" t="str">
        <x:v>条件委托已完成；算法编号1000001869832474；创建时间2026-06-05 22:50:05；触发时间2026-06-05 22:55:24；是否触发是；周期关联等级DIRECT_ORDER；取消/过期原因无法确认（已完成为不适用）。</x:v>
      </x:c>
      <x:c r="AM26" s="4" t="str">
        <x:v>否</x:v>
      </x:c>
      <x:c r="AN26" s="4" t="str"/>
      <x:c r="AO26" s="64" t="str">
        <x:v>1000001869832474</x:v>
      </x:c>
      <x:c r="AP26" s="4" t="s">
        <x:v>2092</x:v>
      </x:c>
      <x:c r="AQ26" s="4" t="str">
        <x:v>是</x:v>
      </x:c>
      <x:c r="AR26" s="4" t="s">
        <x:v>2428</x:v>
      </x:c>
      <x:c r="AS26" s="4" t="str">
        <x:v>补充证据_历史委托条件委托截图/01_全部条件委托列表/截屏2026-07-19 06.04.12.png#行5</x:v>
      </x:c>
      <x:c r="AT26" t="str">
        <x:v>触发</x:v>
      </x:c>
      <x:c r="AU26" t="n">
        <x:v>319</x:v>
      </x:c>
      <x:c r="AV26" t="str">
        <x:v>DIRECT_ORDER</x:v>
      </x:c>
      <x:c r="AW26" t="str">
        <x:v>不适用</x:v>
      </x:c>
      <x:c r="AX26" t="str">
        <x:v>平台字段＋基础订单直接关联</x:v>
      </x:c>
    </x:row>
    <x:row r="27">
      <x:c r="A27" s="4" t="s">
        <x:v>75</x:v>
      </x:c>
      <x:c r="B27" s="4" t="s">
        <x:v>200</x:v>
      </x:c>
      <x:c r="C27" s="4" t="s">
        <x:v>2459</x:v>
      </x:c>
      <x:c r="D27" s="4" t="s">
        <x:v>561</x:v>
      </x:c>
      <x:c r="E27" s="65" t="n">
        <x:v>46191.57892361111</x:v>
      </x:c>
      <x:c r="F27" s="4" t="s">
        <x:v>2423</x:v>
      </x:c>
      <x:c r="G27" s="4" t="s">
        <x:v>2424</x:v>
      </x:c>
      <x:c r="H27" s="4" t="s">
        <x:v>1561</x:v>
      </x:c>
      <x:c r="I27" s="4" t="s">
        <x:v>1337</x:v>
      </x:c>
      <x:c r="J27" s="4" t="s">
        <x:v>2425</x:v>
      </x:c>
      <x:c r="K27" s="4" t="s">
        <x:v>203</x:v>
      </x:c>
      <x:c r="L27" s="4" t="s">
        <x:v>203</x:v>
      </x:c>
      <x:c r="M27" s="4" t="s">
        <x:v>172</x:v>
      </x:c>
      <x:c r="N27" s="4" t="s">
        <x:v>565</x:v>
      </x:c>
      <x:c r="O27" s="4" t="s">
        <x:v>107</x:v>
      </x:c>
      <x:c r="P27" s="4" t="s">
        <x:v>563</x:v>
      </x:c>
      <x:c r="Q27" s="4" t="s">
        <x:v>2460</x:v>
      </x:c>
      <x:c r="R27" s="4" t="s">
        <x:v>187</x:v>
      </x:c>
      <x:c r="S27" s="65"/>
      <x:c r="T27" s="4" t="str"/>
      <x:c r="U27" s="4" t="s">
        <x:v>172</x:v>
      </x:c>
      <x:c r="V27" s="4" t="s">
        <x:v>169</x:v>
      </x:c>
      <x:c r="W27" s="4" t="s">
        <x:v>169</x:v>
      </x:c>
      <x:c r="X27" s="4" t="s">
        <x:v>107</x:v>
      </x:c>
      <x:c r="Y27" s="4" t="s">
        <x:v>107</x:v>
      </x:c>
      <x:c r="Z27" s="4" t="str">
        <x:v>否</x:v>
      </x:c>
      <x:c r="AA27" s="4" t="s">
        <x:v>172</x:v>
      </x:c>
      <x:c r="AB27" s="4" t="s">
        <x:v>172</x:v>
      </x:c>
      <x:c r="AC27" s="4" t="s">
        <x:v>172</x:v>
      </x:c>
      <x:c r="AD27" s="4" t="str">
        <x:v>终态：撤销</x:v>
      </x:c>
      <x:c r="AE27" s="4" t="str">
        <x:v>相邻记录</x:v>
      </x:c>
      <x:c r="AF27" s="4" t="s">
        <x:v>107</x:v>
      </x:c>
      <x:c r="AG27" s="4" t="s">
        <x:v>565</x:v>
      </x:c>
      <x:c r="AH27" s="4" t="s">
        <x:v>107</x:v>
      </x:c>
      <x:c r="AI27" s="4" t="s">
        <x:v>107</x:v>
      </x:c>
      <x:c r="AJ27" s="4" t="str">
        <x:v>相邻记录</x:v>
      </x:c>
      <x:c r="AK27" s="4" t="s">
        <x:v>1848</x:v>
      </x:c>
      <x:c r="AL27" s="4" t="str">
        <x:v>条件委托已取消；算法编号1000002004099293；创建时间2026-06-18 21:38:59；撤销时间2026-06-18 21:53:39；是否触发否；周期关联等级STRONG_CONTEXT；取消/过期原因无法确认（已完成为不适用）。</x:v>
      </x:c>
      <x:c r="AM27" s="4" t="str">
        <x:v>否</x:v>
      </x:c>
      <x:c r="AN27" s="4" t="str"/>
      <x:c r="AO27" s="64" t="str">
        <x:v>1000002004099293</x:v>
      </x:c>
      <x:c r="AP27" s="4" t="s">
        <x:v>2107</x:v>
      </x:c>
      <x:c r="AQ27" s="4" t="str">
        <x:v>是</x:v>
      </x:c>
      <x:c r="AR27" s="4" t="s">
        <x:v>2428</x:v>
      </x:c>
      <x:c r="AS27" s="4" t="str">
        <x:v>/Users/luodaluo/Desktop/30天复盘原始数据/补充证据_历史委托条件委托截图/05_安卓端取消与过期完整生命周期/01_已取消/Screenshot_20260722_222355.jpg</x:v>
      </x:c>
      <x:c r="AT27" t="str">
        <x:v>撤销</x:v>
      </x:c>
      <x:c r="AU27" t="n">
        <x:v>880</x:v>
      </x:c>
      <x:c r="AV27" t="str">
        <x:v>STRONG_CONTEXT</x:v>
      </x:c>
      <x:c r="AW27" t="str">
        <x:v>无法确认</x:v>
      </x:c>
      <x:c r="AX27" t="str">
        <x:v>平台字段＋严格时间与仓位关系计算</x:v>
      </x:c>
    </x:row>
    <x:row r="28">
      <x:c r="A28" s="4" t="s">
        <x:v>75</x:v>
      </x:c>
      <x:c r="B28" s="4" t="s">
        <x:v>1353</x:v>
      </x:c>
      <x:c r="C28" s="4" t="s">
        <x:v>2461</x:v>
      </x:c>
      <x:c r="D28" s="4" t="s">
        <x:v>573</x:v>
      </x:c>
      <x:c r="E28" s="65" t="n">
        <x:v>46191.74497685185</x:v>
      </x:c>
      <x:c r="F28" s="4" t="s">
        <x:v>2423</x:v>
      </x:c>
      <x:c r="G28" s="4" t="s">
        <x:v>2424</x:v>
      </x:c>
      <x:c r="H28" s="4" t="s">
        <x:v>1561</x:v>
      </x:c>
      <x:c r="I28" s="4" t="s">
        <x:v>1337</x:v>
      </x:c>
      <x:c r="J28" s="4" t="s">
        <x:v>2425</x:v>
      </x:c>
      <x:c r="K28" s="4" t="s">
        <x:v>1826</x:v>
      </x:c>
      <x:c r="L28" s="4" t="s">
        <x:v>205</x:v>
      </x:c>
      <x:c r="M28" s="4" t="s">
        <x:v>2426</x:v>
      </x:c>
      <x:c r="N28" s="4" t="s">
        <x:v>574</x:v>
      </x:c>
      <x:c r="O28" s="4" t="s">
        <x:v>107</x:v>
      </x:c>
      <x:c r="P28" s="4" t="s">
        <x:v>169</x:v>
      </x:c>
      <x:c r="Q28" s="4" t="s">
        <x:v>2462</x:v>
      </x:c>
      <x:c r="R28" s="4" t="s">
        <x:v>187</x:v>
      </x:c>
      <x:c r="S28" s="65"/>
      <x:c r="T28" s="4" t="str"/>
      <x:c r="U28" s="4" t="s">
        <x:v>172</x:v>
      </x:c>
      <x:c r="V28" s="4" t="s">
        <x:v>169</x:v>
      </x:c>
      <x:c r="W28" s="4" t="s">
        <x:v>169</x:v>
      </x:c>
      <x:c r="X28" s="4" t="s">
        <x:v>107</x:v>
      </x:c>
      <x:c r="Y28" s="4" t="s">
        <x:v>107</x:v>
      </x:c>
      <x:c r="Z28" s="4" t="str">
        <x:v>否</x:v>
      </x:c>
      <x:c r="AA28" s="4" t="s">
        <x:v>172</x:v>
      </x:c>
      <x:c r="AB28" s="4" t="s">
        <x:v>172</x:v>
      </x:c>
      <x:c r="AC28" s="4" t="s">
        <x:v>172</x:v>
      </x:c>
      <x:c r="AD28" s="4" t="str">
        <x:v>终态：撤销</x:v>
      </x:c>
      <x:c r="AE28" s="4" t="str">
        <x:v>疑似连续调整</x:v>
      </x:c>
      <x:c r="AF28" s="4" t="s">
        <x:v>107</x:v>
      </x:c>
      <x:c r="AG28" s="4" t="s">
        <x:v>574</x:v>
      </x:c>
      <x:c r="AH28" s="4" t="s">
        <x:v>107</x:v>
      </x:c>
      <x:c r="AI28" s="4" t="s">
        <x:v>107</x:v>
      </x:c>
      <x:c r="AJ28" s="4" t="str">
        <x:v>疑似连续调整</x:v>
      </x:c>
      <x:c r="AK28" s="4" t="s">
        <x:v>1830</x:v>
      </x:c>
      <x:c r="AL28" s="4" t="str">
        <x:v>条件委托已取消；算法编号1000002004308210；创建时间2026-06-18 22:01:24；撤销时间2026-06-19 01:52:46；是否触发否；周期关联等级STRONG_CONTEXT；取消/过期原因无法确认（已完成为不适用）。</x:v>
      </x:c>
      <x:c r="AM28" s="4" t="str">
        <x:v>否</x:v>
      </x:c>
      <x:c r="AN28" s="4" t="str"/>
      <x:c r="AO28" s="64" t="str">
        <x:v>1000002004308210</x:v>
      </x:c>
      <x:c r="AP28" s="4" t="s">
        <x:v>2116</x:v>
      </x:c>
      <x:c r="AQ28" s="4" t="str">
        <x:v>是</x:v>
      </x:c>
      <x:c r="AR28" s="4" t="s">
        <x:v>2428</x:v>
      </x:c>
      <x:c r="AS28" s="4" t="str">
        <x:v>/Users/luodaluo/Desktop/30天复盘原始数据/补充证据_历史委托条件委托截图/05_安卓端取消与过期完整生命周期/01_已取消/Screenshot_20260722_222419.jpg</x:v>
      </x:c>
      <x:c r="AT28" t="str">
        <x:v>撤销</x:v>
      </x:c>
      <x:c r="AU28" t="n">
        <x:v>13882</x:v>
      </x:c>
      <x:c r="AV28" t="str">
        <x:v>STRONG_CONTEXT</x:v>
      </x:c>
      <x:c r="AW28" t="str">
        <x:v>无法确认</x:v>
      </x:c>
      <x:c r="AX28" t="str">
        <x:v>平台字段＋严格时间与仓位关系计算</x:v>
      </x:c>
    </x:row>
    <x:row r="29">
      <x:c r="A29" s="4" t="s">
        <x:v>75</x:v>
      </x:c>
      <x:c r="B29" s="4" t="s">
        <x:v>1466</x:v>
      </x:c>
      <x:c r="C29" s="4" t="s">
        <x:v>2459</x:v>
      </x:c>
      <x:c r="D29" s="4" t="s">
        <x:v>591</x:v>
      </x:c>
      <x:c r="E29" s="65" t="n">
        <x:v>46191.68375</x:v>
      </x:c>
      <x:c r="F29" s="4" t="s">
        <x:v>2423</x:v>
      </x:c>
      <x:c r="G29" s="4" t="s">
        <x:v>2424</x:v>
      </x:c>
      <x:c r="H29" s="4" t="s">
        <x:v>1561</x:v>
      </x:c>
      <x:c r="I29" s="4" t="s">
        <x:v>1337</x:v>
      </x:c>
      <x:c r="J29" s="4" t="s">
        <x:v>2425</x:v>
      </x:c>
      <x:c r="K29" s="4" t="s">
        <x:v>203</x:v>
      </x:c>
      <x:c r="L29" s="4" t="s">
        <x:v>203</x:v>
      </x:c>
      <x:c r="M29" s="4" t="s">
        <x:v>172</x:v>
      </x:c>
      <x:c r="N29" s="4" t="s">
        <x:v>592</x:v>
      </x:c>
      <x:c r="O29" s="4" t="s">
        <x:v>107</x:v>
      </x:c>
      <x:c r="P29" s="4" t="s">
        <x:v>169</x:v>
      </x:c>
      <x:c r="Q29" s="4" t="s">
        <x:v>2462</x:v>
      </x:c>
      <x:c r="R29" s="4" t="s">
        <x:v>187</x:v>
      </x:c>
      <x:c r="S29" s="65"/>
      <x:c r="T29" s="4" t="str"/>
      <x:c r="U29" s="4" t="s">
        <x:v>172</x:v>
      </x:c>
      <x:c r="V29" s="4" t="s">
        <x:v>169</x:v>
      </x:c>
      <x:c r="W29" s="4" t="s">
        <x:v>169</x:v>
      </x:c>
      <x:c r="X29" s="4" t="s">
        <x:v>107</x:v>
      </x:c>
      <x:c r="Y29" s="4" t="s">
        <x:v>107</x:v>
      </x:c>
      <x:c r="Z29" s="4" t="str">
        <x:v>否</x:v>
      </x:c>
      <x:c r="AA29" s="4" t="s">
        <x:v>172</x:v>
      </x:c>
      <x:c r="AB29" s="4" t="s">
        <x:v>172</x:v>
      </x:c>
      <x:c r="AC29" s="4" t="s">
        <x:v>172</x:v>
      </x:c>
      <x:c r="AD29" s="4" t="str">
        <x:v>终态：撤销</x:v>
      </x:c>
      <x:c r="AE29" s="4" t="str">
        <x:v>相邻记录</x:v>
      </x:c>
      <x:c r="AF29" s="4" t="s">
        <x:v>565</x:v>
      </x:c>
      <x:c r="AG29" s="4" t="s">
        <x:v>592</x:v>
      </x:c>
      <x:c r="AH29" s="4" t="s">
        <x:v>2463</x:v>
      </x:c>
      <x:c r="AI29" s="4" t="s">
        <x:v>2464</x:v>
      </x:c>
      <x:c r="AJ29" s="4" t="str">
        <x:v>相邻记录</x:v>
      </x:c>
      <x:c r="AK29" s="4" t="s">
        <x:v>1830</x:v>
      </x:c>
      <x:c r="AL29" s="4" t="str">
        <x:v>条件委托已取消；算法编号1000002004958122；创建时间2026-06-18 23:15:30；撤销时间2026-06-19 00:24:36；是否触发否；周期关联等级STRONG_CONTEXT；取消/过期原因无法确认（已完成为不适用）。</x:v>
      </x:c>
      <x:c r="AM29" s="4" t="str">
        <x:v>否</x:v>
      </x:c>
      <x:c r="AN29" s="4" t="str"/>
      <x:c r="AO29" s="64" t="str">
        <x:v>1000002004958122</x:v>
      </x:c>
      <x:c r="AP29" s="4" t="s">
        <x:v>2137</x:v>
      </x:c>
      <x:c r="AQ29" s="4" t="str">
        <x:v>是</x:v>
      </x:c>
      <x:c r="AR29" s="4" t="s">
        <x:v>2428</x:v>
      </x:c>
      <x:c r="AS29" s="4" t="str">
        <x:v>/Users/luodaluo/Desktop/30天复盘原始数据/补充证据_历史委托条件委托截图/05_安卓端取消与过期完整生命周期/01_已取消/Screenshot_20260722_222424.jpg</x:v>
      </x:c>
      <x:c r="AT29" t="str">
        <x:v>撤销</x:v>
      </x:c>
      <x:c r="AU29" t="n">
        <x:v>4146</x:v>
      </x:c>
      <x:c r="AV29" t="str">
        <x:v>STRONG_CONTEXT</x:v>
      </x:c>
      <x:c r="AW29" t="str">
        <x:v>无法确认</x:v>
      </x:c>
      <x:c r="AX29" t="str">
        <x:v>平台字段＋严格时间与仓位关系计算</x:v>
      </x:c>
    </x:row>
    <x:row r="30">
      <x:c r="A30" s="4" t="s">
        <x:v>75</x:v>
      </x:c>
      <x:c r="B30" s="4" t="s">
        <x:v>218</x:v>
      </x:c>
      <x:c r="C30" s="4" t="s">
        <x:v>2459</x:v>
      </x:c>
      <x:c r="D30" s="4" t="s">
        <x:v>599</x:v>
      </x:c>
      <x:c r="E30" s="65" t="n">
        <x:v>46191.759097222224</x:v>
      </x:c>
      <x:c r="F30" s="4" t="s">
        <x:v>2423</x:v>
      </x:c>
      <x:c r="G30" s="4" t="s">
        <x:v>2424</x:v>
      </x:c>
      <x:c r="H30" s="4" t="s">
        <x:v>1561</x:v>
      </x:c>
      <x:c r="I30" s="4" t="s">
        <x:v>1337</x:v>
      </x:c>
      <x:c r="J30" s="4" t="s">
        <x:v>2425</x:v>
      </x:c>
      <x:c r="K30" s="4" t="s">
        <x:v>203</x:v>
      </x:c>
      <x:c r="L30" s="4" t="s">
        <x:v>203</x:v>
      </x:c>
      <x:c r="M30" s="4" t="s">
        <x:v>172</x:v>
      </x:c>
      <x:c r="N30" s="4" t="s">
        <x:v>598</x:v>
      </x:c>
      <x:c r="O30" s="4" t="s">
        <x:v>107</x:v>
      </x:c>
      <x:c r="P30" s="4" t="s">
        <x:v>169</x:v>
      </x:c>
      <x:c r="Q30" s="4" t="s">
        <x:v>2462</x:v>
      </x:c>
      <x:c r="R30" s="4" t="s">
        <x:v>236</x:v>
      </x:c>
      <x:c r="S30" s="65"/>
      <x:c r="T30" s="4" t="str"/>
      <x:c r="U30" s="4" t="s">
        <x:v>172</x:v>
      </x:c>
      <x:c r="V30" s="4" t="s">
        <x:v>169</x:v>
      </x:c>
      <x:c r="W30" s="4" t="s">
        <x:v>169</x:v>
      </x:c>
      <x:c r="X30" s="4" t="s">
        <x:v>107</x:v>
      </x:c>
      <x:c r="Y30" s="4" t="s">
        <x:v>107</x:v>
      </x:c>
      <x:c r="Z30" s="4" t="str">
        <x:v>否</x:v>
      </x:c>
      <x:c r="AA30" s="4" t="s">
        <x:v>172</x:v>
      </x:c>
      <x:c r="AB30" s="4" t="s">
        <x:v>172</x:v>
      </x:c>
      <x:c r="AC30" s="4" t="s">
        <x:v>172</x:v>
      </x:c>
      <x:c r="AD30" s="4" t="str">
        <x:v>终态：过期</x:v>
      </x:c>
      <x:c r="AE30" s="4" t="str">
        <x:v>疑似连续调整</x:v>
      </x:c>
      <x:c r="AF30" s="4" t="s">
        <x:v>592</x:v>
      </x:c>
      <x:c r="AG30" s="4" t="s">
        <x:v>598</x:v>
      </x:c>
      <x:c r="AH30" s="4" t="s">
        <x:v>2465</x:v>
      </x:c>
      <x:c r="AI30" s="4" t="s">
        <x:v>169</x:v>
      </x:c>
      <x:c r="AJ30" s="4" t="str">
        <x:v>疑似连续调整</x:v>
      </x:c>
      <x:c r="AK30" s="4" t="s">
        <x:v>1830</x:v>
      </x:c>
      <x:c r="AL30" s="4" t="str">
        <x:v>条件委托已过期；算法编号1000002005798922；创建时间2026-06-19 00:29:36；过期时间2026-06-19 02:13:06；是否触发否；周期关联等级STRONG_CONTEXT；取消/过期原因无法确认（已完成为不适用）。</x:v>
      </x:c>
      <x:c r="AM30" s="4" t="str">
        <x:v>否</x:v>
      </x:c>
      <x:c r="AN30" s="4" t="str"/>
      <x:c r="AO30" s="64" t="str">
        <x:v>1000002005798922</x:v>
      </x:c>
      <x:c r="AP30" s="4" t="s">
        <x:v>2147</x:v>
      </x:c>
      <x:c r="AQ30" s="4" t="str">
        <x:v>是</x:v>
      </x:c>
      <x:c r="AR30" s="4" t="s">
        <x:v>2428</x:v>
      </x:c>
      <x:c r="AS30" s="4" t="str">
        <x:v>/Users/luodaluo/Desktop/30天复盘原始数据/补充证据_历史委托条件委托截图/05_安卓端取消与过期完整生命周期/02_已过期/Screenshot_20260722_201759.jpg</x:v>
      </x:c>
      <x:c r="AT30" t="str">
        <x:v>过期</x:v>
      </x:c>
      <x:c r="AU30" t="n">
        <x:v>6210</x:v>
      </x:c>
      <x:c r="AV30" t="str">
        <x:v>STRONG_CONTEXT</x:v>
      </x:c>
      <x:c r="AW30" t="str">
        <x:v>无法确认</x:v>
      </x:c>
      <x:c r="AX30" t="str">
        <x:v>平台字段＋严格时间与仓位关系计算</x:v>
      </x:c>
    </x:row>
    <x:row r="31">
      <x:c r="A31" s="4" t="s">
        <x:v>75</x:v>
      </x:c>
      <x:c r="B31" s="4" t="s">
        <x:v>314</x:v>
      </x:c>
      <x:c r="C31" s="4" t="s">
        <x:v>2461</x:v>
      </x:c>
      <x:c r="D31" s="4" t="s">
        <x:v>608</x:v>
      </x:c>
      <x:c r="E31" s="65" t="n">
        <x:v>46191.74543981482</x:v>
      </x:c>
      <x:c r="F31" s="4" t="s">
        <x:v>2423</x:v>
      </x:c>
      <x:c r="G31" s="4" t="s">
        <x:v>2424</x:v>
      </x:c>
      <x:c r="H31" s="4" t="s">
        <x:v>1561</x:v>
      </x:c>
      <x:c r="I31" s="4" t="s">
        <x:v>1337</x:v>
      </x:c>
      <x:c r="J31" s="4" t="s">
        <x:v>2425</x:v>
      </x:c>
      <x:c r="K31" s="4" t="s">
        <x:v>1826</x:v>
      </x:c>
      <x:c r="L31" s="4" t="s">
        <x:v>205</x:v>
      </x:c>
      <x:c r="M31" s="4" t="s">
        <x:v>2426</x:v>
      </x:c>
      <x:c r="N31" s="4" t="s">
        <x:v>609</x:v>
      </x:c>
      <x:c r="O31" s="4" t="s">
        <x:v>107</x:v>
      </x:c>
      <x:c r="P31" s="4" t="s">
        <x:v>169</x:v>
      </x:c>
      <x:c r="Q31" s="4" t="s">
        <x:v>2462</x:v>
      </x:c>
      <x:c r="R31" s="4" t="s">
        <x:v>187</x:v>
      </x:c>
      <x:c r="S31" s="65"/>
      <x:c r="T31" s="4" t="str"/>
      <x:c r="U31" s="4" t="s">
        <x:v>172</x:v>
      </x:c>
      <x:c r="V31" s="4" t="s">
        <x:v>169</x:v>
      </x:c>
      <x:c r="W31" s="4" t="s">
        <x:v>169</x:v>
      </x:c>
      <x:c r="X31" s="4" t="s">
        <x:v>107</x:v>
      </x:c>
      <x:c r="Y31" s="4" t="s">
        <x:v>107</x:v>
      </x:c>
      <x:c r="Z31" s="4" t="str">
        <x:v>否</x:v>
      </x:c>
      <x:c r="AA31" s="4" t="s">
        <x:v>172</x:v>
      </x:c>
      <x:c r="AB31" s="4" t="s">
        <x:v>172</x:v>
      </x:c>
      <x:c r="AC31" s="4" t="s">
        <x:v>172</x:v>
      </x:c>
      <x:c r="AD31" s="4" t="str">
        <x:v>终态：撤销</x:v>
      </x:c>
      <x:c r="AE31" s="4" t="str">
        <x:v>疑似连续调整</x:v>
      </x:c>
      <x:c r="AF31" s="4" t="s">
        <x:v>574</x:v>
      </x:c>
      <x:c r="AG31" s="4" t="s">
        <x:v>609</x:v>
      </x:c>
      <x:c r="AH31" s="4" t="s">
        <x:v>2466</x:v>
      </x:c>
      <x:c r="AI31" s="4" t="s">
        <x:v>169</x:v>
      </x:c>
      <x:c r="AJ31" s="4" t="str">
        <x:v>疑似连续调整</x:v>
      </x:c>
      <x:c r="AK31" s="4" t="s">
        <x:v>1830</x:v>
      </x:c>
      <x:c r="AL31" s="4" t="str">
        <x:v>条件委托已取消；算法编号1000002006559867；创建时间2026-06-19 01:52:47；撤销时间2026-06-19 01:53:26；是否触发否；周期关联等级STRONG_CONTEXT；取消/过期原因无法确认（已完成为不适用）。</x:v>
      </x:c>
      <x:c r="AM31" s="4" t="str">
        <x:v>否</x:v>
      </x:c>
      <x:c r="AN31" s="4" t="str"/>
      <x:c r="AO31" s="64" t="str">
        <x:v>1000002006559867</x:v>
      </x:c>
      <x:c r="AP31" s="4" t="s">
        <x:v>2163</x:v>
      </x:c>
      <x:c r="AQ31" s="4" t="str">
        <x:v>是</x:v>
      </x:c>
      <x:c r="AR31" s="4" t="s">
        <x:v>2428</x:v>
      </x:c>
      <x:c r="AS31" s="4" t="str">
        <x:v>/Users/luodaluo/Desktop/30天复盘原始数据/补充证据_历史委托条件委托截图/05_安卓端取消与过期完整生命周期/01_已取消/Screenshot_20260722_222833.jpg</x:v>
      </x:c>
      <x:c r="AT31" t="str">
        <x:v>撤销</x:v>
      </x:c>
      <x:c r="AU31" t="n">
        <x:v>39</x:v>
      </x:c>
      <x:c r="AV31" t="str">
        <x:v>STRONG_CONTEXT</x:v>
      </x:c>
      <x:c r="AW31" t="str">
        <x:v>无法确认</x:v>
      </x:c>
      <x:c r="AX31" t="str">
        <x:v>平台字段＋严格时间与仓位关系计算</x:v>
      </x:c>
    </x:row>
    <x:row r="32">
      <x:c r="A32" s="4" t="s">
        <x:v>75</x:v>
      </x:c>
      <x:c r="B32" s="4" t="s">
        <x:v>1573</x:v>
      </x:c>
      <x:c r="C32" s="4" t="s">
        <x:v>2461</x:v>
      </x:c>
      <x:c r="D32" s="4" t="s">
        <x:v>610</x:v>
      </x:c>
      <x:c r="E32" s="65" t="n">
        <x:v>46191.759097222224</x:v>
      </x:c>
      <x:c r="F32" s="4" t="s">
        <x:v>2423</x:v>
      </x:c>
      <x:c r="G32" s="4" t="s">
        <x:v>2424</x:v>
      </x:c>
      <x:c r="H32" s="4" t="s">
        <x:v>1561</x:v>
      </x:c>
      <x:c r="I32" s="4" t="s">
        <x:v>1337</x:v>
      </x:c>
      <x:c r="J32" s="4" t="s">
        <x:v>2425</x:v>
      </x:c>
      <x:c r="K32" s="4" t="s">
        <x:v>1826</x:v>
      </x:c>
      <x:c r="L32" s="4" t="s">
        <x:v>205</x:v>
      </x:c>
      <x:c r="M32" s="4" t="s">
        <x:v>2426</x:v>
      </x:c>
      <x:c r="N32" s="4" t="s">
        <x:v>611</x:v>
      </x:c>
      <x:c r="O32" s="4" t="s">
        <x:v>107</x:v>
      </x:c>
      <x:c r="P32" s="4" t="s">
        <x:v>571</x:v>
      </x:c>
      <x:c r="Q32" s="4" t="s">
        <x:v>2467</x:v>
      </x:c>
      <x:c r="R32" s="4" t="s">
        <x:v>2455</x:v>
      </x:c>
      <x:c r="S32" s="65" t="n">
        <x:v>46191.759097222224</x:v>
      </x:c>
      <x:c r="T32" s="4" t="str">
        <x:v>1060465810</x:v>
      </x:c>
      <x:c r="U32" s="4" t="s">
        <x:v>171</x:v>
      </x:c>
      <x:c r="V32" s="4" t="s">
        <x:v>2168</x:v>
      </x:c>
      <x:c r="W32" s="4" t="s">
        <x:v>571</x:v>
      </x:c>
      <x:c r="X32" s="4" t="s">
        <x:v>571</x:v>
      </x:c>
      <x:c r="Y32" s="4" t="s">
        <x:v>169</x:v>
      </x:c>
      <x:c r="Z32" s="4" t="str">
        <x:v>是</x:v>
      </x:c>
      <x:c r="AA32" s="4" t="s">
        <x:v>171</x:v>
      </x:c>
      <x:c r="AB32" s="4" t="s">
        <x:v>171</x:v>
      </x:c>
      <x:c r="AC32" s="4" t="s">
        <x:v>171</x:v>
      </x:c>
      <x:c r="AD32" s="4" t="str">
        <x:v>终态：触发</x:v>
      </x:c>
      <x:c r="AE32" s="4" t="str">
        <x:v>可能无关</x:v>
      </x:c>
      <x:c r="AF32" s="4" t="s">
        <x:v>609</x:v>
      </x:c>
      <x:c r="AG32" s="4" t="s">
        <x:v>611</x:v>
      </x:c>
      <x:c r="AH32" s="4" t="s">
        <x:v>2468</x:v>
      </x:c>
      <x:c r="AI32" s="4" t="s">
        <x:v>571</x:v>
      </x:c>
      <x:c r="AJ32" s="4" t="str">
        <x:v>可能无关</x:v>
      </x:c>
      <x:c r="AK32" s="4" t="s">
        <x:v>1820</x:v>
      </x:c>
      <x:c r="AL32" s="4" t="str">
        <x:v>条件委托已完成；算法编号1000002006565079；创建时间2026-06-19 01:53:26；触发时间2026-06-19 02:13:06；是否触发是；周期关联等级DIRECT_ORDER；取消/过期原因无法确认（已完成为不适用）。</x:v>
      </x:c>
      <x:c r="AM32" s="4" t="str">
        <x:v>否</x:v>
      </x:c>
      <x:c r="AN32" s="4" t="str"/>
      <x:c r="AO32" s="64" t="str">
        <x:v>1000002006565079</x:v>
      </x:c>
      <x:c r="AP32" s="4" t="s">
        <x:v>2164</x:v>
      </x:c>
      <x:c r="AQ32" s="4" t="str">
        <x:v>是</x:v>
      </x:c>
      <x:c r="AR32" s="4" t="s">
        <x:v>2428</x:v>
      </x:c>
      <x:c r="AS32" s="4" t="str">
        <x:v>补充证据_历史委托条件委托截图/01_全部条件委托列表/截屏2026-07-19 06.00.18.png#行6</x:v>
      </x:c>
      <x:c r="AT32" t="str">
        <x:v>触发</x:v>
      </x:c>
      <x:c r="AU32" t="n">
        <x:v>1180</x:v>
      </x:c>
      <x:c r="AV32" t="str">
        <x:v>DIRECT_ORDER</x:v>
      </x:c>
      <x:c r="AW32" t="str">
        <x:v>不适用</x:v>
      </x:c>
      <x:c r="AX32" t="str">
        <x:v>平台字段＋基础订单直接关联</x:v>
      </x:c>
    </x:row>
    <x:row r="33">
      <x:c r="A33" s="4" t="s">
        <x:v>76</x:v>
      </x:c>
      <x:c r="B33" s="4" t="s">
        <x:v>200</x:v>
      </x:c>
      <x:c r="C33" s="4" t="s">
        <x:v>2469</x:v>
      </x:c>
      <x:c r="D33" s="4" t="s">
        <x:v>643</x:v>
      </x:c>
      <x:c r="E33" s="65" t="n">
        <x:v>46192.57325231482</x:v>
      </x:c>
      <x:c r="F33" s="4" t="s">
        <x:v>2423</x:v>
      </x:c>
      <x:c r="G33" s="4" t="s">
        <x:v>2424</x:v>
      </x:c>
      <x:c r="H33" s="4" t="s">
        <x:v>1336</x:v>
      </x:c>
      <x:c r="I33" s="4" t="s">
        <x:v>1337</x:v>
      </x:c>
      <x:c r="J33" s="4" t="s">
        <x:v>2425</x:v>
      </x:c>
      <x:c r="K33" s="4" t="s">
        <x:v>1826</x:v>
      </x:c>
      <x:c r="L33" s="4" t="s">
        <x:v>205</x:v>
      </x:c>
      <x:c r="M33" s="4" t="s">
        <x:v>2426</x:v>
      </x:c>
      <x:c r="N33" s="4" t="s">
        <x:v>644</x:v>
      </x:c>
      <x:c r="O33" s="4" t="s">
        <x:v>107</x:v>
      </x:c>
      <x:c r="P33" s="4" t="s">
        <x:v>169</x:v>
      </x:c>
      <x:c r="Q33" s="4" t="s">
        <x:v>2427</x:v>
      </x:c>
      <x:c r="R33" s="4" t="s">
        <x:v>187</x:v>
      </x:c>
      <x:c r="S33" s="65"/>
      <x:c r="T33" s="4" t="str"/>
      <x:c r="U33" s="4" t="s">
        <x:v>172</x:v>
      </x:c>
      <x:c r="V33" s="4" t="s">
        <x:v>169</x:v>
      </x:c>
      <x:c r="W33" s="4" t="s">
        <x:v>169</x:v>
      </x:c>
      <x:c r="X33" s="4" t="s">
        <x:v>107</x:v>
      </x:c>
      <x:c r="Y33" s="4" t="s">
        <x:v>107</x:v>
      </x:c>
      <x:c r="Z33" s="4" t="str">
        <x:v>否</x:v>
      </x:c>
      <x:c r="AA33" s="4" t="s">
        <x:v>172</x:v>
      </x:c>
      <x:c r="AB33" s="4" t="s">
        <x:v>172</x:v>
      </x:c>
      <x:c r="AC33" s="4" t="s">
        <x:v>172</x:v>
      </x:c>
      <x:c r="AD33" s="4" t="str">
        <x:v>终态：撤销</x:v>
      </x:c>
      <x:c r="AE33" s="4" t="str">
        <x:v>相邻记录</x:v>
      </x:c>
      <x:c r="AF33" s="4" t="s">
        <x:v>107</x:v>
      </x:c>
      <x:c r="AG33" s="4" t="s">
        <x:v>644</x:v>
      </x:c>
      <x:c r="AH33" s="4" t="s">
        <x:v>107</x:v>
      </x:c>
      <x:c r="AI33" s="4" t="s">
        <x:v>107</x:v>
      </x:c>
      <x:c r="AJ33" s="4" t="str">
        <x:v>相邻记录</x:v>
      </x:c>
      <x:c r="AK33" s="4" t="s">
        <x:v>1848</x:v>
      </x:c>
      <x:c r="AL33" s="4" t="str">
        <x:v>条件委托已取消；算法编号1000002014744846；创建时间2026-06-19 21:04:53；撤销时间2026-06-19 21:45:29；是否触发否；周期关联等级CANDIDATE；取消/过期原因无法确认（已完成为不适用）。</x:v>
      </x:c>
      <x:c r="AM33" s="4" t="str">
        <x:v>是</x:v>
      </x:c>
      <x:c r="AN33" s="4" t="str">
        <x:v>需补充直接Order/Fill或平台周期字段；不得强制归属</x:v>
      </x:c>
      <x:c r="AO33" s="64" t="str">
        <x:v>1000002014744846</x:v>
      </x:c>
      <x:c r="AP33" s="4" t="s">
        <x:v>2206</x:v>
      </x:c>
      <x:c r="AQ33" s="4" t="str">
        <x:v>是</x:v>
      </x:c>
      <x:c r="AR33" s="4" t="s">
        <x:v>2428</x:v>
      </x:c>
      <x:c r="AS33" s="4" t="str">
        <x:v>/Users/luodaluo/Desktop/30天复盘原始数据/补充证据_历史委托条件委托截图/05_安卓端取消与过期完整生命周期/01_已取消/Screenshot_20260722_222949.jpg</x:v>
      </x:c>
      <x:c r="AT33" t="str">
        <x:v>撤销</x:v>
      </x:c>
      <x:c r="AU33" t="n">
        <x:v>2436</x:v>
      </x:c>
      <x:c r="AV33" t="str">
        <x:v>CANDIDATE</x:v>
      </x:c>
      <x:c r="AW33" t="str">
        <x:v>无法确认</x:v>
      </x:c>
      <x:c r="AX33" t="str">
        <x:v>平台字段＋多周期候选计算</x:v>
      </x:c>
    </x:row>
    <x:row r="34">
      <x:c r="A34" s="4" t="s">
        <x:v>76</x:v>
      </x:c>
      <x:c r="B34" s="4" t="s">
        <x:v>1353</x:v>
      </x:c>
      <x:c r="C34" s="4" t="s">
        <x:v>2469</x:v>
      </x:c>
      <x:c r="D34" s="4" t="s">
        <x:v>647</x:v>
      </x:c>
      <x:c r="E34" s="65" t="n">
        <x:v>46192.579675925925</x:v>
      </x:c>
      <x:c r="F34" s="4" t="s">
        <x:v>2423</x:v>
      </x:c>
      <x:c r="G34" s="4" t="s">
        <x:v>2424</x:v>
      </x:c>
      <x:c r="H34" s="4" t="s">
        <x:v>1336</x:v>
      </x:c>
      <x:c r="I34" s="4" t="s">
        <x:v>1337</x:v>
      </x:c>
      <x:c r="J34" s="4" t="s">
        <x:v>2425</x:v>
      </x:c>
      <x:c r="K34" s="4" t="s">
        <x:v>1826</x:v>
      </x:c>
      <x:c r="L34" s="4" t="s">
        <x:v>205</x:v>
      </x:c>
      <x:c r="M34" s="4" t="s">
        <x:v>2426</x:v>
      </x:c>
      <x:c r="N34" s="4" t="s">
        <x:v>648</x:v>
      </x:c>
      <x:c r="O34" s="4" t="s">
        <x:v>107</x:v>
      </x:c>
      <x:c r="P34" s="4" t="s">
        <x:v>169</x:v>
      </x:c>
      <x:c r="Q34" s="4" t="s">
        <x:v>2427</x:v>
      </x:c>
      <x:c r="R34" s="4" t="s">
        <x:v>187</x:v>
      </x:c>
      <x:c r="S34" s="65"/>
      <x:c r="T34" s="4" t="str"/>
      <x:c r="U34" s="4" t="s">
        <x:v>172</x:v>
      </x:c>
      <x:c r="V34" s="4" t="s">
        <x:v>169</x:v>
      </x:c>
      <x:c r="W34" s="4" t="s">
        <x:v>169</x:v>
      </x:c>
      <x:c r="X34" s="4" t="s">
        <x:v>107</x:v>
      </x:c>
      <x:c r="Y34" s="4" t="s">
        <x:v>107</x:v>
      </x:c>
      <x:c r="Z34" s="4" t="str">
        <x:v>否</x:v>
      </x:c>
      <x:c r="AA34" s="4" t="s">
        <x:v>172</x:v>
      </x:c>
      <x:c r="AB34" s="4" t="s">
        <x:v>172</x:v>
      </x:c>
      <x:c r="AC34" s="4" t="s">
        <x:v>172</x:v>
      </x:c>
      <x:c r="AD34" s="4" t="str">
        <x:v>终态：撤销</x:v>
      </x:c>
      <x:c r="AE34" s="4" t="str">
        <x:v>相邻记录</x:v>
      </x:c>
      <x:c r="AF34" s="4" t="s">
        <x:v>644</x:v>
      </x:c>
      <x:c r="AG34" s="4" t="s">
        <x:v>648</x:v>
      </x:c>
      <x:c r="AH34" s="4" t="s">
        <x:v>2470</x:v>
      </x:c>
      <x:c r="AI34" s="4" t="s">
        <x:v>169</x:v>
      </x:c>
      <x:c r="AJ34" s="4" t="str">
        <x:v>相邻记录</x:v>
      </x:c>
      <x:c r="AK34" s="4" t="s">
        <x:v>1848</x:v>
      </x:c>
      <x:c r="AL34" s="4" t="str">
        <x:v>条件委托已取消；算法编号1000002015030467；创建时间2026-06-19 21:45:29；撤销时间2026-06-19 21:54:44；是否触发否；周期关联等级CANDIDATE；取消/过期原因无法确认（已完成为不适用）。</x:v>
      </x:c>
      <x:c r="AM34" s="4" t="str">
        <x:v>是</x:v>
      </x:c>
      <x:c r="AN34" s="4" t="str">
        <x:v>需补充直接Order/Fill或平台周期字段；不得强制归属</x:v>
      </x:c>
      <x:c r="AO34" s="64" t="str">
        <x:v>1000002015030467</x:v>
      </x:c>
      <x:c r="AP34" s="4" t="s">
        <x:v>2207</x:v>
      </x:c>
      <x:c r="AQ34" s="4" t="str">
        <x:v>是</x:v>
      </x:c>
      <x:c r="AR34" s="4" t="s">
        <x:v>2428</x:v>
      </x:c>
      <x:c r="AS34" s="4" t="str">
        <x:v>/Users/luodaluo/Desktop/30天复盘原始数据/补充证据_历史委托条件委托截图/05_安卓端取消与过期完整生命周期/01_已取消/Screenshot_20260722_222955.jpg</x:v>
      </x:c>
      <x:c r="AT34" t="str">
        <x:v>撤销</x:v>
      </x:c>
      <x:c r="AU34" t="n">
        <x:v>555</x:v>
      </x:c>
      <x:c r="AV34" t="str">
        <x:v>CANDIDATE</x:v>
      </x:c>
      <x:c r="AW34" t="str">
        <x:v>无法确认</x:v>
      </x:c>
      <x:c r="AX34" t="str">
        <x:v>平台字段＋多周期候选计算</x:v>
      </x:c>
    </x:row>
    <x:row r="35">
      <x:c r="A35" s="4" t="s">
        <x:v>76</x:v>
      </x:c>
      <x:c r="B35" s="4" t="s">
        <x:v>1466</x:v>
      </x:c>
      <x:c r="C35" s="4" t="s">
        <x:v>2471</x:v>
      </x:c>
      <x:c r="D35" s="4" t="s">
        <x:v>653</x:v>
      </x:c>
      <x:c r="E35" s="65" t="n">
        <x:v>46193.29215277778</x:v>
      </x:c>
      <x:c r="F35" s="4" t="s">
        <x:v>2423</x:v>
      </x:c>
      <x:c r="G35" s="4" t="s">
        <x:v>2424</x:v>
      </x:c>
      <x:c r="H35" s="4" t="s">
        <x:v>1336</x:v>
      </x:c>
      <x:c r="I35" s="4" t="s">
        <x:v>1337</x:v>
      </x:c>
      <x:c r="J35" s="4" t="s">
        <x:v>2425</x:v>
      </x:c>
      <x:c r="K35" s="4" t="s">
        <x:v>203</x:v>
      </x:c>
      <x:c r="L35" s="4" t="s">
        <x:v>203</x:v>
      </x:c>
      <x:c r="M35" s="4" t="s">
        <x:v>172</x:v>
      </x:c>
      <x:c r="N35" s="4" t="s">
        <x:v>409</x:v>
      </x:c>
      <x:c r="O35" s="4" t="s">
        <x:v>107</x:v>
      </x:c>
      <x:c r="P35" s="4" t="s">
        <x:v>169</x:v>
      </x:c>
      <x:c r="Q35" s="4" t="s">
        <x:v>2427</x:v>
      </x:c>
      <x:c r="R35" s="4" t="s">
        <x:v>187</x:v>
      </x:c>
      <x:c r="S35" s="65"/>
      <x:c r="T35" s="4" t="str"/>
      <x:c r="U35" s="4" t="s">
        <x:v>172</x:v>
      </x:c>
      <x:c r="V35" s="4" t="s">
        <x:v>169</x:v>
      </x:c>
      <x:c r="W35" s="4" t="s">
        <x:v>169</x:v>
      </x:c>
      <x:c r="X35" s="4" t="s">
        <x:v>107</x:v>
      </x:c>
      <x:c r="Y35" s="4" t="s">
        <x:v>107</x:v>
      </x:c>
      <x:c r="Z35" s="4" t="str">
        <x:v>否</x:v>
      </x:c>
      <x:c r="AA35" s="4" t="s">
        <x:v>172</x:v>
      </x:c>
      <x:c r="AB35" s="4" t="s">
        <x:v>172</x:v>
      </x:c>
      <x:c r="AC35" s="4" t="s">
        <x:v>172</x:v>
      </x:c>
      <x:c r="AD35" s="4" t="str">
        <x:v>终态：撤销</x:v>
      </x:c>
      <x:c r="AE35" s="4" t="str">
        <x:v>相邻记录</x:v>
      </x:c>
      <x:c r="AF35" s="4" t="s">
        <x:v>107</x:v>
      </x:c>
      <x:c r="AG35" s="4" t="s">
        <x:v>409</x:v>
      </x:c>
      <x:c r="AH35" s="4" t="s">
        <x:v>107</x:v>
      </x:c>
      <x:c r="AI35" s="4" t="s">
        <x:v>107</x:v>
      </x:c>
      <x:c r="AJ35" s="4" t="str">
        <x:v>相邻记录</x:v>
      </x:c>
      <x:c r="AK35" s="4" t="s">
        <x:v>1848</x:v>
      </x:c>
      <x:c r="AL35" s="4" t="str">
        <x:v>条件委托已取消；算法编号1000002179699184；创建时间2026-06-20 05:09:56；撤销时间2026-06-20 15:00:42；是否触发否；周期关联等级CANDIDATE；取消/过期原因无法确认（已完成为不适用）。</x:v>
      </x:c>
      <x:c r="AM35" s="4" t="str">
        <x:v>是</x:v>
      </x:c>
      <x:c r="AN35" s="4" t="str">
        <x:v>需补充直接Order/Fill或平台周期字段；不得强制归属</x:v>
      </x:c>
      <x:c r="AO35" s="64" t="str">
        <x:v>1000002179699184</x:v>
      </x:c>
      <x:c r="AP35" s="4" t="s">
        <x:v>2212</x:v>
      </x:c>
      <x:c r="AQ35" s="4" t="str">
        <x:v>是</x:v>
      </x:c>
      <x:c r="AR35" s="4" t="s">
        <x:v>2428</x:v>
      </x:c>
      <x:c r="AS35" s="4" t="str">
        <x:v>/Users/luodaluo/Desktop/30天复盘原始数据/补充证据_历史委托条件委托截图/05_安卓端取消与过期完整生命周期/01_已取消/Screenshot_20260722_222959.jpg</x:v>
      </x:c>
      <x:c r="AT35" t="str">
        <x:v>撤销</x:v>
      </x:c>
      <x:c r="AU35" t="n">
        <x:v>35446</x:v>
      </x:c>
      <x:c r="AV35" t="str">
        <x:v>CANDIDATE</x:v>
      </x:c>
      <x:c r="AW35" t="str">
        <x:v>无法确认</x:v>
      </x:c>
      <x:c r="AX35" t="str">
        <x:v>平台字段＋多周期候选计算</x:v>
      </x:c>
    </x:row>
    <x:row r="36">
      <x:c r="A36" s="4" t="s">
        <x:v>76</x:v>
      </x:c>
      <x:c r="B36" s="4" t="s">
        <x:v>218</x:v>
      </x:c>
      <x:c r="C36" s="4" t="s">
        <x:v>2469</x:v>
      </x:c>
      <x:c r="D36" s="4" t="s">
        <x:v>659</x:v>
      </x:c>
      <x:c r="E36" s="65" t="n">
        <x:v>46193.28223379629</x:v>
      </x:c>
      <x:c r="F36" s="4" t="s">
        <x:v>2423</x:v>
      </x:c>
      <x:c r="G36" s="4" t="s">
        <x:v>2424</x:v>
      </x:c>
      <x:c r="H36" s="4" t="s">
        <x:v>1336</x:v>
      </x:c>
      <x:c r="I36" s="4" t="s">
        <x:v>1337</x:v>
      </x:c>
      <x:c r="J36" s="4" t="s">
        <x:v>2425</x:v>
      </x:c>
      <x:c r="K36" s="4" t="s">
        <x:v>1826</x:v>
      </x:c>
      <x:c r="L36" s="4" t="s">
        <x:v>205</x:v>
      </x:c>
      <x:c r="M36" s="4" t="s">
        <x:v>2426</x:v>
      </x:c>
      <x:c r="N36" s="4" t="s">
        <x:v>660</x:v>
      </x:c>
      <x:c r="O36" s="4" t="s">
        <x:v>107</x:v>
      </x:c>
      <x:c r="P36" s="4" t="s">
        <x:v>169</x:v>
      </x:c>
      <x:c r="Q36" s="4" t="s">
        <x:v>2427</x:v>
      </x:c>
      <x:c r="R36" s="4" t="s">
        <x:v>187</x:v>
      </x:c>
      <x:c r="S36" s="65"/>
      <x:c r="T36" s="4" t="str"/>
      <x:c r="U36" s="4" t="s">
        <x:v>172</x:v>
      </x:c>
      <x:c r="V36" s="4" t="s">
        <x:v>169</x:v>
      </x:c>
      <x:c r="W36" s="4" t="s">
        <x:v>169</x:v>
      </x:c>
      <x:c r="X36" s="4" t="s">
        <x:v>107</x:v>
      </x:c>
      <x:c r="Y36" s="4" t="s">
        <x:v>107</x:v>
      </x:c>
      <x:c r="Z36" s="4" t="str">
        <x:v>否</x:v>
      </x:c>
      <x:c r="AA36" s="4" t="s">
        <x:v>172</x:v>
      </x:c>
      <x:c r="AB36" s="4" t="s">
        <x:v>172</x:v>
      </x:c>
      <x:c r="AC36" s="4" t="s">
        <x:v>172</x:v>
      </x:c>
      <x:c r="AD36" s="4" t="str">
        <x:v>终态：撤销</x:v>
      </x:c>
      <x:c r="AE36" s="4" t="str">
        <x:v>疑似连续调整</x:v>
      </x:c>
      <x:c r="AF36" s="4" t="s">
        <x:v>648</x:v>
      </x:c>
      <x:c r="AG36" s="4" t="s">
        <x:v>660</x:v>
      </x:c>
      <x:c r="AH36" s="4" t="s">
        <x:v>2472</x:v>
      </x:c>
      <x:c r="AI36" s="4" t="s">
        <x:v>169</x:v>
      </x:c>
      <x:c r="AJ36" s="4" t="str">
        <x:v>疑似连续调整</x:v>
      </x:c>
      <x:c r="AK36" s="4" t="s">
        <x:v>1830</x:v>
      </x:c>
      <x:c r="AL36" s="4" t="str">
        <x:v>条件委托已取消；算法编号1000002180535071；创建时间2026-06-20 08:02:45；撤销时间2026-06-20 14:46:25；是否触发否；周期关联等级STRONG_CONTEXT；取消/过期原因无法确认（已完成为不适用）。</x:v>
      </x:c>
      <x:c r="AM36" s="4" t="str">
        <x:v>否</x:v>
      </x:c>
      <x:c r="AN36" s="4" t="str"/>
      <x:c r="AO36" s="64" t="str">
        <x:v>1000002180535071</x:v>
      </x:c>
      <x:c r="AP36" s="4" t="s">
        <x:v>2216</x:v>
      </x:c>
      <x:c r="AQ36" s="4" t="str">
        <x:v>是</x:v>
      </x:c>
      <x:c r="AR36" s="4" t="s">
        <x:v>2428</x:v>
      </x:c>
      <x:c r="AS36" s="4" t="str">
        <x:v>/Users/luodaluo/Desktop/30天复盘原始数据/补充证据_历史委托条件委托截图/05_安卓端取消与过期完整生命周期/01_已取消/Screenshot_20260722_223005.jpg</x:v>
      </x:c>
      <x:c r="AT36" t="str">
        <x:v>撤销</x:v>
      </x:c>
      <x:c r="AU36" t="n">
        <x:v>24220</x:v>
      </x:c>
      <x:c r="AV36" t="str">
        <x:v>STRONG_CONTEXT</x:v>
      </x:c>
      <x:c r="AW36" t="str">
        <x:v>无法确认</x:v>
      </x:c>
      <x:c r="AX36" t="str">
        <x:v>平台字段＋严格时间与仓位关系计算</x:v>
      </x:c>
    </x:row>
    <x:row r="37">
      <x:c r="A37" s="4" t="s">
        <x:v>76</x:v>
      </x:c>
      <x:c r="B37" s="4" t="s">
        <x:v>314</x:v>
      </x:c>
      <x:c r="C37" s="4" t="s">
        <x:v>2469</x:v>
      </x:c>
      <x:c r="D37" s="4" t="s">
        <x:v>661</x:v>
      </x:c>
      <x:c r="E37" s="65" t="n">
        <x:v>46193.286574074074</x:v>
      </x:c>
      <x:c r="F37" s="4" t="s">
        <x:v>2423</x:v>
      </x:c>
      <x:c r="G37" s="4" t="s">
        <x:v>2424</x:v>
      </x:c>
      <x:c r="H37" s="4" t="s">
        <x:v>1336</x:v>
      </x:c>
      <x:c r="I37" s="4" t="s">
        <x:v>1337</x:v>
      </x:c>
      <x:c r="J37" s="4" t="s">
        <x:v>2425</x:v>
      </x:c>
      <x:c r="K37" s="4" t="s">
        <x:v>1826</x:v>
      </x:c>
      <x:c r="L37" s="4" t="s">
        <x:v>205</x:v>
      </x:c>
      <x:c r="M37" s="4" t="s">
        <x:v>2426</x:v>
      </x:c>
      <x:c r="N37" s="4" t="s">
        <x:v>662</x:v>
      </x:c>
      <x:c r="O37" s="4" t="s">
        <x:v>107</x:v>
      </x:c>
      <x:c r="P37" s="4" t="s">
        <x:v>169</x:v>
      </x:c>
      <x:c r="Q37" s="4" t="s">
        <x:v>2427</x:v>
      </x:c>
      <x:c r="R37" s="4" t="s">
        <x:v>187</x:v>
      </x:c>
      <x:c r="S37" s="65"/>
      <x:c r="T37" s="4" t="str"/>
      <x:c r="U37" s="4" t="s">
        <x:v>172</x:v>
      </x:c>
      <x:c r="V37" s="4" t="s">
        <x:v>169</x:v>
      </x:c>
      <x:c r="W37" s="4" t="s">
        <x:v>169</x:v>
      </x:c>
      <x:c r="X37" s="4" t="s">
        <x:v>107</x:v>
      </x:c>
      <x:c r="Y37" s="4" t="s">
        <x:v>107</x:v>
      </x:c>
      <x:c r="Z37" s="4" t="str">
        <x:v>否</x:v>
      </x:c>
      <x:c r="AA37" s="4" t="s">
        <x:v>172</x:v>
      </x:c>
      <x:c r="AB37" s="4" t="s">
        <x:v>172</x:v>
      </x:c>
      <x:c r="AC37" s="4" t="s">
        <x:v>172</x:v>
      </x:c>
      <x:c r="AD37" s="4" t="str">
        <x:v>终态：撤销</x:v>
      </x:c>
      <x:c r="AE37" s="4" t="str">
        <x:v>疑似连续调整</x:v>
      </x:c>
      <x:c r="AF37" s="4" t="s">
        <x:v>660</x:v>
      </x:c>
      <x:c r="AG37" s="4" t="s">
        <x:v>662</x:v>
      </x:c>
      <x:c r="AH37" s="4" t="s">
        <x:v>2473</x:v>
      </x:c>
      <x:c r="AI37" s="4" t="s">
        <x:v>169</x:v>
      </x:c>
      <x:c r="AJ37" s="4" t="str">
        <x:v>疑似连续调整</x:v>
      </x:c>
      <x:c r="AK37" s="4" t="s">
        <x:v>1830</x:v>
      </x:c>
      <x:c r="AL37" s="4" t="str">
        <x:v>条件委托已取消；算法编号1000002182709211；创建时间2026-06-20 14:46:25；撤销时间2026-06-20 14:52:40；是否触发否；周期关联等级STRONG_CONTEXT；取消/过期原因无法确认（已完成为不适用）。</x:v>
      </x:c>
      <x:c r="AM37" s="4" t="str">
        <x:v>否</x:v>
      </x:c>
      <x:c r="AN37" s="4" t="str"/>
      <x:c r="AO37" s="64" t="str">
        <x:v>1000002182709211</x:v>
      </x:c>
      <x:c r="AP37" s="4" t="s">
        <x:v>2217</x:v>
      </x:c>
      <x:c r="AQ37" s="4" t="str">
        <x:v>是</x:v>
      </x:c>
      <x:c r="AR37" s="4" t="s">
        <x:v>2428</x:v>
      </x:c>
      <x:c r="AS37" s="4" t="str">
        <x:v>/Users/luodaluo/Desktop/30天复盘原始数据/补充证据_历史委托条件委托截图/05_安卓端取消与过期完整生命周期/01_已取消/Screenshot_20260722_223010.jpg</x:v>
      </x:c>
      <x:c r="AT37" t="str">
        <x:v>撤销</x:v>
      </x:c>
      <x:c r="AU37" t="n">
        <x:v>375</x:v>
      </x:c>
      <x:c r="AV37" t="str">
        <x:v>STRONG_CONTEXT</x:v>
      </x:c>
      <x:c r="AW37" t="str">
        <x:v>无法确认</x:v>
      </x:c>
      <x:c r="AX37" t="str">
        <x:v>平台字段＋严格时间与仓位关系计算</x:v>
      </x:c>
    </x:row>
    <x:row r="38">
      <x:c r="A38" s="4" t="s">
        <x:v>76</x:v>
      </x:c>
      <x:c r="B38" s="4" t="s">
        <x:v>1573</x:v>
      </x:c>
      <x:c r="C38" s="4" t="s">
        <x:v>2469</x:v>
      </x:c>
      <x:c r="D38" s="4" t="s">
        <x:v>663</x:v>
      </x:c>
      <x:c r="E38" s="65" t="n">
        <x:v>46193.62511574074</x:v>
      </x:c>
      <x:c r="F38" s="4" t="s">
        <x:v>2423</x:v>
      </x:c>
      <x:c r="G38" s="4" t="s">
        <x:v>2424</x:v>
      </x:c>
      <x:c r="H38" s="4" t="s">
        <x:v>1336</x:v>
      </x:c>
      <x:c r="I38" s="4" t="s">
        <x:v>1337</x:v>
      </x:c>
      <x:c r="J38" s="4" t="s">
        <x:v>2425</x:v>
      </x:c>
      <x:c r="K38" s="4" t="s">
        <x:v>1826</x:v>
      </x:c>
      <x:c r="L38" s="4" t="s">
        <x:v>205</x:v>
      </x:c>
      <x:c r="M38" s="4" t="s">
        <x:v>2426</x:v>
      </x:c>
      <x:c r="N38" s="4" t="s">
        <x:v>664</x:v>
      </x:c>
      <x:c r="O38" s="4" t="s">
        <x:v>107</x:v>
      </x:c>
      <x:c r="P38" s="4" t="s">
        <x:v>169</x:v>
      </x:c>
      <x:c r="Q38" s="4" t="s">
        <x:v>2427</x:v>
      </x:c>
      <x:c r="R38" s="4" t="s">
        <x:v>187</x:v>
      </x:c>
      <x:c r="S38" s="65"/>
      <x:c r="T38" s="4" t="str"/>
      <x:c r="U38" s="4" t="s">
        <x:v>172</x:v>
      </x:c>
      <x:c r="V38" s="4" t="s">
        <x:v>169</x:v>
      </x:c>
      <x:c r="W38" s="4" t="s">
        <x:v>169</x:v>
      </x:c>
      <x:c r="X38" s="4" t="s">
        <x:v>107</x:v>
      </x:c>
      <x:c r="Y38" s="4" t="s">
        <x:v>107</x:v>
      </x:c>
      <x:c r="Z38" s="4" t="str">
        <x:v>否</x:v>
      </x:c>
      <x:c r="AA38" s="4" t="s">
        <x:v>172</x:v>
      </x:c>
      <x:c r="AB38" s="4" t="s">
        <x:v>172</x:v>
      </x:c>
      <x:c r="AC38" s="4" t="s">
        <x:v>172</x:v>
      </x:c>
      <x:c r="AD38" s="4" t="str">
        <x:v>终态：撤销</x:v>
      </x:c>
      <x:c r="AE38" s="4" t="str">
        <x:v>疑似连续调整</x:v>
      </x:c>
      <x:c r="AF38" s="4" t="s">
        <x:v>662</x:v>
      </x:c>
      <x:c r="AG38" s="4" t="s">
        <x:v>664</x:v>
      </x:c>
      <x:c r="AH38" s="4" t="s">
        <x:v>2474</x:v>
      </x:c>
      <x:c r="AI38" s="4" t="s">
        <x:v>169</x:v>
      </x:c>
      <x:c r="AJ38" s="4" t="str">
        <x:v>疑似连续调整</x:v>
      </x:c>
      <x:c r="AK38" s="4" t="s">
        <x:v>1830</x:v>
      </x:c>
      <x:c r="AL38" s="4" t="str">
        <x:v>条件委托已取消；算法编号1000002182731223；创建时间2026-06-20 14:52:40；撤销时间2026-06-20 23:00:10；是否触发否；周期关联等级STRONG_CONTEXT；取消/过期原因无法确认（已完成为不适用）。</x:v>
      </x:c>
      <x:c r="AM38" s="4" t="str">
        <x:v>否</x:v>
      </x:c>
      <x:c r="AN38" s="4" t="str"/>
      <x:c r="AO38" s="64" t="str">
        <x:v>1000002182731223</x:v>
      </x:c>
      <x:c r="AP38" s="4" t="s">
        <x:v>2218</x:v>
      </x:c>
      <x:c r="AQ38" s="4" t="str">
        <x:v>是</x:v>
      </x:c>
      <x:c r="AR38" s="4" t="s">
        <x:v>2428</x:v>
      </x:c>
      <x:c r="AS38" s="4" t="str">
        <x:v>/Users/luodaluo/Desktop/30天复盘原始数据/补充证据_历史委托条件委托截图/05_安卓端取消与过期完整生命周期/01_已取消/Screenshot_20260722_223013.jpg</x:v>
      </x:c>
      <x:c r="AT38" t="str">
        <x:v>撤销</x:v>
      </x:c>
      <x:c r="AU38" t="n">
        <x:v>29250</x:v>
      </x:c>
      <x:c r="AV38" t="str">
        <x:v>STRONG_CONTEXT</x:v>
      </x:c>
      <x:c r="AW38" t="str">
        <x:v>无法确认</x:v>
      </x:c>
      <x:c r="AX38" t="str">
        <x:v>平台字段＋严格时间与仓位关系计算</x:v>
      </x:c>
    </x:row>
    <x:row r="39">
      <x:c r="A39" s="4" t="s">
        <x:v>76</x:v>
      </x:c>
      <x:c r="B39" s="4" t="s">
        <x:v>330</x:v>
      </x:c>
      <x:c r="C39" s="4" t="s">
        <x:v>2471</x:v>
      </x:c>
      <x:c r="D39" s="4" t="s">
        <x:v>665</x:v>
      </x:c>
      <x:c r="E39" s="65" t="n">
        <x:v>46193.57571759259</x:v>
      </x:c>
      <x:c r="F39" s="4" t="s">
        <x:v>2423</x:v>
      </x:c>
      <x:c r="G39" s="4" t="s">
        <x:v>2424</x:v>
      </x:c>
      <x:c r="H39" s="4" t="s">
        <x:v>1336</x:v>
      </x:c>
      <x:c r="I39" s="4" t="s">
        <x:v>1337</x:v>
      </x:c>
      <x:c r="J39" s="4" t="s">
        <x:v>2425</x:v>
      </x:c>
      <x:c r="K39" s="4" t="s">
        <x:v>203</x:v>
      </x:c>
      <x:c r="L39" s="4" t="s">
        <x:v>203</x:v>
      </x:c>
      <x:c r="M39" s="4" t="s">
        <x:v>172</x:v>
      </x:c>
      <x:c r="N39" s="4" t="s">
        <x:v>666</x:v>
      </x:c>
      <x:c r="O39" s="4" t="s">
        <x:v>107</x:v>
      </x:c>
      <x:c r="P39" s="4" t="s">
        <x:v>169</x:v>
      </x:c>
      <x:c r="Q39" s="4" t="s">
        <x:v>2427</x:v>
      </x:c>
      <x:c r="R39" s="4" t="s">
        <x:v>187</x:v>
      </x:c>
      <x:c r="S39" s="65"/>
      <x:c r="T39" s="4" t="str"/>
      <x:c r="U39" s="4" t="s">
        <x:v>172</x:v>
      </x:c>
      <x:c r="V39" s="4" t="s">
        <x:v>169</x:v>
      </x:c>
      <x:c r="W39" s="4" t="s">
        <x:v>169</x:v>
      </x:c>
      <x:c r="X39" s="4" t="s">
        <x:v>107</x:v>
      </x:c>
      <x:c r="Y39" s="4" t="s">
        <x:v>107</x:v>
      </x:c>
      <x:c r="Z39" s="4" t="str">
        <x:v>否</x:v>
      </x:c>
      <x:c r="AA39" s="4" t="s">
        <x:v>172</x:v>
      </x:c>
      <x:c r="AB39" s="4" t="s">
        <x:v>172</x:v>
      </x:c>
      <x:c r="AC39" s="4" t="s">
        <x:v>172</x:v>
      </x:c>
      <x:c r="AD39" s="4" t="str">
        <x:v>终态：撤销</x:v>
      </x:c>
      <x:c r="AE39" s="4" t="str">
        <x:v>疑似连续调整</x:v>
      </x:c>
      <x:c r="AF39" s="4" t="s">
        <x:v>409</x:v>
      </x:c>
      <x:c r="AG39" s="4" t="s">
        <x:v>666</x:v>
      </x:c>
      <x:c r="AH39" s="4" t="s">
        <x:v>2475</x:v>
      </x:c>
      <x:c r="AI39" s="4" t="s">
        <x:v>169</x:v>
      </x:c>
      <x:c r="AJ39" s="4" t="str">
        <x:v>疑似连续调整</x:v>
      </x:c>
      <x:c r="AK39" s="4" t="s">
        <x:v>1830</x:v>
      </x:c>
      <x:c r="AL39" s="4" t="str">
        <x:v>条件委托已取消；算法编号1000002182763513；创建时间2026-06-20 15:00:42；撤销时间2026-06-20 21:49:02；是否触发否；周期关联等级STRONG_CONTEXT；取消/过期原因无法确认（已完成为不适用）。</x:v>
      </x:c>
      <x:c r="AM39" s="4" t="str">
        <x:v>否</x:v>
      </x:c>
      <x:c r="AN39" s="4" t="str"/>
      <x:c r="AO39" s="64" t="str">
        <x:v>1000002182763513</x:v>
      </x:c>
      <x:c r="AP39" s="4" t="s">
        <x:v>2219</x:v>
      </x:c>
      <x:c r="AQ39" s="4" t="str">
        <x:v>是</x:v>
      </x:c>
      <x:c r="AR39" s="4" t="s">
        <x:v>2428</x:v>
      </x:c>
      <x:c r="AS39" s="4" t="str">
        <x:v>/Users/luodaluo/Desktop/30天复盘原始数据/补充证据_历史委托条件委托截图/05_安卓端取消与过期完整生命周期/01_已取消/Screenshot_20260722_223020.jpg</x:v>
      </x:c>
      <x:c r="AT39" t="str">
        <x:v>撤销</x:v>
      </x:c>
      <x:c r="AU39" t="n">
        <x:v>24500</x:v>
      </x:c>
      <x:c r="AV39" t="str">
        <x:v>STRONG_CONTEXT</x:v>
      </x:c>
      <x:c r="AW39" t="str">
        <x:v>无法确认</x:v>
      </x:c>
      <x:c r="AX39" t="str">
        <x:v>平台字段＋严格时间与仓位关系计算</x:v>
      </x:c>
    </x:row>
    <x:row r="40">
      <x:c r="A40" s="4" t="s">
        <x:v>76</x:v>
      </x:c>
      <x:c r="B40" s="4" t="s">
        <x:v>229</x:v>
      </x:c>
      <x:c r="C40" s="4" t="s">
        <x:v>2471</x:v>
      </x:c>
      <x:c r="D40" s="4" t="s">
        <x:v>667</x:v>
      </x:c>
      <x:c r="E40" s="65" t="n">
        <x:v>46193.575891203705</x:v>
      </x:c>
      <x:c r="F40" s="4" t="s">
        <x:v>2423</x:v>
      </x:c>
      <x:c r="G40" s="4" t="s">
        <x:v>2424</x:v>
      </x:c>
      <x:c r="H40" s="4" t="s">
        <x:v>1336</x:v>
      </x:c>
      <x:c r="I40" s="4" t="s">
        <x:v>1337</x:v>
      </x:c>
      <x:c r="J40" s="4" t="s">
        <x:v>2425</x:v>
      </x:c>
      <x:c r="K40" s="4" t="s">
        <x:v>203</x:v>
      </x:c>
      <x:c r="L40" s="4" t="s">
        <x:v>203</x:v>
      </x:c>
      <x:c r="M40" s="4" t="s">
        <x:v>172</x:v>
      </x:c>
      <x:c r="N40" s="4" t="s">
        <x:v>668</x:v>
      </x:c>
      <x:c r="O40" s="4" t="s">
        <x:v>107</x:v>
      </x:c>
      <x:c r="P40" s="4" t="s">
        <x:v>169</x:v>
      </x:c>
      <x:c r="Q40" s="4" t="s">
        <x:v>2427</x:v>
      </x:c>
      <x:c r="R40" s="4" t="s">
        <x:v>187</x:v>
      </x:c>
      <x:c r="S40" s="65"/>
      <x:c r="T40" s="4" t="str"/>
      <x:c r="U40" s="4" t="s">
        <x:v>172</x:v>
      </x:c>
      <x:c r="V40" s="4" t="s">
        <x:v>169</x:v>
      </x:c>
      <x:c r="W40" s="4" t="s">
        <x:v>169</x:v>
      </x:c>
      <x:c r="X40" s="4" t="s">
        <x:v>107</x:v>
      </x:c>
      <x:c r="Y40" s="4" t="s">
        <x:v>107</x:v>
      </x:c>
      <x:c r="Z40" s="4" t="str">
        <x:v>否</x:v>
      </x:c>
      <x:c r="AA40" s="4" t="s">
        <x:v>172</x:v>
      </x:c>
      <x:c r="AB40" s="4" t="s">
        <x:v>172</x:v>
      </x:c>
      <x:c r="AC40" s="4" t="s">
        <x:v>172</x:v>
      </x:c>
      <x:c r="AD40" s="4" t="str">
        <x:v>终态：撤销</x:v>
      </x:c>
      <x:c r="AE40" s="4" t="str">
        <x:v>疑似连续调整</x:v>
      </x:c>
      <x:c r="AF40" s="4" t="s">
        <x:v>666</x:v>
      </x:c>
      <x:c r="AG40" s="4" t="s">
        <x:v>668</x:v>
      </x:c>
      <x:c r="AH40" s="4" t="s">
        <x:v>2476</x:v>
      </x:c>
      <x:c r="AI40" s="4" t="s">
        <x:v>169</x:v>
      </x:c>
      <x:c r="AJ40" s="4" t="str">
        <x:v>疑似连续调整</x:v>
      </x:c>
      <x:c r="AK40" s="4" t="s">
        <x:v>1830</x:v>
      </x:c>
      <x:c r="AL40" s="4" t="str">
        <x:v>条件委托已取消；算法编号1000002184894749；创建时间2026-06-20 21:49:02；撤销时间2026-06-20 21:49:17；是否触发否；周期关联等级STRONG_CONTEXT；取消/过期原因无法确认（已完成为不适用）。</x:v>
      </x:c>
      <x:c r="AM40" s="4" t="str">
        <x:v>否</x:v>
      </x:c>
      <x:c r="AN40" s="4" t="str"/>
      <x:c r="AO40" s="64" t="str">
        <x:v>1000002184894749</x:v>
      </x:c>
      <x:c r="AP40" s="4" t="s">
        <x:v>2220</x:v>
      </x:c>
      <x:c r="AQ40" s="4" t="str">
        <x:v>是</x:v>
      </x:c>
      <x:c r="AR40" s="4" t="s">
        <x:v>2428</x:v>
      </x:c>
      <x:c r="AS40" s="4" t="str">
        <x:v>/Users/luodaluo/Desktop/30天复盘原始数据/补充证据_历史委托条件委托截图/05_安卓端取消与过期完整生命周期/01_已取消/Screenshot_20260722_223026.jpg</x:v>
      </x:c>
      <x:c r="AT40" t="str">
        <x:v>撤销</x:v>
      </x:c>
      <x:c r="AU40" t="n">
        <x:v>15</x:v>
      </x:c>
      <x:c r="AV40" t="str">
        <x:v>STRONG_CONTEXT</x:v>
      </x:c>
      <x:c r="AW40" t="str">
        <x:v>无法确认</x:v>
      </x:c>
      <x:c r="AX40" t="str">
        <x:v>平台字段＋严格时间与仓位关系计算</x:v>
      </x:c>
    </x:row>
    <x:row r="41">
      <x:c r="A41" s="4" t="s">
        <x:v>76</x:v>
      </x:c>
      <x:c r="B41" s="4" t="s">
        <x:v>298</x:v>
      </x:c>
      <x:c r="C41" s="4" t="s">
        <x:v>2471</x:v>
      </x:c>
      <x:c r="D41" s="4" t="s">
        <x:v>669</x:v>
      </x:c>
      <x:c r="E41" s="65" t="n">
        <x:v>46193.57763888889</x:v>
      </x:c>
      <x:c r="F41" s="4" t="s">
        <x:v>2423</x:v>
      </x:c>
      <x:c r="G41" s="4" t="s">
        <x:v>2424</x:v>
      </x:c>
      <x:c r="H41" s="4" t="s">
        <x:v>1336</x:v>
      </x:c>
      <x:c r="I41" s="4" t="s">
        <x:v>1337</x:v>
      </x:c>
      <x:c r="J41" s="4" t="s">
        <x:v>2425</x:v>
      </x:c>
      <x:c r="K41" s="4" t="s">
        <x:v>203</x:v>
      </x:c>
      <x:c r="L41" s="4" t="s">
        <x:v>203</x:v>
      </x:c>
      <x:c r="M41" s="4" t="s">
        <x:v>172</x:v>
      </x:c>
      <x:c r="N41" s="4" t="s">
        <x:v>670</x:v>
      </x:c>
      <x:c r="O41" s="4" t="s">
        <x:v>107</x:v>
      </x:c>
      <x:c r="P41" s="4" t="s">
        <x:v>169</x:v>
      </x:c>
      <x:c r="Q41" s="4" t="s">
        <x:v>2427</x:v>
      </x:c>
      <x:c r="R41" s="4" t="s">
        <x:v>187</x:v>
      </x:c>
      <x:c r="S41" s="65"/>
      <x:c r="T41" s="4" t="str"/>
      <x:c r="U41" s="4" t="s">
        <x:v>172</x:v>
      </x:c>
      <x:c r="V41" s="4" t="s">
        <x:v>169</x:v>
      </x:c>
      <x:c r="W41" s="4" t="s">
        <x:v>169</x:v>
      </x:c>
      <x:c r="X41" s="4" t="s">
        <x:v>107</x:v>
      </x:c>
      <x:c r="Y41" s="4" t="s">
        <x:v>107</x:v>
      </x:c>
      <x:c r="Z41" s="4" t="str">
        <x:v>否</x:v>
      </x:c>
      <x:c r="AA41" s="4" t="s">
        <x:v>172</x:v>
      </x:c>
      <x:c r="AB41" s="4" t="s">
        <x:v>172</x:v>
      </x:c>
      <x:c r="AC41" s="4" t="s">
        <x:v>172</x:v>
      </x:c>
      <x:c r="AD41" s="4" t="str">
        <x:v>终态：撤销</x:v>
      </x:c>
      <x:c r="AE41" s="4" t="str">
        <x:v>疑似连续调整</x:v>
      </x:c>
      <x:c r="AF41" s="4" t="s">
        <x:v>668</x:v>
      </x:c>
      <x:c r="AG41" s="4" t="s">
        <x:v>670</x:v>
      </x:c>
      <x:c r="AH41" s="4" t="s">
        <x:v>2477</x:v>
      </x:c>
      <x:c r="AI41" s="4" t="s">
        <x:v>169</x:v>
      </x:c>
      <x:c r="AJ41" s="4" t="str">
        <x:v>疑似连续调整</x:v>
      </x:c>
      <x:c r="AK41" s="4" t="s">
        <x:v>1830</x:v>
      </x:c>
      <x:c r="AL41" s="4" t="str">
        <x:v>条件委托已取消；算法编号1000002184896419；创建时间2026-06-20 21:49:17；撤销时间2026-06-20 21:51:48；是否触发否；周期关联等级STRONG_CONTEXT；取消/过期原因无法确认（已完成为不适用）。</x:v>
      </x:c>
      <x:c r="AM41" s="4" t="str">
        <x:v>否</x:v>
      </x:c>
      <x:c r="AN41" s="4" t="str"/>
      <x:c r="AO41" s="64" t="str">
        <x:v>1000002184896419</x:v>
      </x:c>
      <x:c r="AP41" s="4" t="s">
        <x:v>2221</x:v>
      </x:c>
      <x:c r="AQ41" s="4" t="str">
        <x:v>是</x:v>
      </x:c>
      <x:c r="AR41" s="4" t="s">
        <x:v>2428</x:v>
      </x:c>
      <x:c r="AS41" s="4" t="str">
        <x:v>/Users/luodaluo/Desktop/30天复盘原始数据/补充证据_历史委托条件委托截图/05_安卓端取消与过期完整生命周期/01_已取消/Screenshot_20260722_223032.jpg</x:v>
      </x:c>
      <x:c r="AT41" t="str">
        <x:v>撤销</x:v>
      </x:c>
      <x:c r="AU41" t="n">
        <x:v>151</x:v>
      </x:c>
      <x:c r="AV41" t="str">
        <x:v>STRONG_CONTEXT</x:v>
      </x:c>
      <x:c r="AW41" t="str">
        <x:v>无法确认</x:v>
      </x:c>
      <x:c r="AX41" t="str">
        <x:v>平台字段＋严格时间与仓位关系计算</x:v>
      </x:c>
    </x:row>
    <x:row r="42">
      <x:c r="A42" s="4" t="s">
        <x:v>76</x:v>
      </x:c>
      <x:c r="B42" s="4" t="s">
        <x:v>632</x:v>
      </x:c>
      <x:c r="C42" s="4" t="s">
        <x:v>2471</x:v>
      </x:c>
      <x:c r="D42" s="4" t="s">
        <x:v>671</x:v>
      </x:c>
      <x:c r="E42" s="65" t="n">
        <x:v>46193.92099537037</x:v>
      </x:c>
      <x:c r="F42" s="4" t="s">
        <x:v>2423</x:v>
      </x:c>
      <x:c r="G42" s="4" t="s">
        <x:v>2424</x:v>
      </x:c>
      <x:c r="H42" s="4" t="s">
        <x:v>1336</x:v>
      </x:c>
      <x:c r="I42" s="4" t="s">
        <x:v>1337</x:v>
      </x:c>
      <x:c r="J42" s="4" t="s">
        <x:v>2425</x:v>
      </x:c>
      <x:c r="K42" s="4" t="s">
        <x:v>203</x:v>
      </x:c>
      <x:c r="L42" s="4" t="s">
        <x:v>203</x:v>
      </x:c>
      <x:c r="M42" s="4" t="s">
        <x:v>172</x:v>
      </x:c>
      <x:c r="N42" s="4" t="s">
        <x:v>672</x:v>
      </x:c>
      <x:c r="O42" s="4" t="s">
        <x:v>107</x:v>
      </x:c>
      <x:c r="P42" s="4" t="s">
        <x:v>169</x:v>
      </x:c>
      <x:c r="Q42" s="4" t="s">
        <x:v>2427</x:v>
      </x:c>
      <x:c r="R42" s="4" t="s">
        <x:v>187</x:v>
      </x:c>
      <x:c r="S42" s="65"/>
      <x:c r="T42" s="4" t="str"/>
      <x:c r="U42" s="4" t="s">
        <x:v>172</x:v>
      </x:c>
      <x:c r="V42" s="4" t="s">
        <x:v>169</x:v>
      </x:c>
      <x:c r="W42" s="4" t="s">
        <x:v>169</x:v>
      </x:c>
      <x:c r="X42" s="4" t="s">
        <x:v>107</x:v>
      </x:c>
      <x:c r="Y42" s="4" t="s">
        <x:v>107</x:v>
      </x:c>
      <x:c r="Z42" s="4" t="str">
        <x:v>否</x:v>
      </x:c>
      <x:c r="AA42" s="4" t="s">
        <x:v>172</x:v>
      </x:c>
      <x:c r="AB42" s="4" t="s">
        <x:v>172</x:v>
      </x:c>
      <x:c r="AC42" s="4" t="s">
        <x:v>172</x:v>
      </x:c>
      <x:c r="AD42" s="4" t="str">
        <x:v>终态：撤销</x:v>
      </x:c>
      <x:c r="AE42" s="4" t="str">
        <x:v>疑似连续调整</x:v>
      </x:c>
      <x:c r="AF42" s="4" t="s">
        <x:v>670</x:v>
      </x:c>
      <x:c r="AG42" s="4" t="s">
        <x:v>672</x:v>
      </x:c>
      <x:c r="AH42" s="4" t="s">
        <x:v>2478</x:v>
      </x:c>
      <x:c r="AI42" s="4" t="s">
        <x:v>169</x:v>
      </x:c>
      <x:c r="AJ42" s="4" t="str">
        <x:v>疑似连续调整</x:v>
      </x:c>
      <x:c r="AK42" s="4" t="s">
        <x:v>1830</x:v>
      </x:c>
      <x:c r="AL42" s="4" t="str">
        <x:v>条件委托已取消；算法编号1000002184911972；创建时间2026-06-20 21:51:48；撤销时间2026-06-21 06:06:14；是否触发否；周期关联等级STRONG_CONTEXT；取消/过期原因无法确认（已完成为不适用）。</x:v>
      </x:c>
      <x:c r="AM42" s="4" t="str">
        <x:v>否</x:v>
      </x:c>
      <x:c r="AN42" s="4" t="str"/>
      <x:c r="AO42" s="64" t="str">
        <x:v>1000002184911972</x:v>
      </x:c>
      <x:c r="AP42" s="4" t="s">
        <x:v>2222</x:v>
      </x:c>
      <x:c r="AQ42" s="4" t="str">
        <x:v>是</x:v>
      </x:c>
      <x:c r="AR42" s="4" t="s">
        <x:v>2428</x:v>
      </x:c>
      <x:c r="AS42" s="4" t="str">
        <x:v>/Users/luodaluo/Desktop/30天复盘原始数据/补充证据_历史委托条件委托截图/05_安卓端取消与过期完整生命周期/01_已取消/Screenshot_20260722_223039.jpg</x:v>
      </x:c>
      <x:c r="AT42" t="str">
        <x:v>撤销</x:v>
      </x:c>
      <x:c r="AU42" t="n">
        <x:v>29666</x:v>
      </x:c>
      <x:c r="AV42" t="str">
        <x:v>STRONG_CONTEXT</x:v>
      </x:c>
      <x:c r="AW42" t="str">
        <x:v>无法确认</x:v>
      </x:c>
      <x:c r="AX42" t="str">
        <x:v>平台字段＋严格时间与仓位关系计算</x:v>
      </x:c>
    </x:row>
    <x:row r="43">
      <x:c r="A43" s="4" t="s">
        <x:v>76</x:v>
      </x:c>
      <x:c r="B43" s="4" t="s">
        <x:v>1607</x:v>
      </x:c>
      <x:c r="C43" s="4" t="s">
        <x:v>2469</x:v>
      </x:c>
      <x:c r="D43" s="4" t="s">
        <x:v>673</x:v>
      </x:c>
      <x:c r="E43" s="65" t="n">
        <x:v>46193.92050925926</x:v>
      </x:c>
      <x:c r="F43" s="4" t="s">
        <x:v>2423</x:v>
      </x:c>
      <x:c r="G43" s="4" t="s">
        <x:v>2424</x:v>
      </x:c>
      <x:c r="H43" s="4" t="s">
        <x:v>1336</x:v>
      </x:c>
      <x:c r="I43" s="4" t="s">
        <x:v>1337</x:v>
      </x:c>
      <x:c r="J43" s="4" t="s">
        <x:v>2425</x:v>
      </x:c>
      <x:c r="K43" s="4" t="s">
        <x:v>1826</x:v>
      </x:c>
      <x:c r="L43" s="4" t="s">
        <x:v>205</x:v>
      </x:c>
      <x:c r="M43" s="4" t="s">
        <x:v>2426</x:v>
      </x:c>
      <x:c r="N43" s="4" t="s">
        <x:v>674</x:v>
      </x:c>
      <x:c r="O43" s="4" t="s">
        <x:v>107</x:v>
      </x:c>
      <x:c r="P43" s="4" t="s">
        <x:v>169</x:v>
      </x:c>
      <x:c r="Q43" s="4" t="s">
        <x:v>2427</x:v>
      </x:c>
      <x:c r="R43" s="4" t="s">
        <x:v>187</x:v>
      </x:c>
      <x:c r="S43" s="65"/>
      <x:c r="T43" s="4" t="str"/>
      <x:c r="U43" s="4" t="s">
        <x:v>172</x:v>
      </x:c>
      <x:c r="V43" s="4" t="s">
        <x:v>169</x:v>
      </x:c>
      <x:c r="W43" s="4" t="s">
        <x:v>169</x:v>
      </x:c>
      <x:c r="X43" s="4" t="s">
        <x:v>107</x:v>
      </x:c>
      <x:c r="Y43" s="4" t="s">
        <x:v>107</x:v>
      </x:c>
      <x:c r="Z43" s="4" t="str">
        <x:v>否</x:v>
      </x:c>
      <x:c r="AA43" s="4" t="s">
        <x:v>172</x:v>
      </x:c>
      <x:c r="AB43" s="4" t="s">
        <x:v>172</x:v>
      </x:c>
      <x:c r="AC43" s="4" t="s">
        <x:v>172</x:v>
      </x:c>
      <x:c r="AD43" s="4" t="str">
        <x:v>终态：撤销</x:v>
      </x:c>
      <x:c r="AE43" s="4" t="str">
        <x:v>疑似连续调整</x:v>
      </x:c>
      <x:c r="AF43" s="4" t="s">
        <x:v>664</x:v>
      </x:c>
      <x:c r="AG43" s="4" t="s">
        <x:v>674</x:v>
      </x:c>
      <x:c r="AH43" s="4" t="s">
        <x:v>2479</x:v>
      </x:c>
      <x:c r="AI43" s="4" t="s">
        <x:v>169</x:v>
      </x:c>
      <x:c r="AJ43" s="4" t="str">
        <x:v>疑似连续调整</x:v>
      </x:c>
      <x:c r="AK43" s="4" t="s">
        <x:v>1830</x:v>
      </x:c>
      <x:c r="AL43" s="4" t="str">
        <x:v>条件委托已取消；算法编号1000002185418032；创建时间2026-06-20 23:00:10；撤销时间2026-06-21 06:05:32；是否触发否；周期关联等级STRONG_CONTEXT；取消/过期原因无法确认（已完成为不适用）。</x:v>
      </x:c>
      <x:c r="AM43" s="4" t="str">
        <x:v>否</x:v>
      </x:c>
      <x:c r="AN43" s="4" t="str"/>
      <x:c r="AO43" s="64" t="str">
        <x:v>1000002185418032</x:v>
      </x:c>
      <x:c r="AP43" s="4" t="s">
        <x:v>2223</x:v>
      </x:c>
      <x:c r="AQ43" s="4" t="str">
        <x:v>是</x:v>
      </x:c>
      <x:c r="AR43" s="4" t="s">
        <x:v>2428</x:v>
      </x:c>
      <x:c r="AS43" s="4" t="str">
        <x:v>/Users/luodaluo/Desktop/30天复盘原始数据/补充证据_历史委托条件委托截图/05_安卓端取消与过期完整生命周期/01_已取消/Screenshot_20260722_223043.jpg</x:v>
      </x:c>
      <x:c r="AT43" t="str">
        <x:v>撤销</x:v>
      </x:c>
      <x:c r="AU43" t="n">
        <x:v>25522</x:v>
      </x:c>
      <x:c r="AV43" t="str">
        <x:v>STRONG_CONTEXT</x:v>
      </x:c>
      <x:c r="AW43" t="str">
        <x:v>无法确认</x:v>
      </x:c>
      <x:c r="AX43" t="str">
        <x:v>平台字段＋严格时间与仓位关系计算</x:v>
      </x:c>
    </x:row>
    <x:row r="44">
      <x:c r="A44" s="4" t="s">
        <x:v>76</x:v>
      </x:c>
      <x:c r="B44" s="4" t="s">
        <x:v>358</x:v>
      </x:c>
      <x:c r="C44" s="4" t="s">
        <x:v>2469</x:v>
      </x:c>
      <x:c r="D44" s="4" t="s">
        <x:v>678</x:v>
      </x:c>
      <x:c r="E44" s="65" t="n">
        <x:v>46193.92144675926</x:v>
      </x:c>
      <x:c r="F44" s="4" t="s">
        <x:v>2423</x:v>
      </x:c>
      <x:c r="G44" s="4" t="s">
        <x:v>2424</x:v>
      </x:c>
      <x:c r="H44" s="4" t="s">
        <x:v>1336</x:v>
      </x:c>
      <x:c r="I44" s="4" t="s">
        <x:v>1337</x:v>
      </x:c>
      <x:c r="J44" s="4" t="s">
        <x:v>2425</x:v>
      </x:c>
      <x:c r="K44" s="4" t="s">
        <x:v>1826</x:v>
      </x:c>
      <x:c r="L44" s="4" t="s">
        <x:v>205</x:v>
      </x:c>
      <x:c r="M44" s="4" t="s">
        <x:v>2426</x:v>
      </x:c>
      <x:c r="N44" s="4" t="s">
        <x:v>679</x:v>
      </x:c>
      <x:c r="O44" s="4" t="s">
        <x:v>107</x:v>
      </x:c>
      <x:c r="P44" s="4" t="s">
        <x:v>169</x:v>
      </x:c>
      <x:c r="Q44" s="4" t="s">
        <x:v>2427</x:v>
      </x:c>
      <x:c r="R44" s="4" t="s">
        <x:v>187</x:v>
      </x:c>
      <x:c r="S44" s="65"/>
      <x:c r="T44" s="4" t="str"/>
      <x:c r="U44" s="4" t="s">
        <x:v>172</x:v>
      </x:c>
      <x:c r="V44" s="4" t="s">
        <x:v>169</x:v>
      </x:c>
      <x:c r="W44" s="4" t="s">
        <x:v>169</x:v>
      </x:c>
      <x:c r="X44" s="4" t="s">
        <x:v>107</x:v>
      </x:c>
      <x:c r="Y44" s="4" t="s">
        <x:v>107</x:v>
      </x:c>
      <x:c r="Z44" s="4" t="str">
        <x:v>否</x:v>
      </x:c>
      <x:c r="AA44" s="4" t="s">
        <x:v>172</x:v>
      </x:c>
      <x:c r="AB44" s="4" t="s">
        <x:v>172</x:v>
      </x:c>
      <x:c r="AC44" s="4" t="s">
        <x:v>172</x:v>
      </x:c>
      <x:c r="AD44" s="4" t="str">
        <x:v>终态：撤销</x:v>
      </x:c>
      <x:c r="AE44" s="4" t="str">
        <x:v>疑似连续调整</x:v>
      </x:c>
      <x:c r="AF44" s="4" t="s">
        <x:v>674</x:v>
      </x:c>
      <x:c r="AG44" s="4" t="s">
        <x:v>679</x:v>
      </x:c>
      <x:c r="AH44" s="4" t="s">
        <x:v>2480</x:v>
      </x:c>
      <x:c r="AI44" s="4" t="s">
        <x:v>169</x:v>
      </x:c>
      <x:c r="AJ44" s="4" t="str">
        <x:v>疑似连续调整</x:v>
      </x:c>
      <x:c r="AK44" s="4" t="s">
        <x:v>1830</x:v>
      </x:c>
      <x:c r="AL44" s="4" t="str">
        <x:v>条件委托已取消；算法编号1000002187532521；创建时间2026-06-21 06:05:32；撤销时间2026-06-21 06:06:53；是否触发否；周期关联等级STRONG_CONTEXT；取消/过期原因无法确认（已完成为不适用）。</x:v>
      </x:c>
      <x:c r="AM44" s="4" t="str">
        <x:v>否</x:v>
      </x:c>
      <x:c r="AN44" s="4" t="str"/>
      <x:c r="AO44" s="64" t="str">
        <x:v>1000002187532521</x:v>
      </x:c>
      <x:c r="AP44" s="4" t="s">
        <x:v>2228</x:v>
      </x:c>
      <x:c r="AQ44" s="4" t="str">
        <x:v>是</x:v>
      </x:c>
      <x:c r="AR44" s="4" t="s">
        <x:v>2428</x:v>
      </x:c>
      <x:c r="AS44" s="4" t="str">
        <x:v>/Users/luodaluo/Desktop/30天复盘原始数据/补充证据_历史委托条件委托截图/05_安卓端取消与过期完整生命周期/01_已取消/Screenshot_20260722_223047.jpg</x:v>
      </x:c>
      <x:c r="AT44" t="str">
        <x:v>撤销</x:v>
      </x:c>
      <x:c r="AU44" t="n">
        <x:v>81</x:v>
      </x:c>
      <x:c r="AV44" t="str">
        <x:v>STRONG_CONTEXT</x:v>
      </x:c>
      <x:c r="AW44" t="str">
        <x:v>无法确认</x:v>
      </x:c>
      <x:c r="AX44" t="str">
        <x:v>平台字段＋严格时间与仓位关系计算</x:v>
      </x:c>
    </x:row>
    <x:row r="45">
      <x:c r="A45" s="4" t="s">
        <x:v>76</x:v>
      </x:c>
      <x:c r="B45" s="4" t="s">
        <x:v>1465</x:v>
      </x:c>
      <x:c r="C45" s="4" t="s">
        <x:v>2471</x:v>
      </x:c>
      <x:c r="D45" s="4" t="s">
        <x:v>680</x:v>
      </x:c>
      <x:c r="E45" s="65" t="n">
        <x:v>46193.93787037037</x:v>
      </x:c>
      <x:c r="F45" s="4" t="s">
        <x:v>2423</x:v>
      </x:c>
      <x:c r="G45" s="4" t="s">
        <x:v>2424</x:v>
      </x:c>
      <x:c r="H45" s="4" t="s">
        <x:v>1336</x:v>
      </x:c>
      <x:c r="I45" s="4" t="s">
        <x:v>1337</x:v>
      </x:c>
      <x:c r="J45" s="4" t="s">
        <x:v>2425</x:v>
      </x:c>
      <x:c r="K45" s="4" t="s">
        <x:v>203</x:v>
      </x:c>
      <x:c r="L45" s="4" t="s">
        <x:v>203</x:v>
      </x:c>
      <x:c r="M45" s="4" t="s">
        <x:v>172</x:v>
      </x:c>
      <x:c r="N45" s="4" t="s">
        <x:v>681</x:v>
      </x:c>
      <x:c r="O45" s="4" t="s">
        <x:v>107</x:v>
      </x:c>
      <x:c r="P45" s="4" t="s">
        <x:v>169</x:v>
      </x:c>
      <x:c r="Q45" s="4" t="s">
        <x:v>2427</x:v>
      </x:c>
      <x:c r="R45" s="4" t="s">
        <x:v>236</x:v>
      </x:c>
      <x:c r="S45" s="65"/>
      <x:c r="T45" s="4" t="str"/>
      <x:c r="U45" s="4" t="s">
        <x:v>172</x:v>
      </x:c>
      <x:c r="V45" s="4" t="s">
        <x:v>169</x:v>
      </x:c>
      <x:c r="W45" s="4" t="s">
        <x:v>169</x:v>
      </x:c>
      <x:c r="X45" s="4" t="s">
        <x:v>107</x:v>
      </x:c>
      <x:c r="Y45" s="4" t="s">
        <x:v>107</x:v>
      </x:c>
      <x:c r="Z45" s="4" t="str">
        <x:v>否</x:v>
      </x:c>
      <x:c r="AA45" s="4" t="s">
        <x:v>172</x:v>
      </x:c>
      <x:c r="AB45" s="4" t="s">
        <x:v>172</x:v>
      </x:c>
      <x:c r="AC45" s="4" t="s">
        <x:v>172</x:v>
      </x:c>
      <x:c r="AD45" s="4" t="str">
        <x:v>终态：过期</x:v>
      </x:c>
      <x:c r="AE45" s="4" t="str">
        <x:v>疑似连续调整</x:v>
      </x:c>
      <x:c r="AF45" s="4" t="s">
        <x:v>672</x:v>
      </x:c>
      <x:c r="AG45" s="4" t="s">
        <x:v>681</x:v>
      </x:c>
      <x:c r="AH45" s="4" t="s">
        <x:v>2481</x:v>
      </x:c>
      <x:c r="AI45" s="4" t="s">
        <x:v>169</x:v>
      </x:c>
      <x:c r="AJ45" s="4" t="str">
        <x:v>疑似连续调整</x:v>
      </x:c>
      <x:c r="AK45" s="4" t="s">
        <x:v>1830</x:v>
      </x:c>
      <x:c r="AL45" s="4" t="str">
        <x:v>条件委托已过期；算法编号1000002187537231；创建时间2026-06-21 06:06:14；过期时间2026-06-21 06:30:32；是否触发否；周期关联等级STRONG_CONTEXT；取消/过期原因无法确认（已完成为不适用）。</x:v>
      </x:c>
      <x:c r="AM45" s="4" t="str">
        <x:v>否</x:v>
      </x:c>
      <x:c r="AN45" s="4" t="str"/>
      <x:c r="AO45" s="64" t="str">
        <x:v>1000002187537231</x:v>
      </x:c>
      <x:c r="AP45" s="4" t="s">
        <x:v>2229</x:v>
      </x:c>
      <x:c r="AQ45" s="4" t="str">
        <x:v>是</x:v>
      </x:c>
      <x:c r="AR45" s="4" t="s">
        <x:v>2428</x:v>
      </x:c>
      <x:c r="AS45" s="4" t="str">
        <x:v>/Users/luodaluo/Desktop/30天复盘原始数据/补充证据_历史委托条件委托截图/05_安卓端取消与过期完整生命周期/02_已过期/Screenshot_20260722_201816.jpg</x:v>
      </x:c>
      <x:c r="AT45" t="str">
        <x:v>过期</x:v>
      </x:c>
      <x:c r="AU45" t="n">
        <x:v>1458</x:v>
      </x:c>
      <x:c r="AV45" t="str">
        <x:v>STRONG_CONTEXT</x:v>
      </x:c>
      <x:c r="AW45" t="str">
        <x:v>无法确认</x:v>
      </x:c>
      <x:c r="AX45" t="str">
        <x:v>平台字段＋严格时间与仓位关系计算</x:v>
      </x:c>
    </x:row>
    <x:row r="46">
      <x:c r="A46" s="4" t="s">
        <x:v>76</x:v>
      </x:c>
      <x:c r="B46" s="4" t="s">
        <x:v>1464</x:v>
      </x:c>
      <x:c r="C46" s="4" t="s">
        <x:v>2469</x:v>
      </x:c>
      <x:c r="D46" s="4" t="s">
        <x:v>682</x:v>
      </x:c>
      <x:c r="E46" s="65" t="n">
        <x:v>46193.92780092593</x:v>
      </x:c>
      <x:c r="F46" s="4" t="s">
        <x:v>2423</x:v>
      </x:c>
      <x:c r="G46" s="4" t="s">
        <x:v>2424</x:v>
      </x:c>
      <x:c r="H46" s="4" t="s">
        <x:v>1336</x:v>
      </x:c>
      <x:c r="I46" s="4" t="s">
        <x:v>1337</x:v>
      </x:c>
      <x:c r="J46" s="4" t="s">
        <x:v>2425</x:v>
      </x:c>
      <x:c r="K46" s="4" t="s">
        <x:v>1826</x:v>
      </x:c>
      <x:c r="L46" s="4" t="s">
        <x:v>205</x:v>
      </x:c>
      <x:c r="M46" s="4" t="s">
        <x:v>2426</x:v>
      </x:c>
      <x:c r="N46" s="4" t="s">
        <x:v>683</x:v>
      </x:c>
      <x:c r="O46" s="4" t="s">
        <x:v>107</x:v>
      </x:c>
      <x:c r="P46" s="4" t="s">
        <x:v>169</x:v>
      </x:c>
      <x:c r="Q46" s="4" t="s">
        <x:v>2427</x:v>
      </x:c>
      <x:c r="R46" s="4" t="s">
        <x:v>187</x:v>
      </x:c>
      <x:c r="S46" s="65"/>
      <x:c r="T46" s="4" t="str"/>
      <x:c r="U46" s="4" t="s">
        <x:v>172</x:v>
      </x:c>
      <x:c r="V46" s="4" t="s">
        <x:v>169</x:v>
      </x:c>
      <x:c r="W46" s="4" t="s">
        <x:v>169</x:v>
      </x:c>
      <x:c r="X46" s="4" t="s">
        <x:v>107</x:v>
      </x:c>
      <x:c r="Y46" s="4" t="s">
        <x:v>107</x:v>
      </x:c>
      <x:c r="Z46" s="4" t="str">
        <x:v>否</x:v>
      </x:c>
      <x:c r="AA46" s="4" t="s">
        <x:v>172</x:v>
      </x:c>
      <x:c r="AB46" s="4" t="s">
        <x:v>172</x:v>
      </x:c>
      <x:c r="AC46" s="4" t="s">
        <x:v>172</x:v>
      </x:c>
      <x:c r="AD46" s="4" t="str">
        <x:v>终态：撤销</x:v>
      </x:c>
      <x:c r="AE46" s="4" t="str">
        <x:v>疑似连续调整</x:v>
      </x:c>
      <x:c r="AF46" s="4" t="s">
        <x:v>679</x:v>
      </x:c>
      <x:c r="AG46" s="4" t="s">
        <x:v>683</x:v>
      </x:c>
      <x:c r="AH46" s="4" t="s">
        <x:v>2482</x:v>
      </x:c>
      <x:c r="AI46" s="4" t="s">
        <x:v>169</x:v>
      </x:c>
      <x:c r="AJ46" s="4" t="str">
        <x:v>疑似连续调整</x:v>
      </x:c>
      <x:c r="AK46" s="4" t="s">
        <x:v>1830</x:v>
      </x:c>
      <x:c r="AL46" s="4" t="str">
        <x:v>条件委托已取消；算法编号1000002187541581；创建时间2026-06-21 06:06:53；撤销时间2026-06-21 06:16:02；是否触发否；周期关联等级STRONG_CONTEXT；取消/过期原因无法确认（已完成为不适用）。</x:v>
      </x:c>
      <x:c r="AM46" s="4" t="str">
        <x:v>否</x:v>
      </x:c>
      <x:c r="AN46" s="4" t="str"/>
      <x:c r="AO46" s="64" t="str">
        <x:v>1000002187541581</x:v>
      </x:c>
      <x:c r="AP46" s="4" t="s">
        <x:v>2230</x:v>
      </x:c>
      <x:c r="AQ46" s="4" t="str">
        <x:v>是</x:v>
      </x:c>
      <x:c r="AR46" s="4" t="s">
        <x:v>2428</x:v>
      </x:c>
      <x:c r="AS46" s="4" t="str">
        <x:v>/Users/luodaluo/Desktop/30天复盘原始数据/补充证据_历史委托条件委托截图/05_安卓端取消与过期完整生命周期/01_已取消/Screenshot_20260722_223053.jpg</x:v>
      </x:c>
      <x:c r="AT46" t="str">
        <x:v>撤销</x:v>
      </x:c>
      <x:c r="AU46" t="n">
        <x:v>549</x:v>
      </x:c>
      <x:c r="AV46" t="str">
        <x:v>STRONG_CONTEXT</x:v>
      </x:c>
      <x:c r="AW46" t="str">
        <x:v>无法确认</x:v>
      </x:c>
      <x:c r="AX46" t="str">
        <x:v>平台字段＋严格时间与仓位关系计算</x:v>
      </x:c>
    </x:row>
    <x:row r="47">
      <x:c r="A47" s="4" t="s">
        <x:v>76</x:v>
      </x:c>
      <x:c r="B47" s="4" t="s">
        <x:v>638</x:v>
      </x:c>
      <x:c r="C47" s="4" t="s">
        <x:v>2469</x:v>
      </x:c>
      <x:c r="D47" s="4" t="s">
        <x:v>687</x:v>
      </x:c>
      <x:c r="E47" s="65" t="n">
        <x:v>46193.93787037037</x:v>
      </x:c>
      <x:c r="F47" s="4" t="s">
        <x:v>2423</x:v>
      </x:c>
      <x:c r="G47" s="4" t="s">
        <x:v>2424</x:v>
      </x:c>
      <x:c r="H47" s="4" t="s">
        <x:v>1336</x:v>
      </x:c>
      <x:c r="I47" s="4" t="s">
        <x:v>1337</x:v>
      </x:c>
      <x:c r="J47" s="4" t="s">
        <x:v>2425</x:v>
      </x:c>
      <x:c r="K47" s="4" t="s">
        <x:v>1826</x:v>
      </x:c>
      <x:c r="L47" s="4" t="s">
        <x:v>205</x:v>
      </x:c>
      <x:c r="M47" s="4" t="s">
        <x:v>2426</x:v>
      </x:c>
      <x:c r="N47" s="4" t="s">
        <x:v>688</x:v>
      </x:c>
      <x:c r="O47" s="4" t="s">
        <x:v>107</x:v>
      </x:c>
      <x:c r="P47" s="4" t="s">
        <x:v>169</x:v>
      </x:c>
      <x:c r="Q47" s="4" t="s">
        <x:v>2427</x:v>
      </x:c>
      <x:c r="R47" s="4" t="s">
        <x:v>236</x:v>
      </x:c>
      <x:c r="S47" s="65"/>
      <x:c r="T47" s="4" t="str"/>
      <x:c r="U47" s="4" t="s">
        <x:v>172</x:v>
      </x:c>
      <x:c r="V47" s="4" t="s">
        <x:v>169</x:v>
      </x:c>
      <x:c r="W47" s="4" t="s">
        <x:v>169</x:v>
      </x:c>
      <x:c r="X47" s="4" t="s">
        <x:v>107</x:v>
      </x:c>
      <x:c r="Y47" s="4" t="s">
        <x:v>107</x:v>
      </x:c>
      <x:c r="Z47" s="4" t="str">
        <x:v>否</x:v>
      </x:c>
      <x:c r="AA47" s="4" t="s">
        <x:v>172</x:v>
      </x:c>
      <x:c r="AB47" s="4" t="s">
        <x:v>172</x:v>
      </x:c>
      <x:c r="AC47" s="4" t="s">
        <x:v>172</x:v>
      </x:c>
      <x:c r="AD47" s="4" t="str">
        <x:v>终态：过期</x:v>
      </x:c>
      <x:c r="AE47" s="4" t="str">
        <x:v>疑似连续调整</x:v>
      </x:c>
      <x:c r="AF47" s="4" t="s">
        <x:v>683</x:v>
      </x:c>
      <x:c r="AG47" s="4" t="s">
        <x:v>688</x:v>
      </x:c>
      <x:c r="AH47" s="4" t="s">
        <x:v>2483</x:v>
      </x:c>
      <x:c r="AI47" s="4" t="s">
        <x:v>169</x:v>
      </x:c>
      <x:c r="AJ47" s="4" t="str">
        <x:v>疑似连续调整</x:v>
      </x:c>
      <x:c r="AK47" s="4" t="s">
        <x:v>1830</x:v>
      </x:c>
      <x:c r="AL47" s="4" t="str">
        <x:v>条件委托已过期；算法编号1000002187598811；创建时间2026-06-21 06:16:02；过期时间2026-06-21 06:30:32；是否触发否；周期关联等级STRONG_CONTEXT；取消/过期原因无法确认（已完成为不适用）。</x:v>
      </x:c>
      <x:c r="AM47" s="4" t="str">
        <x:v>否</x:v>
      </x:c>
      <x:c r="AN47" s="4" t="str"/>
      <x:c r="AO47" s="64" t="str">
        <x:v>1000002187598811</x:v>
      </x:c>
      <x:c r="AP47" s="4" t="s">
        <x:v>2233</x:v>
      </x:c>
      <x:c r="AQ47" s="4" t="str">
        <x:v>是</x:v>
      </x:c>
      <x:c r="AR47" s="4" t="s">
        <x:v>2428</x:v>
      </x:c>
      <x:c r="AS47" s="4" t="str">
        <x:v>/Users/luodaluo/Desktop/30天复盘原始数据/补充证据_历史委托条件委托截图/05_安卓端取消与过期完整生命周期/02_已过期/Screenshot_20260722_201822.jpg</x:v>
      </x:c>
      <x:c r="AT47" t="str">
        <x:v>过期</x:v>
      </x:c>
      <x:c r="AU47" t="n">
        <x:v>870</x:v>
      </x:c>
      <x:c r="AV47" t="str">
        <x:v>STRONG_CONTEXT</x:v>
      </x:c>
      <x:c r="AW47" t="str">
        <x:v>无法确认</x:v>
      </x:c>
      <x:c r="AX47" t="str">
        <x:v>平台字段＋严格时间与仓位关系计算</x:v>
      </x:c>
    </x:row>
    <x:row r="48">
      <x:c r="A48" s="4" t="s">
        <x:v>74</x:v>
      </x:c>
      <x:c r="B48" s="4" t="s">
        <x:v>200</x:v>
      </x:c>
      <x:c r="C48" s="4" t="s">
        <x:v>2484</x:v>
      </x:c>
      <x:c r="D48" s="4" t="s">
        <x:v>504</x:v>
      </x:c>
      <x:c r="E48" s="65" t="n">
        <x:v>46190.617800925924</x:v>
      </x:c>
      <x:c r="F48" s="4" t="s">
        <x:v>2423</x:v>
      </x:c>
      <x:c r="G48" s="4" t="s">
        <x:v>2424</x:v>
      </x:c>
      <x:c r="H48" s="4" t="s">
        <x:v>1336</x:v>
      </x:c>
      <x:c r="I48" s="4" t="s">
        <x:v>1337</x:v>
      </x:c>
      <x:c r="J48" s="4" t="s">
        <x:v>2425</x:v>
      </x:c>
      <x:c r="K48" s="4" t="s">
        <x:v>203</x:v>
      </x:c>
      <x:c r="L48" s="4" t="s">
        <x:v>203</x:v>
      </x:c>
      <x:c r="M48" s="4" t="s">
        <x:v>172</x:v>
      </x:c>
      <x:c r="N48" s="4" t="s">
        <x:v>505</x:v>
      </x:c>
      <x:c r="O48" s="4" t="s">
        <x:v>107</x:v>
      </x:c>
      <x:c r="P48" s="4" t="s">
        <x:v>169</x:v>
      </x:c>
      <x:c r="Q48" s="4" t="s">
        <x:v>2427</x:v>
      </x:c>
      <x:c r="R48" s="4" t="s">
        <x:v>187</x:v>
      </x:c>
      <x:c r="S48" s="65"/>
      <x:c r="T48" s="4" t="str"/>
      <x:c r="U48" s="4" t="s">
        <x:v>172</x:v>
      </x:c>
      <x:c r="V48" s="4" t="s">
        <x:v>169</x:v>
      </x:c>
      <x:c r="W48" s="4" t="s">
        <x:v>169</x:v>
      </x:c>
      <x:c r="X48" s="4" t="s">
        <x:v>107</x:v>
      </x:c>
      <x:c r="Y48" s="4" t="s">
        <x:v>107</x:v>
      </x:c>
      <x:c r="Z48" s="4" t="str">
        <x:v>否</x:v>
      </x:c>
      <x:c r="AA48" s="4" t="s">
        <x:v>172</x:v>
      </x:c>
      <x:c r="AB48" s="4" t="s">
        <x:v>172</x:v>
      </x:c>
      <x:c r="AC48" s="4" t="s">
        <x:v>172</x:v>
      </x:c>
      <x:c r="AD48" s="4" t="str">
        <x:v>终态：撤销</x:v>
      </x:c>
      <x:c r="AE48" s="4" t="str">
        <x:v>疑似连续调整</x:v>
      </x:c>
      <x:c r="AF48" s="4" t="s">
        <x:v>107</x:v>
      </x:c>
      <x:c r="AG48" s="4" t="s">
        <x:v>505</x:v>
      </x:c>
      <x:c r="AH48" s="4" t="s">
        <x:v>107</x:v>
      </x:c>
      <x:c r="AI48" s="4" t="s">
        <x:v>107</x:v>
      </x:c>
      <x:c r="AJ48" s="4" t="str">
        <x:v>疑似连续调整</x:v>
      </x:c>
      <x:c r="AK48" s="4" t="s">
        <x:v>1830</x:v>
      </x:c>
      <x:c r="AL48" s="4" t="str">
        <x:v>条件委托已取消；算法编号1000001993332451；创建时间2026-06-17 21:39:24；撤销时间2026-06-17 22:49:38；是否触发否；周期关联等级STRONG_CONTEXT；取消/过期原因无法确认（已完成为不适用）。</x:v>
      </x:c>
      <x:c r="AM48" s="4" t="str">
        <x:v>否</x:v>
      </x:c>
      <x:c r="AN48" s="4" t="str"/>
      <x:c r="AO48" s="64" t="str">
        <x:v>1000001993332451</x:v>
      </x:c>
      <x:c r="AP48" s="4" t="s">
        <x:v>2278</x:v>
      </x:c>
      <x:c r="AQ48" s="4" t="str">
        <x:v>是</x:v>
      </x:c>
      <x:c r="AR48" s="4" t="s">
        <x:v>2428</x:v>
      </x:c>
      <x:c r="AS48" s="4" t="str">
        <x:v>/Users/luodaluo/Desktop/30天复盘原始数据/补充证据_历史委托条件委托截图/05_安卓端取消与过期完整生命周期/01_已取消/Screenshot_20260722_222207.jpg</x:v>
      </x:c>
      <x:c r="AT48" t="str">
        <x:v>撤销</x:v>
      </x:c>
      <x:c r="AU48" t="n">
        <x:v>4214</x:v>
      </x:c>
      <x:c r="AV48" t="str">
        <x:v>STRONG_CONTEXT</x:v>
      </x:c>
      <x:c r="AW48" t="str">
        <x:v>无法确认</x:v>
      </x:c>
      <x:c r="AX48" t="str">
        <x:v>平台字段＋严格时间与仓位关系计算</x:v>
      </x:c>
    </x:row>
    <x:row r="49">
      <x:c r="A49" s="4" t="s">
        <x:v>74</x:v>
      </x:c>
      <x:c r="B49" s="4" t="s">
        <x:v>1353</x:v>
      </x:c>
      <x:c r="C49" s="4" t="s">
        <x:v>2485</x:v>
      </x:c>
      <x:c r="D49" s="4" t="s">
        <x:v>504</x:v>
      </x:c>
      <x:c r="E49" s="65" t="n">
        <x:v>46190.617800925924</x:v>
      </x:c>
      <x:c r="F49" s="4" t="s">
        <x:v>2423</x:v>
      </x:c>
      <x:c r="G49" s="4" t="s">
        <x:v>2424</x:v>
      </x:c>
      <x:c r="H49" s="4" t="s">
        <x:v>1336</x:v>
      </x:c>
      <x:c r="I49" s="4" t="s">
        <x:v>1337</x:v>
      </x:c>
      <x:c r="J49" s="4" t="s">
        <x:v>2425</x:v>
      </x:c>
      <x:c r="K49" s="4" t="s">
        <x:v>1826</x:v>
      </x:c>
      <x:c r="L49" s="4" t="s">
        <x:v>205</x:v>
      </x:c>
      <x:c r="M49" s="4" t="s">
        <x:v>2426</x:v>
      </x:c>
      <x:c r="N49" s="4" t="s">
        <x:v>506</x:v>
      </x:c>
      <x:c r="O49" s="4" t="s">
        <x:v>107</x:v>
      </x:c>
      <x:c r="P49" s="4" t="s">
        <x:v>169</x:v>
      </x:c>
      <x:c r="Q49" s="4" t="s">
        <x:v>2427</x:v>
      </x:c>
      <x:c r="R49" s="4" t="s">
        <x:v>187</x:v>
      </x:c>
      <x:c r="S49" s="65"/>
      <x:c r="T49" s="4" t="str"/>
      <x:c r="U49" s="4" t="s">
        <x:v>172</x:v>
      </x:c>
      <x:c r="V49" s="4" t="s">
        <x:v>169</x:v>
      </x:c>
      <x:c r="W49" s="4" t="s">
        <x:v>169</x:v>
      </x:c>
      <x:c r="X49" s="4" t="s">
        <x:v>107</x:v>
      </x:c>
      <x:c r="Y49" s="4" t="s">
        <x:v>107</x:v>
      </x:c>
      <x:c r="Z49" s="4" t="str">
        <x:v>否</x:v>
      </x:c>
      <x:c r="AA49" s="4" t="s">
        <x:v>172</x:v>
      </x:c>
      <x:c r="AB49" s="4" t="s">
        <x:v>172</x:v>
      </x:c>
      <x:c r="AC49" s="4" t="s">
        <x:v>172</x:v>
      </x:c>
      <x:c r="AD49" s="4" t="str">
        <x:v>终态：撤销</x:v>
      </x:c>
      <x:c r="AE49" s="4" t="str">
        <x:v>疑似连续调整</x:v>
      </x:c>
      <x:c r="AF49" s="4" t="s">
        <x:v>107</x:v>
      </x:c>
      <x:c r="AG49" s="4" t="s">
        <x:v>506</x:v>
      </x:c>
      <x:c r="AH49" s="4" t="s">
        <x:v>107</x:v>
      </x:c>
      <x:c r="AI49" s="4" t="s">
        <x:v>107</x:v>
      </x:c>
      <x:c r="AJ49" s="4" t="str">
        <x:v>疑似连续调整</x:v>
      </x:c>
      <x:c r="AK49" s="4" t="s">
        <x:v>1830</x:v>
      </x:c>
      <x:c r="AL49" s="4" t="str">
        <x:v>条件委托已取消；算法编号1000001993332450；创建时间2026-06-17 21:39:24；撤销时间2026-06-17 22:49:38；是否触发否；周期关联等级STRONG_CONTEXT；取消/过期原因无法确认（已完成为不适用）。</x:v>
      </x:c>
      <x:c r="AM49" s="4" t="str">
        <x:v>否</x:v>
      </x:c>
      <x:c r="AN49" s="4" t="str"/>
      <x:c r="AO49" s="64" t="str">
        <x:v>1000001993332450</x:v>
      </x:c>
      <x:c r="AP49" s="4" t="s">
        <x:v>2279</x:v>
      </x:c>
      <x:c r="AQ49" s="4" t="str">
        <x:v>是</x:v>
      </x:c>
      <x:c r="AR49" s="4" t="s">
        <x:v>2428</x:v>
      </x:c>
      <x:c r="AS49" s="4" t="str">
        <x:v>/Users/luodaluo/Desktop/30天复盘原始数据/补充证据_历史委托条件委托截图/05_安卓端取消与过期完整生命周期/01_已取消/Screenshot_20260722_222202.jpg</x:v>
      </x:c>
      <x:c r="AT49" t="str">
        <x:v>撤销</x:v>
      </x:c>
      <x:c r="AU49" t="n">
        <x:v>4214</x:v>
      </x:c>
      <x:c r="AV49" t="str">
        <x:v>STRONG_CONTEXT</x:v>
      </x:c>
      <x:c r="AW49" t="str">
        <x:v>无法确认</x:v>
      </x:c>
      <x:c r="AX49" t="str">
        <x:v>平台字段＋严格时间与仓位关系计算</x:v>
      </x:c>
    </x:row>
    <x:row r="50">
      <x:c r="A50" s="4" t="s">
        <x:v>74</x:v>
      </x:c>
      <x:c r="B50" s="4" t="s">
        <x:v>1466</x:v>
      </x:c>
      <x:c r="C50" s="4" t="s">
        <x:v>2485</x:v>
      </x:c>
      <x:c r="D50" s="4" t="s">
        <x:v>513</x:v>
      </x:c>
      <x:c r="E50" s="65" t="n">
        <x:v>46190.65537037037</x:v>
      </x:c>
      <x:c r="F50" s="4" t="s">
        <x:v>2423</x:v>
      </x:c>
      <x:c r="G50" s="4" t="s">
        <x:v>2424</x:v>
      </x:c>
      <x:c r="H50" s="4" t="s">
        <x:v>1336</x:v>
      </x:c>
      <x:c r="I50" s="4" t="s">
        <x:v>1337</x:v>
      </x:c>
      <x:c r="J50" s="4" t="s">
        <x:v>2425</x:v>
      </x:c>
      <x:c r="K50" s="4" t="s">
        <x:v>1826</x:v>
      </x:c>
      <x:c r="L50" s="4" t="s">
        <x:v>205</x:v>
      </x:c>
      <x:c r="M50" s="4" t="s">
        <x:v>2426</x:v>
      </x:c>
      <x:c r="N50" s="4" t="s">
        <x:v>514</x:v>
      </x:c>
      <x:c r="O50" s="4" t="s">
        <x:v>107</x:v>
      </x:c>
      <x:c r="P50" s="4" t="s">
        <x:v>169</x:v>
      </x:c>
      <x:c r="Q50" s="4" t="s">
        <x:v>2427</x:v>
      </x:c>
      <x:c r="R50" s="4" t="s">
        <x:v>187</x:v>
      </x:c>
      <x:c r="S50" s="65"/>
      <x:c r="T50" s="4" t="str"/>
      <x:c r="U50" s="4" t="s">
        <x:v>172</x:v>
      </x:c>
      <x:c r="V50" s="4" t="s">
        <x:v>169</x:v>
      </x:c>
      <x:c r="W50" s="4" t="s">
        <x:v>169</x:v>
      </x:c>
      <x:c r="X50" s="4" t="s">
        <x:v>107</x:v>
      </x:c>
      <x:c r="Y50" s="4" t="s">
        <x:v>107</x:v>
      </x:c>
      <x:c r="Z50" s="4" t="str">
        <x:v>否</x:v>
      </x:c>
      <x:c r="AA50" s="4" t="s">
        <x:v>172</x:v>
      </x:c>
      <x:c r="AB50" s="4" t="s">
        <x:v>172</x:v>
      </x:c>
      <x:c r="AC50" s="4" t="s">
        <x:v>172</x:v>
      </x:c>
      <x:c r="AD50" s="4" t="str">
        <x:v>终态：撤销</x:v>
      </x:c>
      <x:c r="AE50" s="4" t="str">
        <x:v>疑似连续调整</x:v>
      </x:c>
      <x:c r="AF50" s="4" t="s">
        <x:v>506</x:v>
      </x:c>
      <x:c r="AG50" s="4" t="s">
        <x:v>514</x:v>
      </x:c>
      <x:c r="AH50" s="4" t="s">
        <x:v>2486</x:v>
      </x:c>
      <x:c r="AI50" s="4" t="s">
        <x:v>169</x:v>
      </x:c>
      <x:c r="AJ50" s="4" t="str">
        <x:v>疑似连续调整</x:v>
      </x:c>
      <x:c r="AK50" s="4" t="s">
        <x:v>1830</x:v>
      </x:c>
      <x:c r="AL50" s="4" t="str">
        <x:v>条件委托已取消；算法编号1000001993957176；创建时间2026-06-17 22:49:38；撤销时间2026-06-17 23:43:44；是否触发否；周期关联等级STRONG_CONTEXT；取消/过期原因无法确认（已完成为不适用）。</x:v>
      </x:c>
      <x:c r="AM50" s="4" t="str">
        <x:v>否</x:v>
      </x:c>
      <x:c r="AN50" s="4" t="str"/>
      <x:c r="AO50" s="64" t="str">
        <x:v>1000001993957176</x:v>
      </x:c>
      <x:c r="AP50" s="4" t="s">
        <x:v>2289</x:v>
      </x:c>
      <x:c r="AQ50" s="4" t="str">
        <x:v>是</x:v>
      </x:c>
      <x:c r="AR50" s="4" t="s">
        <x:v>2428</x:v>
      </x:c>
      <x:c r="AS50" s="4" t="str">
        <x:v>/Users/luodaluo/Desktop/30天复盘原始数据/补充证据_历史委托条件委托截图/05_安卓端取消与过期完整生命周期/01_已取消/Screenshot_20260722_222218.jpg</x:v>
      </x:c>
      <x:c r="AT50" t="str">
        <x:v>撤销</x:v>
      </x:c>
      <x:c r="AU50" t="n">
        <x:v>3246</x:v>
      </x:c>
      <x:c r="AV50" t="str">
        <x:v>STRONG_CONTEXT</x:v>
      </x:c>
      <x:c r="AW50" t="str">
        <x:v>无法确认</x:v>
      </x:c>
      <x:c r="AX50" t="str">
        <x:v>平台字段＋严格时间与仓位关系计算</x:v>
      </x:c>
    </x:row>
    <x:row r="51">
      <x:c r="A51" s="4" t="s">
        <x:v>74</x:v>
      </x:c>
      <x:c r="B51" s="4" t="s">
        <x:v>218</x:v>
      </x:c>
      <x:c r="C51" s="4" t="s">
        <x:v>2484</x:v>
      </x:c>
      <x:c r="D51" s="4" t="s">
        <x:v>513</x:v>
      </x:c>
      <x:c r="E51" s="65" t="n">
        <x:v>46190.66685185185</x:v>
      </x:c>
      <x:c r="F51" s="4" t="s">
        <x:v>2423</x:v>
      </x:c>
      <x:c r="G51" s="4" t="s">
        <x:v>2424</x:v>
      </x:c>
      <x:c r="H51" s="4" t="s">
        <x:v>1336</x:v>
      </x:c>
      <x:c r="I51" s="4" t="s">
        <x:v>1337</x:v>
      </x:c>
      <x:c r="J51" s="4" t="s">
        <x:v>2425</x:v>
      </x:c>
      <x:c r="K51" s="4" t="s">
        <x:v>203</x:v>
      </x:c>
      <x:c r="L51" s="4" t="s">
        <x:v>203</x:v>
      </x:c>
      <x:c r="M51" s="4" t="s">
        <x:v>172</x:v>
      </x:c>
      <x:c r="N51" s="4" t="s">
        <x:v>409</x:v>
      </x:c>
      <x:c r="O51" s="4" t="s">
        <x:v>107</x:v>
      </x:c>
      <x:c r="P51" s="4" t="s">
        <x:v>169</x:v>
      </x:c>
      <x:c r="Q51" s="4" t="s">
        <x:v>2427</x:v>
      </x:c>
      <x:c r="R51" s="4" t="s">
        <x:v>187</x:v>
      </x:c>
      <x:c r="S51" s="65"/>
      <x:c r="T51" s="4" t="str"/>
      <x:c r="U51" s="4" t="s">
        <x:v>172</x:v>
      </x:c>
      <x:c r="V51" s="4" t="s">
        <x:v>169</x:v>
      </x:c>
      <x:c r="W51" s="4" t="s">
        <x:v>169</x:v>
      </x:c>
      <x:c r="X51" s="4" t="s">
        <x:v>107</x:v>
      </x:c>
      <x:c r="Y51" s="4" t="s">
        <x:v>107</x:v>
      </x:c>
      <x:c r="Z51" s="4" t="str">
        <x:v>否</x:v>
      </x:c>
      <x:c r="AA51" s="4" t="s">
        <x:v>172</x:v>
      </x:c>
      <x:c r="AB51" s="4" t="s">
        <x:v>172</x:v>
      </x:c>
      <x:c r="AC51" s="4" t="s">
        <x:v>172</x:v>
      </x:c>
      <x:c r="AD51" s="4" t="str">
        <x:v>终态：撤销</x:v>
      </x:c>
      <x:c r="AE51" s="4" t="str">
        <x:v>疑似连续调整</x:v>
      </x:c>
      <x:c r="AF51" s="4" t="s">
        <x:v>505</x:v>
      </x:c>
      <x:c r="AG51" s="4" t="s">
        <x:v>409</x:v>
      </x:c>
      <x:c r="AH51" s="4" t="s">
        <x:v>2486</x:v>
      </x:c>
      <x:c r="AI51" s="4" t="s">
        <x:v>169</x:v>
      </x:c>
      <x:c r="AJ51" s="4" t="str">
        <x:v>疑似连续调整</x:v>
      </x:c>
      <x:c r="AK51" s="4" t="s">
        <x:v>1830</x:v>
      </x:c>
      <x:c r="AL51" s="4" t="str">
        <x:v>条件委托已取消；算法编号1000001993957175；创建时间2026-06-17 22:49:38；撤销时间2026-06-18 00:00:16；是否触发否；周期关联等级STRONG_CONTEXT；取消/过期原因无法确认（已完成为不适用）。</x:v>
      </x:c>
      <x:c r="AM51" s="4" t="str">
        <x:v>否</x:v>
      </x:c>
      <x:c r="AN51" s="4" t="str"/>
      <x:c r="AO51" s="64" t="str">
        <x:v>1000001993957175</x:v>
      </x:c>
      <x:c r="AP51" s="4" t="s">
        <x:v>2290</x:v>
      </x:c>
      <x:c r="AQ51" s="4" t="str">
        <x:v>是</x:v>
      </x:c>
      <x:c r="AR51" s="4" t="s">
        <x:v>2428</x:v>
      </x:c>
      <x:c r="AS51" s="4" t="str">
        <x:v>/Users/luodaluo/Desktop/30天复盘原始数据/补充证据_历史委托条件委托截图/05_安卓端取消与过期完整生命周期/01_已取消/Screenshot_20260722_222211.jpg</x:v>
      </x:c>
      <x:c r="AT51" t="str">
        <x:v>撤销</x:v>
      </x:c>
      <x:c r="AU51" t="n">
        <x:v>4238</x:v>
      </x:c>
      <x:c r="AV51" t="str">
        <x:v>STRONG_CONTEXT</x:v>
      </x:c>
      <x:c r="AW51" t="str">
        <x:v>无法确认</x:v>
      </x:c>
      <x:c r="AX51" t="str">
        <x:v>平台字段＋严格时间与仓位关系计算</x:v>
      </x:c>
    </x:row>
    <x:row r="52">
      <x:c r="A52" s="4" t="s">
        <x:v>74</x:v>
      </x:c>
      <x:c r="B52" s="4" t="s">
        <x:v>314</x:v>
      </x:c>
      <x:c r="C52" s="4" t="s">
        <x:v>2485</x:v>
      </x:c>
      <x:c r="D52" s="4" t="s">
        <x:v>526</x:v>
      </x:c>
      <x:c r="E52" s="65" t="n">
        <x:v>46190.66685185185</x:v>
      </x:c>
      <x:c r="F52" s="4" t="s">
        <x:v>2423</x:v>
      </x:c>
      <x:c r="G52" s="4" t="s">
        <x:v>2424</x:v>
      </x:c>
      <x:c r="H52" s="4" t="s">
        <x:v>1336</x:v>
      </x:c>
      <x:c r="I52" s="4" t="s">
        <x:v>1337</x:v>
      </x:c>
      <x:c r="J52" s="4" t="s">
        <x:v>2425</x:v>
      </x:c>
      <x:c r="K52" s="4" t="s">
        <x:v>1826</x:v>
      </x:c>
      <x:c r="L52" s="4" t="s">
        <x:v>205</x:v>
      </x:c>
      <x:c r="M52" s="4" t="s">
        <x:v>2426</x:v>
      </x:c>
      <x:c r="N52" s="4" t="s">
        <x:v>527</x:v>
      </x:c>
      <x:c r="O52" s="4" t="s">
        <x:v>107</x:v>
      </x:c>
      <x:c r="P52" s="4" t="s">
        <x:v>169</x:v>
      </x:c>
      <x:c r="Q52" s="4" t="s">
        <x:v>2427</x:v>
      </x:c>
      <x:c r="R52" s="4" t="s">
        <x:v>187</x:v>
      </x:c>
      <x:c r="S52" s="65"/>
      <x:c r="T52" s="4" t="str"/>
      <x:c r="U52" s="4" t="s">
        <x:v>172</x:v>
      </x:c>
      <x:c r="V52" s="4" t="s">
        <x:v>169</x:v>
      </x:c>
      <x:c r="W52" s="4" t="s">
        <x:v>169</x:v>
      </x:c>
      <x:c r="X52" s="4" t="s">
        <x:v>107</x:v>
      </x:c>
      <x:c r="Y52" s="4" t="s">
        <x:v>107</x:v>
      </x:c>
      <x:c r="Z52" s="4" t="str">
        <x:v>否</x:v>
      </x:c>
      <x:c r="AA52" s="4" t="s">
        <x:v>172</x:v>
      </x:c>
      <x:c r="AB52" s="4" t="s">
        <x:v>172</x:v>
      </x:c>
      <x:c r="AC52" s="4" t="s">
        <x:v>172</x:v>
      </x:c>
      <x:c r="AD52" s="4" t="str">
        <x:v>终态：撤销</x:v>
      </x:c>
      <x:c r="AE52" s="4" t="str">
        <x:v>疑似连续调整</x:v>
      </x:c>
      <x:c r="AF52" s="4" t="s">
        <x:v>514</x:v>
      </x:c>
      <x:c r="AG52" s="4" t="s">
        <x:v>527</x:v>
      </x:c>
      <x:c r="AH52" s="4" t="s">
        <x:v>2487</x:v>
      </x:c>
      <x:c r="AI52" s="4" t="s">
        <x:v>169</x:v>
      </x:c>
      <x:c r="AJ52" s="4" t="str">
        <x:v>疑似连续调整</x:v>
      </x:c>
      <x:c r="AK52" s="4" t="s">
        <x:v>1830</x:v>
      </x:c>
      <x:c r="AL52" s="4" t="str">
        <x:v>条件委托已取消；算法编号1000001994401535；创建时间2026-06-17 23:43:45；撤销时间2026-06-18 00:00:16；是否触发否；周期关联等级STRONG_CONTEXT；取消/过期原因无法确认（已完成为不适用）。</x:v>
      </x:c>
      <x:c r="AM52" s="4" t="str">
        <x:v>否</x:v>
      </x:c>
      <x:c r="AN52" s="4" t="str"/>
      <x:c r="AO52" s="64" t="str">
        <x:v>1000001994401535</x:v>
      </x:c>
      <x:c r="AP52" s="4" t="s">
        <x:v>2309</x:v>
      </x:c>
      <x:c r="AQ52" s="4" t="str">
        <x:v>是</x:v>
      </x:c>
      <x:c r="AR52" s="4" t="s">
        <x:v>2428</x:v>
      </x:c>
      <x:c r="AS52" s="4" t="str">
        <x:v>/Users/luodaluo/Desktop/30天复盘原始数据/补充证据_历史委托条件委托截图/05_安卓端取消与过期完整生命周期/01_已取消/Screenshot_20260722_222224.jpg</x:v>
      </x:c>
      <x:c r="AT52" t="str">
        <x:v>撤销</x:v>
      </x:c>
      <x:c r="AU52" t="n">
        <x:v>991</x:v>
      </x:c>
      <x:c r="AV52" t="str">
        <x:v>STRONG_CONTEXT</x:v>
      </x:c>
      <x:c r="AW52" t="str">
        <x:v>无法确认</x:v>
      </x:c>
      <x:c r="AX52" t="str">
        <x:v>平台字段＋严格时间与仓位关系计算</x:v>
      </x:c>
    </x:row>
    <x:row r="53">
      <x:c r="A53" s="4" t="s">
        <x:v>74</x:v>
      </x:c>
      <x:c r="B53" s="4" t="s">
        <x:v>1573</x:v>
      </x:c>
      <x:c r="C53" s="4" t="s">
        <x:v>2485</x:v>
      </x:c>
      <x:c r="D53" s="4" t="s">
        <x:v>538</x:v>
      </x:c>
      <x:c r="E53" s="65" t="n">
        <x:v>46190.66748842593</x:v>
      </x:c>
      <x:c r="F53" s="4" t="s">
        <x:v>2423</x:v>
      </x:c>
      <x:c r="G53" s="4" t="s">
        <x:v>2424</x:v>
      </x:c>
      <x:c r="H53" s="4" t="s">
        <x:v>1336</x:v>
      </x:c>
      <x:c r="I53" s="4" t="s">
        <x:v>1337</x:v>
      </x:c>
      <x:c r="J53" s="4" t="s">
        <x:v>2425</x:v>
      </x:c>
      <x:c r="K53" s="4" t="s">
        <x:v>1826</x:v>
      </x:c>
      <x:c r="L53" s="4" t="s">
        <x:v>205</x:v>
      </x:c>
      <x:c r="M53" s="4" t="s">
        <x:v>2426</x:v>
      </x:c>
      <x:c r="N53" s="4" t="s">
        <x:v>539</x:v>
      </x:c>
      <x:c r="O53" s="4" t="s">
        <x:v>107</x:v>
      </x:c>
      <x:c r="P53" s="4" t="s">
        <x:v>169</x:v>
      </x:c>
      <x:c r="Q53" s="4" t="s">
        <x:v>2427</x:v>
      </x:c>
      <x:c r="R53" s="4" t="s">
        <x:v>187</x:v>
      </x:c>
      <x:c r="S53" s="65"/>
      <x:c r="T53" s="4" t="str"/>
      <x:c r="U53" s="4" t="s">
        <x:v>172</x:v>
      </x:c>
      <x:c r="V53" s="4" t="s">
        <x:v>169</x:v>
      </x:c>
      <x:c r="W53" s="4" t="s">
        <x:v>169</x:v>
      </x:c>
      <x:c r="X53" s="4" t="s">
        <x:v>107</x:v>
      </x:c>
      <x:c r="Y53" s="4" t="s">
        <x:v>107</x:v>
      </x:c>
      <x:c r="Z53" s="4" t="str">
        <x:v>否</x:v>
      </x:c>
      <x:c r="AA53" s="4" t="s">
        <x:v>172</x:v>
      </x:c>
      <x:c r="AB53" s="4" t="s">
        <x:v>172</x:v>
      </x:c>
      <x:c r="AC53" s="4" t="s">
        <x:v>172</x:v>
      </x:c>
      <x:c r="AD53" s="4" t="str">
        <x:v>终态：撤销</x:v>
      </x:c>
      <x:c r="AE53" s="4" t="str">
        <x:v>疑似连续调整</x:v>
      </x:c>
      <x:c r="AF53" s="4" t="s">
        <x:v>527</x:v>
      </x:c>
      <x:c r="AG53" s="4" t="s">
        <x:v>539</x:v>
      </x:c>
      <x:c r="AH53" s="4" t="s">
        <x:v>2488</x:v>
      </x:c>
      <x:c r="AI53" s="4" t="s">
        <x:v>169</x:v>
      </x:c>
      <x:c r="AJ53" s="4" t="str">
        <x:v>疑似连续调整</x:v>
      </x:c>
      <x:c r="AK53" s="4" t="s">
        <x:v>1830</x:v>
      </x:c>
      <x:c r="AL53" s="4" t="str">
        <x:v>条件委托已取消；算法编号1000001994540913；创建时间2026-06-18 00:00:16；撤销时间2026-06-18 00:01:11；是否触发否；周期关联等级STRONG_CONTEXT；取消/过期原因无法确认（已完成为不适用）。</x:v>
      </x:c>
      <x:c r="AM53" s="4" t="str">
        <x:v>否</x:v>
      </x:c>
      <x:c r="AN53" s="4" t="str"/>
      <x:c r="AO53" s="64" t="str">
        <x:v>1000001994540913</x:v>
      </x:c>
      <x:c r="AP53" s="4" t="s">
        <x:v>2322</x:v>
      </x:c>
      <x:c r="AQ53" s="4" t="str">
        <x:v>是</x:v>
      </x:c>
      <x:c r="AR53" s="4" t="s">
        <x:v>2428</x:v>
      </x:c>
      <x:c r="AS53" s="4" t="str">
        <x:v>/Users/luodaluo/Desktop/30天复盘原始数据/补充证据_历史委托条件委托截图/05_安卓端取消与过期完整生命周期/01_已取消/Screenshot_20260722_222316.jpg</x:v>
      </x:c>
      <x:c r="AT53" t="str">
        <x:v>撤销</x:v>
      </x:c>
      <x:c r="AU53" t="n">
        <x:v>55</x:v>
      </x:c>
      <x:c r="AV53" t="str">
        <x:v>STRONG_CONTEXT</x:v>
      </x:c>
      <x:c r="AW53" t="str">
        <x:v>无法确认</x:v>
      </x:c>
      <x:c r="AX53" t="str">
        <x:v>平台字段＋严格时间与仓位关系计算</x:v>
      </x:c>
    </x:row>
    <x:row r="54">
      <x:c r="A54" s="4" t="s">
        <x:v>74</x:v>
      </x:c>
      <x:c r="B54" s="4" t="s">
        <x:v>330</x:v>
      </x:c>
      <x:c r="C54" s="4" t="s">
        <x:v>2484</x:v>
      </x:c>
      <x:c r="D54" s="4" t="s">
        <x:v>538</x:v>
      </x:c>
      <x:c r="E54" s="65" t="n">
        <x:v>46190.69497685185</x:v>
      </x:c>
      <x:c r="F54" s="4" t="s">
        <x:v>2423</x:v>
      </x:c>
      <x:c r="G54" s="4" t="s">
        <x:v>2424</x:v>
      </x:c>
      <x:c r="H54" s="4" t="s">
        <x:v>1336</x:v>
      </x:c>
      <x:c r="I54" s="4" t="s">
        <x:v>1337</x:v>
      </x:c>
      <x:c r="J54" s="4" t="s">
        <x:v>2425</x:v>
      </x:c>
      <x:c r="K54" s="4" t="s">
        <x:v>203</x:v>
      </x:c>
      <x:c r="L54" s="4" t="s">
        <x:v>203</x:v>
      </x:c>
      <x:c r="M54" s="4" t="s">
        <x:v>172</x:v>
      </x:c>
      <x:c r="N54" s="4" t="s">
        <x:v>536</x:v>
      </x:c>
      <x:c r="O54" s="4" t="s">
        <x:v>107</x:v>
      </x:c>
      <x:c r="P54" s="4" t="s">
        <x:v>169</x:v>
      </x:c>
      <x:c r="Q54" s="4" t="s">
        <x:v>2427</x:v>
      </x:c>
      <x:c r="R54" s="4" t="s">
        <x:v>187</x:v>
      </x:c>
      <x:c r="S54" s="65"/>
      <x:c r="T54" s="4" t="str"/>
      <x:c r="U54" s="4" t="s">
        <x:v>172</x:v>
      </x:c>
      <x:c r="V54" s="4" t="s">
        <x:v>169</x:v>
      </x:c>
      <x:c r="W54" s="4" t="s">
        <x:v>169</x:v>
      </x:c>
      <x:c r="X54" s="4" t="s">
        <x:v>107</x:v>
      </x:c>
      <x:c r="Y54" s="4" t="s">
        <x:v>107</x:v>
      </x:c>
      <x:c r="Z54" s="4" t="str">
        <x:v>否</x:v>
      </x:c>
      <x:c r="AA54" s="4" t="s">
        <x:v>172</x:v>
      </x:c>
      <x:c r="AB54" s="4" t="s">
        <x:v>172</x:v>
      </x:c>
      <x:c r="AC54" s="4" t="s">
        <x:v>172</x:v>
      </x:c>
      <x:c r="AD54" s="4" t="str">
        <x:v>终态：撤销</x:v>
      </x:c>
      <x:c r="AE54" s="4" t="str">
        <x:v>疑似连续调整</x:v>
      </x:c>
      <x:c r="AF54" s="4" t="s">
        <x:v>409</x:v>
      </x:c>
      <x:c r="AG54" s="4" t="s">
        <x:v>536</x:v>
      </x:c>
      <x:c r="AH54" s="4" t="s">
        <x:v>2486</x:v>
      </x:c>
      <x:c r="AI54" s="4" t="s">
        <x:v>169</x:v>
      </x:c>
      <x:c r="AJ54" s="4" t="str">
        <x:v>疑似连续调整</x:v>
      </x:c>
      <x:c r="AK54" s="4" t="s">
        <x:v>1830</x:v>
      </x:c>
      <x:c r="AL54" s="4" t="str">
        <x:v>条件委托已取消；算法编号1000001994540911；创建时间2026-06-18 00:00:16；撤销时间2026-06-18 00:40:46；是否触发否；周期关联等级STRONG_CONTEXT；取消/过期原因无法确认（已完成为不适用）。</x:v>
      </x:c>
      <x:c r="AM54" s="4" t="str">
        <x:v>否</x:v>
      </x:c>
      <x:c r="AN54" s="4" t="str"/>
      <x:c r="AO54" s="64" t="str">
        <x:v>1000001994540911</x:v>
      </x:c>
      <x:c r="AP54" s="4" t="s">
        <x:v>2323</x:v>
      </x:c>
      <x:c r="AQ54" s="4" t="str">
        <x:v>是</x:v>
      </x:c>
      <x:c r="AR54" s="4" t="s">
        <x:v>2428</x:v>
      </x:c>
      <x:c r="AS54" s="4" t="str">
        <x:v>/Users/luodaluo/Desktop/30天复盘原始数据/补充证据_历史委托条件委托截图/05_安卓端取消与过期完整生命周期/01_已取消/Screenshot_20260722_222228.jpg</x:v>
      </x:c>
      <x:c r="AT54" t="str">
        <x:v>撤销</x:v>
      </x:c>
      <x:c r="AU54" t="n">
        <x:v>2430</x:v>
      </x:c>
      <x:c r="AV54" t="str">
        <x:v>STRONG_CONTEXT</x:v>
      </x:c>
      <x:c r="AW54" t="str">
        <x:v>无法确认</x:v>
      </x:c>
      <x:c r="AX54" t="str">
        <x:v>平台字段＋严格时间与仓位关系计算</x:v>
      </x:c>
    </x:row>
    <x:row r="55">
      <x:c r="A55" s="4" t="s">
        <x:v>74</x:v>
      </x:c>
      <x:c r="B55" s="4" t="s">
        <x:v>229</x:v>
      </x:c>
      <x:c r="C55" s="4" t="s">
        <x:v>2485</x:v>
      </x:c>
      <x:c r="D55" s="4" t="s">
        <x:v>540</x:v>
      </x:c>
      <x:c r="E55" s="65" t="n">
        <x:v>46190.695810185185</x:v>
      </x:c>
      <x:c r="F55" s="4" t="s">
        <x:v>2423</x:v>
      </x:c>
      <x:c r="G55" s="4" t="s">
        <x:v>2424</x:v>
      </x:c>
      <x:c r="H55" s="4" t="s">
        <x:v>1336</x:v>
      </x:c>
      <x:c r="I55" s="4" t="s">
        <x:v>1337</x:v>
      </x:c>
      <x:c r="J55" s="4" t="s">
        <x:v>2425</x:v>
      </x:c>
      <x:c r="K55" s="4" t="s">
        <x:v>1826</x:v>
      </x:c>
      <x:c r="L55" s="4" t="s">
        <x:v>205</x:v>
      </x:c>
      <x:c r="M55" s="4" t="s">
        <x:v>2426</x:v>
      </x:c>
      <x:c r="N55" s="4" t="s">
        <x:v>541</x:v>
      </x:c>
      <x:c r="O55" s="4" t="s">
        <x:v>107</x:v>
      </x:c>
      <x:c r="P55" s="4" t="s">
        <x:v>169</x:v>
      </x:c>
      <x:c r="Q55" s="4" t="s">
        <x:v>2427</x:v>
      </x:c>
      <x:c r="R55" s="4" t="s">
        <x:v>187</x:v>
      </x:c>
      <x:c r="S55" s="65"/>
      <x:c r="T55" s="4" t="str"/>
      <x:c r="U55" s="4" t="s">
        <x:v>172</x:v>
      </x:c>
      <x:c r="V55" s="4" t="s">
        <x:v>169</x:v>
      </x:c>
      <x:c r="W55" s="4" t="s">
        <x:v>169</x:v>
      </x:c>
      <x:c r="X55" s="4" t="s">
        <x:v>107</x:v>
      </x:c>
      <x:c r="Y55" s="4" t="s">
        <x:v>107</x:v>
      </x:c>
      <x:c r="Z55" s="4" t="str">
        <x:v>否</x:v>
      </x:c>
      <x:c r="AA55" s="4" t="s">
        <x:v>172</x:v>
      </x:c>
      <x:c r="AB55" s="4" t="s">
        <x:v>172</x:v>
      </x:c>
      <x:c r="AC55" s="4" t="s">
        <x:v>172</x:v>
      </x:c>
      <x:c r="AD55" s="4" t="str">
        <x:v>终态：撤销</x:v>
      </x:c>
      <x:c r="AE55" s="4" t="str">
        <x:v>疑似连续调整</x:v>
      </x:c>
      <x:c r="AF55" s="4" t="s">
        <x:v>539</x:v>
      </x:c>
      <x:c r="AG55" s="4" t="s">
        <x:v>541</x:v>
      </x:c>
      <x:c r="AH55" s="4" t="s">
        <x:v>2489</x:v>
      </x:c>
      <x:c r="AI55" s="4" t="s">
        <x:v>169</x:v>
      </x:c>
      <x:c r="AJ55" s="4" t="str">
        <x:v>疑似连续调整</x:v>
      </x:c>
      <x:c r="AK55" s="4" t="s">
        <x:v>1830</x:v>
      </x:c>
      <x:c r="AL55" s="4" t="str">
        <x:v>条件委托已取消；算法编号1000001994548658；创建时间2026-06-18 00:01:11；撤销时间2026-06-18 00:41:58；是否触发否；周期关联等级STRONG_CONTEXT；取消/过期原因无法确认（已完成为不适用）。</x:v>
      </x:c>
      <x:c r="AM55" s="4" t="str">
        <x:v>否</x:v>
      </x:c>
      <x:c r="AN55" s="4" t="str"/>
      <x:c r="AO55" s="64" t="str">
        <x:v>1000001994548658</x:v>
      </x:c>
      <x:c r="AP55" s="4" t="s">
        <x:v>2324</x:v>
      </x:c>
      <x:c r="AQ55" s="4" t="str">
        <x:v>是</x:v>
      </x:c>
      <x:c r="AR55" s="4" t="s">
        <x:v>2428</x:v>
      </x:c>
      <x:c r="AS55" s="4" t="str">
        <x:v>/Users/luodaluo/Desktop/30天复盘原始数据/补充证据_历史委托条件委托截图/05_安卓端取消与过期完整生命周期/01_已取消/Screenshot_20260722_222324.jpg</x:v>
      </x:c>
      <x:c r="AT55" t="str">
        <x:v>撤销</x:v>
      </x:c>
      <x:c r="AU55" t="n">
        <x:v>2447</x:v>
      </x:c>
      <x:c r="AV55" t="str">
        <x:v>STRONG_CONTEXT</x:v>
      </x:c>
      <x:c r="AW55" t="str">
        <x:v>无法确认</x:v>
      </x:c>
      <x:c r="AX55" t="str">
        <x:v>平台字段＋严格时间与仓位关系计算</x:v>
      </x:c>
    </x:row>
    <x:row r="56">
      <x:c r="A56" s="4" t="s">
        <x:v>74</x:v>
      </x:c>
      <x:c r="B56" s="4" t="s">
        <x:v>298</x:v>
      </x:c>
      <x:c r="C56" s="4" t="s">
        <x:v>2485</x:v>
      </x:c>
      <x:c r="D56" s="4" t="s">
        <x:v>545</x:v>
      </x:c>
      <x:c r="E56" s="65" t="n">
        <x:v>46190.73136574074</x:v>
      </x:c>
      <x:c r="F56" s="4" t="s">
        <x:v>2423</x:v>
      </x:c>
      <x:c r="G56" s="4" t="s">
        <x:v>2424</x:v>
      </x:c>
      <x:c r="H56" s="4" t="s">
        <x:v>1336</x:v>
      </x:c>
      <x:c r="I56" s="4" t="s">
        <x:v>1337</x:v>
      </x:c>
      <x:c r="J56" s="4" t="s">
        <x:v>2425</x:v>
      </x:c>
      <x:c r="K56" s="4" t="s">
        <x:v>1826</x:v>
      </x:c>
      <x:c r="L56" s="4" t="s">
        <x:v>205</x:v>
      </x:c>
      <x:c r="M56" s="4" t="s">
        <x:v>2426</x:v>
      </x:c>
      <x:c r="N56" s="4" t="s">
        <x:v>527</x:v>
      </x:c>
      <x:c r="O56" s="4" t="s">
        <x:v>107</x:v>
      </x:c>
      <x:c r="P56" s="4" t="s">
        <x:v>169</x:v>
      </x:c>
      <x:c r="Q56" s="4" t="s">
        <x:v>2427</x:v>
      </x:c>
      <x:c r="R56" s="4" t="s">
        <x:v>187</x:v>
      </x:c>
      <x:c r="S56" s="65"/>
      <x:c r="T56" s="4" t="str"/>
      <x:c r="U56" s="4" t="s">
        <x:v>172</x:v>
      </x:c>
      <x:c r="V56" s="4" t="s">
        <x:v>169</x:v>
      </x:c>
      <x:c r="W56" s="4" t="s">
        <x:v>169</x:v>
      </x:c>
      <x:c r="X56" s="4" t="s">
        <x:v>107</x:v>
      </x:c>
      <x:c r="Y56" s="4" t="s">
        <x:v>107</x:v>
      </x:c>
      <x:c r="Z56" s="4" t="str">
        <x:v>否</x:v>
      </x:c>
      <x:c r="AA56" s="4" t="s">
        <x:v>172</x:v>
      </x:c>
      <x:c r="AB56" s="4" t="s">
        <x:v>172</x:v>
      </x:c>
      <x:c r="AC56" s="4" t="s">
        <x:v>172</x:v>
      </x:c>
      <x:c r="AD56" s="4" t="str">
        <x:v>终态：撤销</x:v>
      </x:c>
      <x:c r="AE56" s="4" t="str">
        <x:v>疑似连续调整</x:v>
      </x:c>
      <x:c r="AF56" s="4" t="s">
        <x:v>541</x:v>
      </x:c>
      <x:c r="AG56" s="4" t="s">
        <x:v>527</x:v>
      </x:c>
      <x:c r="AH56" s="4" t="s">
        <x:v>2490</x:v>
      </x:c>
      <x:c r="AI56" s="4" t="s">
        <x:v>169</x:v>
      </x:c>
      <x:c r="AJ56" s="4" t="str">
        <x:v>疑似连续调整</x:v>
      </x:c>
      <x:c r="AK56" s="4" t="s">
        <x:v>1830</x:v>
      </x:c>
      <x:c r="AL56" s="4" t="str">
        <x:v>条件委托已取消；算法编号1000001994901412；创建时间2026-06-18 00:41:58；撤销时间2026-06-18 01:33:10；是否触发否；周期关联等级STRONG_CONTEXT；取消/过期原因无法确认（已完成为不适用）。</x:v>
      </x:c>
      <x:c r="AM56" s="4" t="str">
        <x:v>否</x:v>
      </x:c>
      <x:c r="AN56" s="4" t="str"/>
      <x:c r="AO56" s="64" t="str">
        <x:v>1000001994901412</x:v>
      </x:c>
      <x:c r="AP56" s="4" t="s">
        <x:v>2332</x:v>
      </x:c>
      <x:c r="AQ56" s="4" t="str">
        <x:v>是</x:v>
      </x:c>
      <x:c r="AR56" s="4" t="s">
        <x:v>2428</x:v>
      </x:c>
      <x:c r="AS56" s="4" t="str">
        <x:v>/Users/luodaluo/Desktop/30天复盘原始数据/补充证据_历史委托条件委托截图/05_安卓端取消与过期完整生命周期/01_已取消/Screenshot_20260722_222329.jpg</x:v>
      </x:c>
      <x:c r="AT56" t="str">
        <x:v>撤销</x:v>
      </x:c>
      <x:c r="AU56" t="n">
        <x:v>3072</x:v>
      </x:c>
      <x:c r="AV56" t="str">
        <x:v>STRONG_CONTEXT</x:v>
      </x:c>
      <x:c r="AW56" t="str">
        <x:v>无法确认</x:v>
      </x:c>
      <x:c r="AX56" t="str">
        <x:v>平台字段＋严格时间与仓位关系计算</x:v>
      </x:c>
    </x:row>
    <x:row r="57">
      <x:c r="A57" s="4" t="s">
        <x:v>74</x:v>
      </x:c>
      <x:c r="B57" s="4" t="s">
        <x:v>632</x:v>
      </x:c>
      <x:c r="C57" s="4" t="s">
        <x:v>2485</x:v>
      </x:c>
      <x:c r="D57" s="4" t="s">
        <x:v>549</x:v>
      </x:c>
      <x:c r="E57" s="65" t="n">
        <x:v>46190.75027777778</x:v>
      </x:c>
      <x:c r="F57" s="4" t="s">
        <x:v>2423</x:v>
      </x:c>
      <x:c r="G57" s="4" t="s">
        <x:v>2424</x:v>
      </x:c>
      <x:c r="H57" s="4" t="s">
        <x:v>1336</x:v>
      </x:c>
      <x:c r="I57" s="4" t="s">
        <x:v>1337</x:v>
      </x:c>
      <x:c r="J57" s="4" t="s">
        <x:v>2425</x:v>
      </x:c>
      <x:c r="K57" s="4" t="s">
        <x:v>1826</x:v>
      </x:c>
      <x:c r="L57" s="4" t="s">
        <x:v>205</x:v>
      </x:c>
      <x:c r="M57" s="4" t="s">
        <x:v>2426</x:v>
      </x:c>
      <x:c r="N57" s="4" t="s">
        <x:v>550</x:v>
      </x:c>
      <x:c r="O57" s="4" t="s">
        <x:v>107</x:v>
      </x:c>
      <x:c r="P57" s="4" t="s">
        <x:v>169</x:v>
      </x:c>
      <x:c r="Q57" s="4" t="s">
        <x:v>2427</x:v>
      </x:c>
      <x:c r="R57" s="4" t="s">
        <x:v>236</x:v>
      </x:c>
      <x:c r="S57" s="65"/>
      <x:c r="T57" s="4" t="str"/>
      <x:c r="U57" s="4" t="s">
        <x:v>172</x:v>
      </x:c>
      <x:c r="V57" s="4" t="s">
        <x:v>169</x:v>
      </x:c>
      <x:c r="W57" s="4" t="s">
        <x:v>169</x:v>
      </x:c>
      <x:c r="X57" s="4" t="s">
        <x:v>107</x:v>
      </x:c>
      <x:c r="Y57" s="4" t="s">
        <x:v>107</x:v>
      </x:c>
      <x:c r="Z57" s="4" t="str">
        <x:v>否</x:v>
      </x:c>
      <x:c r="AA57" s="4" t="s">
        <x:v>172</x:v>
      </x:c>
      <x:c r="AB57" s="4" t="s">
        <x:v>172</x:v>
      </x:c>
      <x:c r="AC57" s="4" t="s">
        <x:v>172</x:v>
      </x:c>
      <x:c r="AD57" s="4" t="str">
        <x:v>终态：过期</x:v>
      </x:c>
      <x:c r="AE57" s="4" t="str">
        <x:v>疑似连续调整</x:v>
      </x:c>
      <x:c r="AF57" s="4" t="s">
        <x:v>527</x:v>
      </x:c>
      <x:c r="AG57" s="4" t="s">
        <x:v>550</x:v>
      </x:c>
      <x:c r="AH57" s="4" t="s">
        <x:v>2491</x:v>
      </x:c>
      <x:c r="AI57" s="4" t="s">
        <x:v>169</x:v>
      </x:c>
      <x:c r="AJ57" s="4" t="str">
        <x:v>疑似连续调整</x:v>
      </x:c>
      <x:c r="AK57" s="4" t="s">
        <x:v>1830</x:v>
      </x:c>
      <x:c r="AL57" s="4" t="str">
        <x:v>条件委托已过期；算法编号1000001995274327；创建时间2026-06-18 01:33:10；过期时间2026-06-18 02:00:24；是否触发否；周期关联等级STRONG_CONTEXT；取消/过期原因无法确认（已完成为不适用）。</x:v>
      </x:c>
      <x:c r="AM57" s="4" t="str">
        <x:v>否</x:v>
      </x:c>
      <x:c r="AN57" s="4" t="str"/>
      <x:c r="AO57" s="64" t="str">
        <x:v>1000001995274327</x:v>
      </x:c>
      <x:c r="AP57" s="4" t="s">
        <x:v>2336</x:v>
      </x:c>
      <x:c r="AQ57" s="4" t="str">
        <x:v>是</x:v>
      </x:c>
      <x:c r="AR57" s="4" t="s">
        <x:v>2428</x:v>
      </x:c>
      <x:c r="AS57" s="4" t="str">
        <x:v>/Users/luodaluo/Desktop/30天复盘原始数据/补充证据_历史委托条件委托截图/05_安卓端取消与过期完整生命周期/02_已过期/Screenshot_20260722_201634.jpg</x:v>
      </x:c>
      <x:c r="AT57" t="str">
        <x:v>过期</x:v>
      </x:c>
      <x:c r="AU57" t="n">
        <x:v>1634</x:v>
      </x:c>
      <x:c r="AV57" t="str">
        <x:v>STRONG_CONTEXT</x:v>
      </x:c>
      <x:c r="AW57" t="str">
        <x:v>无法确认</x:v>
      </x:c>
      <x:c r="AX57" t="str">
        <x:v>平台字段＋严格时间与仓位关系计算</x:v>
      </x:c>
    </x:row>
    <x:row r="58">
      <x:c r="A58" s="4" t="s">
        <x:v>72</x:v>
      </x:c>
      <x:c r="B58" s="4" t="s">
        <x:v>200</x:v>
      </x:c>
      <x:c r="C58" s="4" t="s">
        <x:v>2492</x:v>
      </x:c>
      <x:c r="D58" s="4" t="s">
        <x:v>407</x:v>
      </x:c>
      <x:c r="E58" s="65" t="n">
        <x:v>46176.81837962963</x:v>
      </x:c>
      <x:c r="F58" s="4" t="s">
        <x:v>2423</x:v>
      </x:c>
      <x:c r="G58" s="4" t="s">
        <x:v>2424</x:v>
      </x:c>
      <x:c r="H58" s="4" t="s">
        <x:v>1336</x:v>
      </x:c>
      <x:c r="I58" s="4" t="s">
        <x:v>1337</x:v>
      </x:c>
      <x:c r="J58" s="4" t="s">
        <x:v>2425</x:v>
      </x:c>
      <x:c r="K58" s="4" t="s">
        <x:v>1826</x:v>
      </x:c>
      <x:c r="L58" s="4" t="s">
        <x:v>205</x:v>
      </x:c>
      <x:c r="M58" s="4" t="s">
        <x:v>2426</x:v>
      </x:c>
      <x:c r="N58" s="4" t="s">
        <x:v>308</x:v>
      </x:c>
      <x:c r="O58" s="4" t="s">
        <x:v>107</x:v>
      </x:c>
      <x:c r="P58" s="4" t="s">
        <x:v>169</x:v>
      </x:c>
      <x:c r="Q58" s="4" t="s">
        <x:v>2427</x:v>
      </x:c>
      <x:c r="R58" s="4" t="s">
        <x:v>187</x:v>
      </x:c>
      <x:c r="S58" s="65"/>
      <x:c r="T58" s="4" t="str"/>
      <x:c r="U58" s="4" t="s">
        <x:v>172</x:v>
      </x:c>
      <x:c r="V58" s="4" t="s">
        <x:v>169</x:v>
      </x:c>
      <x:c r="W58" s="4" t="s">
        <x:v>169</x:v>
      </x:c>
      <x:c r="X58" s="4" t="s">
        <x:v>107</x:v>
      </x:c>
      <x:c r="Y58" s="4" t="s">
        <x:v>107</x:v>
      </x:c>
      <x:c r="Z58" s="4" t="str">
        <x:v>否</x:v>
      </x:c>
      <x:c r="AA58" s="4" t="s">
        <x:v>172</x:v>
      </x:c>
      <x:c r="AB58" s="4" t="s">
        <x:v>172</x:v>
      </x:c>
      <x:c r="AC58" s="4" t="s">
        <x:v>172</x:v>
      </x:c>
      <x:c r="AD58" s="4" t="str">
        <x:v>终态：撤销</x:v>
      </x:c>
      <x:c r="AE58" s="4" t="str">
        <x:v>疑似连续调整</x:v>
      </x:c>
      <x:c r="AF58" s="4" t="s">
        <x:v>107</x:v>
      </x:c>
      <x:c r="AG58" s="4" t="s">
        <x:v>308</x:v>
      </x:c>
      <x:c r="AH58" s="4" t="s">
        <x:v>107</x:v>
      </x:c>
      <x:c r="AI58" s="4" t="s">
        <x:v>107</x:v>
      </x:c>
      <x:c r="AJ58" s="4" t="str">
        <x:v>疑似连续调整</x:v>
      </x:c>
      <x:c r="AK58" s="4" t="s">
        <x:v>1830</x:v>
      </x:c>
      <x:c r="AL58" s="4" t="str">
        <x:v>条件委托已取消；算法编号1000001845027240；创建时间2026-06-04 03:10:06；撤销时间2026-06-04 03:38:28；是否触发否；周期关联等级STRONG_CONTEXT；取消/过期原因无法确认（已完成为不适用）。</x:v>
      </x:c>
      <x:c r="AM58" s="4" t="str">
        <x:v>否</x:v>
      </x:c>
      <x:c r="AN58" s="4" t="str"/>
      <x:c r="AO58" s="64" t="str">
        <x:v>1000001845027240</x:v>
      </x:c>
      <x:c r="AP58" s="4" t="s">
        <x:v>2349</x:v>
      </x:c>
      <x:c r="AQ58" s="4" t="str">
        <x:v>是</x:v>
      </x:c>
      <x:c r="AR58" s="4" t="s">
        <x:v>2428</x:v>
      </x:c>
      <x:c r="AS58" s="4" t="str">
        <x:v>/Users/luodaluo/Desktop/30天复盘原始数据/补充证据_历史委托条件委托截图/05_安卓端取消与过期完整生命周期/01_已取消/Screenshot_20260722_214125.jpg</x:v>
      </x:c>
      <x:c r="AT58" t="str">
        <x:v>撤销</x:v>
      </x:c>
      <x:c r="AU58" t="n">
        <x:v>1702</x:v>
      </x:c>
      <x:c r="AV58" t="str">
        <x:v>STRONG_CONTEXT</x:v>
      </x:c>
      <x:c r="AW58" t="str">
        <x:v>无法确认</x:v>
      </x:c>
      <x:c r="AX58" t="str">
        <x:v>平台字段＋严格时间与仓位关系计算</x:v>
      </x:c>
    </x:row>
    <x:row r="59">
      <x:c r="A59" s="4" t="s">
        <x:v>72</x:v>
      </x:c>
      <x:c r="B59" s="4" t="s">
        <x:v>1353</x:v>
      </x:c>
      <x:c r="C59" s="4" t="s">
        <x:v>2493</x:v>
      </x:c>
      <x:c r="D59" s="4" t="s">
        <x:v>408</x:v>
      </x:c>
      <x:c r="E59" s="65" t="n">
        <x:v>46176.81875</x:v>
      </x:c>
      <x:c r="F59" s="4" t="s">
        <x:v>2423</x:v>
      </x:c>
      <x:c r="G59" s="4" t="s">
        <x:v>2424</x:v>
      </x:c>
      <x:c r="H59" s="4" t="s">
        <x:v>1336</x:v>
      </x:c>
      <x:c r="I59" s="4" t="s">
        <x:v>1337</x:v>
      </x:c>
      <x:c r="J59" s="4" t="s">
        <x:v>2425</x:v>
      </x:c>
      <x:c r="K59" s="4" t="s">
        <x:v>203</x:v>
      </x:c>
      <x:c r="L59" s="4" t="s">
        <x:v>203</x:v>
      </x:c>
      <x:c r="M59" s="4" t="s">
        <x:v>172</x:v>
      </x:c>
      <x:c r="N59" s="4" t="s">
        <x:v>409</x:v>
      </x:c>
      <x:c r="O59" s="4" t="s">
        <x:v>107</x:v>
      </x:c>
      <x:c r="P59" s="4" t="s">
        <x:v>169</x:v>
      </x:c>
      <x:c r="Q59" s="4" t="s">
        <x:v>2427</x:v>
      </x:c>
      <x:c r="R59" s="4" t="s">
        <x:v>187</x:v>
      </x:c>
      <x:c r="S59" s="65"/>
      <x:c r="T59" s="4" t="str"/>
      <x:c r="U59" s="4" t="s">
        <x:v>172</x:v>
      </x:c>
      <x:c r="V59" s="4" t="s">
        <x:v>169</x:v>
      </x:c>
      <x:c r="W59" s="4" t="s">
        <x:v>169</x:v>
      </x:c>
      <x:c r="X59" s="4" t="s">
        <x:v>107</x:v>
      </x:c>
      <x:c r="Y59" s="4" t="s">
        <x:v>107</x:v>
      </x:c>
      <x:c r="Z59" s="4" t="str">
        <x:v>否</x:v>
      </x:c>
      <x:c r="AA59" s="4" t="s">
        <x:v>172</x:v>
      </x:c>
      <x:c r="AB59" s="4" t="s">
        <x:v>172</x:v>
      </x:c>
      <x:c r="AC59" s="4" t="s">
        <x:v>172</x:v>
      </x:c>
      <x:c r="AD59" s="4" t="str">
        <x:v>终态：撤销</x:v>
      </x:c>
      <x:c r="AE59" s="4" t="str">
        <x:v>疑似连续调整</x:v>
      </x:c>
      <x:c r="AF59" s="4" t="s">
        <x:v>107</x:v>
      </x:c>
      <x:c r="AG59" s="4" t="s">
        <x:v>409</x:v>
      </x:c>
      <x:c r="AH59" s="4" t="s">
        <x:v>107</x:v>
      </x:c>
      <x:c r="AI59" s="4" t="s">
        <x:v>107</x:v>
      </x:c>
      <x:c r="AJ59" s="4" t="str">
        <x:v>疑似连续调整</x:v>
      </x:c>
      <x:c r="AK59" s="4" t="s">
        <x:v>1830</x:v>
      </x:c>
      <x:c r="AL59" s="4" t="str">
        <x:v>条件委托已取消；算法编号1000001845150618；创建时间2026-06-04 03:25:56；撤销时间2026-06-04 03:39:00；是否触发否；周期关联等级STRONG_CONTEXT；取消/过期原因无法确认（已完成为不适用）。</x:v>
      </x:c>
      <x:c r="AM59" s="4" t="str">
        <x:v>否</x:v>
      </x:c>
      <x:c r="AN59" s="4" t="str"/>
      <x:c r="AO59" s="64" t="str">
        <x:v>1000001845150618</x:v>
      </x:c>
      <x:c r="AP59" s="4" t="s">
        <x:v>2350</x:v>
      </x:c>
      <x:c r="AQ59" s="4" t="str">
        <x:v>是</x:v>
      </x:c>
      <x:c r="AR59" s="4" t="s">
        <x:v>2428</x:v>
      </x:c>
      <x:c r="AS59" s="4" t="str">
        <x:v>/Users/luodaluo/Desktop/30天复盘原始数据/补充证据_历史委托条件委托截图/05_安卓端取消与过期完整生命周期/01_已取消/Screenshot_20260722_214129.jpg</x:v>
      </x:c>
      <x:c r="AT59" t="str">
        <x:v>撤销</x:v>
      </x:c>
      <x:c r="AU59" t="n">
        <x:v>784</x:v>
      </x:c>
      <x:c r="AV59" t="str">
        <x:v>STRONG_CONTEXT</x:v>
      </x:c>
      <x:c r="AW59" t="str">
        <x:v>无法确认</x:v>
      </x:c>
      <x:c r="AX59" t="str">
        <x:v>平台字段＋严格时间与仓位关系计算</x:v>
      </x:c>
    </x:row>
    <x:row r="60">
      <x:c r="A60" s="4" t="s">
        <x:v>72</x:v>
      </x:c>
      <x:c r="B60" s="4" t="s">
        <x:v>1466</x:v>
      </x:c>
      <x:c r="C60" s="4" t="s">
        <x:v>2492</x:v>
      </x:c>
      <x:c r="D60" s="4" t="s">
        <x:v>413</x:v>
      </x:c>
      <x:c r="E60" s="65" t="n">
        <x:v>46176.81916666667</x:v>
      </x:c>
      <x:c r="F60" s="4" t="s">
        <x:v>2423</x:v>
      </x:c>
      <x:c r="G60" s="4" t="s">
        <x:v>2424</x:v>
      </x:c>
      <x:c r="H60" s="4" t="s">
        <x:v>1336</x:v>
      </x:c>
      <x:c r="I60" s="4" t="s">
        <x:v>1337</x:v>
      </x:c>
      <x:c r="J60" s="4" t="s">
        <x:v>2425</x:v>
      </x:c>
      <x:c r="K60" s="4" t="s">
        <x:v>1826</x:v>
      </x:c>
      <x:c r="L60" s="4" t="s">
        <x:v>205</x:v>
      </x:c>
      <x:c r="M60" s="4" t="s">
        <x:v>2426</x:v>
      </x:c>
      <x:c r="N60" s="4" t="s">
        <x:v>414</x:v>
      </x:c>
      <x:c r="O60" s="4" t="s">
        <x:v>107</x:v>
      </x:c>
      <x:c r="P60" s="4" t="s">
        <x:v>169</x:v>
      </x:c>
      <x:c r="Q60" s="4" t="s">
        <x:v>2427</x:v>
      </x:c>
      <x:c r="R60" s="4" t="s">
        <x:v>187</x:v>
      </x:c>
      <x:c r="S60" s="65"/>
      <x:c r="T60" s="4" t="str"/>
      <x:c r="U60" s="4" t="s">
        <x:v>172</x:v>
      </x:c>
      <x:c r="V60" s="4" t="s">
        <x:v>169</x:v>
      </x:c>
      <x:c r="W60" s="4" t="s">
        <x:v>169</x:v>
      </x:c>
      <x:c r="X60" s="4" t="s">
        <x:v>107</x:v>
      </x:c>
      <x:c r="Y60" s="4" t="s">
        <x:v>107</x:v>
      </x:c>
      <x:c r="Z60" s="4" t="str">
        <x:v>否</x:v>
      </x:c>
      <x:c r="AA60" s="4" t="s">
        <x:v>172</x:v>
      </x:c>
      <x:c r="AB60" s="4" t="s">
        <x:v>172</x:v>
      </x:c>
      <x:c r="AC60" s="4" t="s">
        <x:v>172</x:v>
      </x:c>
      <x:c r="AD60" s="4" t="str">
        <x:v>终态：撤销</x:v>
      </x:c>
      <x:c r="AE60" s="4" t="str">
        <x:v>疑似连续调整</x:v>
      </x:c>
      <x:c r="AF60" s="4" t="s">
        <x:v>308</x:v>
      </x:c>
      <x:c r="AG60" s="4" t="s">
        <x:v>414</x:v>
      </x:c>
      <x:c r="AH60" s="4" t="s">
        <x:v>2494</x:v>
      </x:c>
      <x:c r="AI60" s="4" t="s">
        <x:v>169</x:v>
      </x:c>
      <x:c r="AJ60" s="4" t="str">
        <x:v>疑似连续调整</x:v>
      </x:c>
      <x:c r="AK60" s="4" t="s">
        <x:v>1830</x:v>
      </x:c>
      <x:c r="AL60" s="4" t="str">
        <x:v>条件委托已取消；算法编号1000001845248448；创建时间2026-06-04 03:38:28；撤销时间2026-06-04 03:39:36；是否触发否；周期关联等级STRONG_CONTEXT；取消/过期原因无法确认（已完成为不适用）。</x:v>
      </x:c>
      <x:c r="AM60" s="4" t="str">
        <x:v>否</x:v>
      </x:c>
      <x:c r="AN60" s="4" t="str"/>
      <x:c r="AO60" s="64" t="str">
        <x:v>1000001845248448</x:v>
      </x:c>
      <x:c r="AP60" s="4" t="s">
        <x:v>2354</x:v>
      </x:c>
      <x:c r="AQ60" s="4" t="str">
        <x:v>是</x:v>
      </x:c>
      <x:c r="AR60" s="4" t="s">
        <x:v>2428</x:v>
      </x:c>
      <x:c r="AS60" s="4" t="str">
        <x:v>/Users/luodaluo/Desktop/30天复盘原始数据/补充证据_历史委托条件委托截图/05_安卓端取消与过期完整生命周期/01_已取消/Screenshot_20260722_214133.jpg</x:v>
      </x:c>
      <x:c r="AT60" t="str">
        <x:v>撤销</x:v>
      </x:c>
      <x:c r="AU60" t="n">
        <x:v>68</x:v>
      </x:c>
      <x:c r="AV60" t="str">
        <x:v>STRONG_CONTEXT</x:v>
      </x:c>
      <x:c r="AW60" t="str">
        <x:v>无法确认</x:v>
      </x:c>
      <x:c r="AX60" t="str">
        <x:v>平台字段＋严格时间与仓位关系计算</x:v>
      </x:c>
    </x:row>
    <x:row r="61">
      <x:c r="A61" s="4" t="s">
        <x:v>72</x:v>
      </x:c>
      <x:c r="B61" s="4" t="s">
        <x:v>218</x:v>
      </x:c>
      <x:c r="C61" s="4" t="s">
        <x:v>2493</x:v>
      </x:c>
      <x:c r="D61" s="4" t="s">
        <x:v>415</x:v>
      </x:c>
      <x:c r="E61" s="65" t="n">
        <x:v>46176.91670138889</x:v>
      </x:c>
      <x:c r="F61" s="4" t="s">
        <x:v>2423</x:v>
      </x:c>
      <x:c r="G61" s="4" t="s">
        <x:v>2424</x:v>
      </x:c>
      <x:c r="H61" s="4" t="s">
        <x:v>1336</x:v>
      </x:c>
      <x:c r="I61" s="4" t="s">
        <x:v>1337</x:v>
      </x:c>
      <x:c r="J61" s="4" t="s">
        <x:v>2425</x:v>
      </x:c>
      <x:c r="K61" s="4" t="s">
        <x:v>203</x:v>
      </x:c>
      <x:c r="L61" s="4" t="s">
        <x:v>203</x:v>
      </x:c>
      <x:c r="M61" s="4" t="s">
        <x:v>172</x:v>
      </x:c>
      <x:c r="N61" s="4" t="s">
        <x:v>416</x:v>
      </x:c>
      <x:c r="O61" s="4" t="s">
        <x:v>107</x:v>
      </x:c>
      <x:c r="P61" s="4" t="s">
        <x:v>169</x:v>
      </x:c>
      <x:c r="Q61" s="4" t="s">
        <x:v>2427</x:v>
      </x:c>
      <x:c r="R61" s="4" t="s">
        <x:v>236</x:v>
      </x:c>
      <x:c r="S61" s="65"/>
      <x:c r="T61" s="4" t="str"/>
      <x:c r="U61" s="4" t="s">
        <x:v>172</x:v>
      </x:c>
      <x:c r="V61" s="4" t="s">
        <x:v>169</x:v>
      </x:c>
      <x:c r="W61" s="4" t="s">
        <x:v>169</x:v>
      </x:c>
      <x:c r="X61" s="4" t="s">
        <x:v>107</x:v>
      </x:c>
      <x:c r="Y61" s="4" t="s">
        <x:v>107</x:v>
      </x:c>
      <x:c r="Z61" s="4" t="str">
        <x:v>否</x:v>
      </x:c>
      <x:c r="AA61" s="4" t="s">
        <x:v>172</x:v>
      </x:c>
      <x:c r="AB61" s="4" t="s">
        <x:v>172</x:v>
      </x:c>
      <x:c r="AC61" s="4" t="s">
        <x:v>172</x:v>
      </x:c>
      <x:c r="AD61" s="4" t="str">
        <x:v>终态：过期</x:v>
      </x:c>
      <x:c r="AE61" s="4" t="str">
        <x:v>疑似连续调整</x:v>
      </x:c>
      <x:c r="AF61" s="4" t="s">
        <x:v>409</x:v>
      </x:c>
      <x:c r="AG61" s="4" t="s">
        <x:v>416</x:v>
      </x:c>
      <x:c r="AH61" s="4" t="s">
        <x:v>2495</x:v>
      </x:c>
      <x:c r="AI61" s="4" t="s">
        <x:v>169</x:v>
      </x:c>
      <x:c r="AJ61" s="4" t="str">
        <x:v>疑似连续调整</x:v>
      </x:c>
      <x:c r="AK61" s="4" t="s">
        <x:v>1830</x:v>
      </x:c>
      <x:c r="AL61" s="4" t="str">
        <x:v>条件委托已过期；算法编号1000001845252514；创建时间2026-06-04 03:39:00；过期时间2026-06-04 06:00:03；是否触发否；周期关联等级STRONG_CONTEXT；取消/过期原因无法确认（已完成为不适用）。</x:v>
      </x:c>
      <x:c r="AM61" s="4" t="str">
        <x:v>否</x:v>
      </x:c>
      <x:c r="AN61" s="4" t="str"/>
      <x:c r="AO61" s="64" t="str">
        <x:v>1000001845252514</x:v>
      </x:c>
      <x:c r="AP61" s="4" t="s">
        <x:v>2355</x:v>
      </x:c>
      <x:c r="AQ61" s="4" t="str">
        <x:v>是</x:v>
      </x:c>
      <x:c r="AR61" s="4" t="s">
        <x:v>2428</x:v>
      </x:c>
      <x:c r="AS61" s="4" t="str">
        <x:v>/Users/luodaluo/Desktop/30天复盘原始数据/补充证据_历史委托条件委托截图/05_安卓端取消与过期完整生命周期/02_已过期/Screenshot_20260722_204515.jpg</x:v>
      </x:c>
      <x:c r="AT61" t="str">
        <x:v>过期</x:v>
      </x:c>
      <x:c r="AU61" t="n">
        <x:v>8463</x:v>
      </x:c>
      <x:c r="AV61" t="str">
        <x:v>STRONG_CONTEXT</x:v>
      </x:c>
      <x:c r="AW61" t="str">
        <x:v>无法确认</x:v>
      </x:c>
      <x:c r="AX61" t="str">
        <x:v>平台字段＋严格时间与仓位关系计算</x:v>
      </x:c>
    </x:row>
    <x:row r="62">
      <x:c r="A62" s="4" t="s">
        <x:v>72</x:v>
      </x:c>
      <x:c r="B62" s="4" t="s">
        <x:v>314</x:v>
      </x:c>
      <x:c r="C62" s="4" t="s">
        <x:v>2492</x:v>
      </x:c>
      <x:c r="D62" s="4" t="s">
        <x:v>417</x:v>
      </x:c>
      <x:c r="E62" s="65" t="n">
        <x:v>46176.82079861111</x:v>
      </x:c>
      <x:c r="F62" s="4" t="s">
        <x:v>2423</x:v>
      </x:c>
      <x:c r="G62" s="4" t="s">
        <x:v>2424</x:v>
      </x:c>
      <x:c r="H62" s="4" t="s">
        <x:v>1336</x:v>
      </x:c>
      <x:c r="I62" s="4" t="s">
        <x:v>1337</x:v>
      </x:c>
      <x:c r="J62" s="4" t="s">
        <x:v>2425</x:v>
      </x:c>
      <x:c r="K62" s="4" t="s">
        <x:v>1826</x:v>
      </x:c>
      <x:c r="L62" s="4" t="s">
        <x:v>205</x:v>
      </x:c>
      <x:c r="M62" s="4" t="s">
        <x:v>2426</x:v>
      </x:c>
      <x:c r="N62" s="4" t="s">
        <x:v>418</x:v>
      </x:c>
      <x:c r="O62" s="4" t="s">
        <x:v>107</x:v>
      </x:c>
      <x:c r="P62" s="4" t="s">
        <x:v>169</x:v>
      </x:c>
      <x:c r="Q62" s="4" t="s">
        <x:v>2427</x:v>
      </x:c>
      <x:c r="R62" s="4" t="s">
        <x:v>187</x:v>
      </x:c>
      <x:c r="S62" s="65"/>
      <x:c r="T62" s="4" t="str"/>
      <x:c r="U62" s="4" t="s">
        <x:v>172</x:v>
      </x:c>
      <x:c r="V62" s="4" t="s">
        <x:v>169</x:v>
      </x:c>
      <x:c r="W62" s="4" t="s">
        <x:v>169</x:v>
      </x:c>
      <x:c r="X62" s="4" t="s">
        <x:v>107</x:v>
      </x:c>
      <x:c r="Y62" s="4" t="s">
        <x:v>107</x:v>
      </x:c>
      <x:c r="Z62" s="4" t="str">
        <x:v>否</x:v>
      </x:c>
      <x:c r="AA62" s="4" t="s">
        <x:v>172</x:v>
      </x:c>
      <x:c r="AB62" s="4" t="s">
        <x:v>172</x:v>
      </x:c>
      <x:c r="AC62" s="4" t="s">
        <x:v>172</x:v>
      </x:c>
      <x:c r="AD62" s="4" t="str">
        <x:v>终态：撤销</x:v>
      </x:c>
      <x:c r="AE62" s="4" t="str">
        <x:v>疑似连续调整</x:v>
      </x:c>
      <x:c r="AF62" s="4" t="s">
        <x:v>414</x:v>
      </x:c>
      <x:c r="AG62" s="4" t="s">
        <x:v>418</x:v>
      </x:c>
      <x:c r="AH62" s="4" t="s">
        <x:v>2496</x:v>
      </x:c>
      <x:c r="AI62" s="4" t="s">
        <x:v>169</x:v>
      </x:c>
      <x:c r="AJ62" s="4" t="str">
        <x:v>疑似连续调整</x:v>
      </x:c>
      <x:c r="AK62" s="4" t="s">
        <x:v>1830</x:v>
      </x:c>
      <x:c r="AL62" s="4" t="str">
        <x:v>条件委托已取消；算法编号1000001845256781；创建时间2026-06-04 03:39:36；撤销时间2026-06-04 03:41:57；是否触发否；周期关联等级STRONG_CONTEXT；取消/过期原因无法确认（已完成为不适用）。</x:v>
      </x:c>
      <x:c r="AM62" s="4" t="str">
        <x:v>否</x:v>
      </x:c>
      <x:c r="AN62" s="4" t="str"/>
      <x:c r="AO62" s="64" t="str">
        <x:v>1000001845256781</x:v>
      </x:c>
      <x:c r="AP62" s="4" t="s">
        <x:v>2356</x:v>
      </x:c>
      <x:c r="AQ62" s="4" t="str">
        <x:v>是</x:v>
      </x:c>
      <x:c r="AR62" s="4" t="s">
        <x:v>2428</x:v>
      </x:c>
      <x:c r="AS62" s="4" t="str">
        <x:v>/Users/luodaluo/Desktop/30天复盘原始数据/补充证据_历史委托条件委托截图/05_安卓端取消与过期完整生命周期/01_已取消/Screenshot_20260722_214155.jpg</x:v>
      </x:c>
      <x:c r="AT62" t="str">
        <x:v>撤销</x:v>
      </x:c>
      <x:c r="AU62" t="n">
        <x:v>141</x:v>
      </x:c>
      <x:c r="AV62" t="str">
        <x:v>STRONG_CONTEXT</x:v>
      </x:c>
      <x:c r="AW62" t="str">
        <x:v>无法确认</x:v>
      </x:c>
      <x:c r="AX62" t="str">
        <x:v>平台字段＋严格时间与仓位关系计算</x:v>
      </x:c>
    </x:row>
    <x:row r="63">
      <x:c r="A63" s="4" t="s">
        <x:v>72</x:v>
      </x:c>
      <x:c r="B63" s="4" t="s">
        <x:v>1573</x:v>
      </x:c>
      <x:c r="C63" s="4" t="s">
        <x:v>2492</x:v>
      </x:c>
      <x:c r="D63" s="4" t="s">
        <x:v>419</x:v>
      </x:c>
      <x:c r="E63" s="65" t="n">
        <x:v>46176.82099537037</x:v>
      </x:c>
      <x:c r="F63" s="4" t="s">
        <x:v>2423</x:v>
      </x:c>
      <x:c r="G63" s="4" t="s">
        <x:v>2424</x:v>
      </x:c>
      <x:c r="H63" s="4" t="s">
        <x:v>1336</x:v>
      </x:c>
      <x:c r="I63" s="4" t="s">
        <x:v>1337</x:v>
      </x:c>
      <x:c r="J63" s="4" t="s">
        <x:v>2425</x:v>
      </x:c>
      <x:c r="K63" s="4" t="s">
        <x:v>1826</x:v>
      </x:c>
      <x:c r="L63" s="4" t="s">
        <x:v>205</x:v>
      </x:c>
      <x:c r="M63" s="4" t="s">
        <x:v>2426</x:v>
      </x:c>
      <x:c r="N63" s="4" t="s">
        <x:v>420</x:v>
      </x:c>
      <x:c r="O63" s="4" t="s">
        <x:v>107</x:v>
      </x:c>
      <x:c r="P63" s="4" t="s">
        <x:v>169</x:v>
      </x:c>
      <x:c r="Q63" s="4" t="s">
        <x:v>2427</x:v>
      </x:c>
      <x:c r="R63" s="4" t="s">
        <x:v>187</x:v>
      </x:c>
      <x:c r="S63" s="65"/>
      <x:c r="T63" s="4" t="str"/>
      <x:c r="U63" s="4" t="s">
        <x:v>172</x:v>
      </x:c>
      <x:c r="V63" s="4" t="s">
        <x:v>169</x:v>
      </x:c>
      <x:c r="W63" s="4" t="s">
        <x:v>169</x:v>
      </x:c>
      <x:c r="X63" s="4" t="s">
        <x:v>107</x:v>
      </x:c>
      <x:c r="Y63" s="4" t="s">
        <x:v>107</x:v>
      </x:c>
      <x:c r="Z63" s="4" t="str">
        <x:v>否</x:v>
      </x:c>
      <x:c r="AA63" s="4" t="s">
        <x:v>172</x:v>
      </x:c>
      <x:c r="AB63" s="4" t="s">
        <x:v>172</x:v>
      </x:c>
      <x:c r="AC63" s="4" t="s">
        <x:v>172</x:v>
      </x:c>
      <x:c r="AD63" s="4" t="str">
        <x:v>终态：撤销</x:v>
      </x:c>
      <x:c r="AE63" s="4" t="str">
        <x:v>疑似连续调整</x:v>
      </x:c>
      <x:c r="AF63" s="4" t="s">
        <x:v>418</x:v>
      </x:c>
      <x:c r="AG63" s="4" t="s">
        <x:v>420</x:v>
      </x:c>
      <x:c r="AH63" s="4" t="s">
        <x:v>2497</x:v>
      </x:c>
      <x:c r="AI63" s="4" t="s">
        <x:v>169</x:v>
      </x:c>
      <x:c r="AJ63" s="4" t="str">
        <x:v>疑似连续调整</x:v>
      </x:c>
      <x:c r="AK63" s="4" t="s">
        <x:v>1830</x:v>
      </x:c>
      <x:c r="AL63" s="4" t="str">
        <x:v>条件委托已取消；算法编号1000001845272301；创建时间2026-06-04 03:41:57；撤销时间2026-06-04 03:42:14；是否触发否；周期关联等级STRONG_CONTEXT；取消/过期原因无法确认（已完成为不适用）。</x:v>
      </x:c>
      <x:c r="AM63" s="4" t="str">
        <x:v>否</x:v>
      </x:c>
      <x:c r="AN63" s="4" t="str"/>
      <x:c r="AO63" s="64" t="str">
        <x:v>1000001845272301</x:v>
      </x:c>
      <x:c r="AP63" s="4" t="s">
        <x:v>2357</x:v>
      </x:c>
      <x:c r="AQ63" s="4" t="str">
        <x:v>是</x:v>
      </x:c>
      <x:c r="AR63" s="4" t="s">
        <x:v>2428</x:v>
      </x:c>
      <x:c r="AS63" s="4" t="str">
        <x:v>/Users/luodaluo/Desktop/30天复盘原始数据/补充证据_历史委托条件委托截图/05_安卓端取消与过期完整生命周期/01_已取消/Screenshot_20260722_214159.jpg</x:v>
      </x:c>
      <x:c r="AT63" t="str">
        <x:v>撤销</x:v>
      </x:c>
      <x:c r="AU63" t="n">
        <x:v>17</x:v>
      </x:c>
      <x:c r="AV63" t="str">
        <x:v>STRONG_CONTEXT</x:v>
      </x:c>
      <x:c r="AW63" t="str">
        <x:v>无法确认</x:v>
      </x:c>
      <x:c r="AX63" t="str">
        <x:v>平台字段＋严格时间与仓位关系计算</x:v>
      </x:c>
    </x:row>
    <x:row r="64">
      <x:c r="A64" s="4" t="s">
        <x:v>72</x:v>
      </x:c>
      <x:c r="B64" s="4" t="s">
        <x:v>330</x:v>
      </x:c>
      <x:c r="C64" s="4" t="s">
        <x:v>2492</x:v>
      </x:c>
      <x:c r="D64" s="4" t="s">
        <x:v>421</x:v>
      </x:c>
      <x:c r="E64" s="65" t="n">
        <x:v>46176.82148148148</x:v>
      </x:c>
      <x:c r="F64" s="4" t="s">
        <x:v>2423</x:v>
      </x:c>
      <x:c r="G64" s="4" t="s">
        <x:v>2424</x:v>
      </x:c>
      <x:c r="H64" s="4" t="s">
        <x:v>1336</x:v>
      </x:c>
      <x:c r="I64" s="4" t="s">
        <x:v>1337</x:v>
      </x:c>
      <x:c r="J64" s="4" t="s">
        <x:v>2425</x:v>
      </x:c>
      <x:c r="K64" s="4" t="s">
        <x:v>1826</x:v>
      </x:c>
      <x:c r="L64" s="4" t="s">
        <x:v>205</x:v>
      </x:c>
      <x:c r="M64" s="4" t="s">
        <x:v>2426</x:v>
      </x:c>
      <x:c r="N64" s="4" t="s">
        <x:v>422</x:v>
      </x:c>
      <x:c r="O64" s="4" t="s">
        <x:v>107</x:v>
      </x:c>
      <x:c r="P64" s="4" t="s">
        <x:v>169</x:v>
      </x:c>
      <x:c r="Q64" s="4" t="s">
        <x:v>2427</x:v>
      </x:c>
      <x:c r="R64" s="4" t="s">
        <x:v>187</x:v>
      </x:c>
      <x:c r="S64" s="65"/>
      <x:c r="T64" s="4" t="str"/>
      <x:c r="U64" s="4" t="s">
        <x:v>172</x:v>
      </x:c>
      <x:c r="V64" s="4" t="s">
        <x:v>169</x:v>
      </x:c>
      <x:c r="W64" s="4" t="s">
        <x:v>169</x:v>
      </x:c>
      <x:c r="X64" s="4" t="s">
        <x:v>107</x:v>
      </x:c>
      <x:c r="Y64" s="4" t="s">
        <x:v>107</x:v>
      </x:c>
      <x:c r="Z64" s="4" t="str">
        <x:v>否</x:v>
      </x:c>
      <x:c r="AA64" s="4" t="s">
        <x:v>172</x:v>
      </x:c>
      <x:c r="AB64" s="4" t="s">
        <x:v>172</x:v>
      </x:c>
      <x:c r="AC64" s="4" t="s">
        <x:v>172</x:v>
      </x:c>
      <x:c r="AD64" s="4" t="str">
        <x:v>终态：撤销</x:v>
      </x:c>
      <x:c r="AE64" s="4" t="str">
        <x:v>疑似连续调整</x:v>
      </x:c>
      <x:c r="AF64" s="4" t="s">
        <x:v>420</x:v>
      </x:c>
      <x:c r="AG64" s="4" t="s">
        <x:v>422</x:v>
      </x:c>
      <x:c r="AH64" s="4" t="s">
        <x:v>2498</x:v>
      </x:c>
      <x:c r="AI64" s="4" t="s">
        <x:v>169</x:v>
      </x:c>
      <x:c r="AJ64" s="4" t="str">
        <x:v>疑似连续调整</x:v>
      </x:c>
      <x:c r="AK64" s="4" t="s">
        <x:v>1830</x:v>
      </x:c>
      <x:c r="AL64" s="4" t="str">
        <x:v>条件委托已取消；算法编号1000001845277587；创建时间2026-06-04 03:42:39；撤销时间2026-06-04 03:42:56；是否触发否；周期关联等级STRONG_CONTEXT；取消/过期原因无法确认（已完成为不适用）。</x:v>
      </x:c>
      <x:c r="AM64" s="4" t="str">
        <x:v>否</x:v>
      </x:c>
      <x:c r="AN64" s="4" t="str"/>
      <x:c r="AO64" s="64" t="str">
        <x:v>1000001845277587</x:v>
      </x:c>
      <x:c r="AP64" s="4" t="s">
        <x:v>2358</x:v>
      </x:c>
      <x:c r="AQ64" s="4" t="str">
        <x:v>是</x:v>
      </x:c>
      <x:c r="AR64" s="4" t="s">
        <x:v>2428</x:v>
      </x:c>
      <x:c r="AS64" s="4" t="str">
        <x:v>/Users/luodaluo/Desktop/30天复盘原始数据/补充证据_历史委托条件委托截图/05_安卓端取消与过期完整生命周期/01_已取消/Screenshot_20260722_214205.jpg</x:v>
      </x:c>
      <x:c r="AT64" t="str">
        <x:v>撤销</x:v>
      </x:c>
      <x:c r="AU64" t="n">
        <x:v>17</x:v>
      </x:c>
      <x:c r="AV64" t="str">
        <x:v>STRONG_CONTEXT</x:v>
      </x:c>
      <x:c r="AW64" t="str">
        <x:v>无法确认</x:v>
      </x:c>
      <x:c r="AX64" t="str">
        <x:v>平台字段＋严格时间与仓位关系计算</x:v>
      </x:c>
    </x:row>
    <x:row r="65">
      <x:c r="A65" s="4" t="s">
        <x:v>72</x:v>
      </x:c>
      <x:c r="B65" s="4" t="s">
        <x:v>229</x:v>
      </x:c>
      <x:c r="C65" s="4" t="s">
        <x:v>2492</x:v>
      </x:c>
      <x:c r="D65" s="4" t="s">
        <x:v>423</x:v>
      </x:c>
      <x:c r="E65" s="65" t="n">
        <x:v>46176.8409375</x:v>
      </x:c>
      <x:c r="F65" s="4" t="s">
        <x:v>2423</x:v>
      </x:c>
      <x:c r="G65" s="4" t="s">
        <x:v>2424</x:v>
      </x:c>
      <x:c r="H65" s="4" t="s">
        <x:v>1336</x:v>
      </x:c>
      <x:c r="I65" s="4" t="s">
        <x:v>1337</x:v>
      </x:c>
      <x:c r="J65" s="4" t="s">
        <x:v>2425</x:v>
      </x:c>
      <x:c r="K65" s="4" t="s">
        <x:v>1826</x:v>
      </x:c>
      <x:c r="L65" s="4" t="s">
        <x:v>205</x:v>
      </x:c>
      <x:c r="M65" s="4" t="s">
        <x:v>2426</x:v>
      </x:c>
      <x:c r="N65" s="4" t="s">
        <x:v>418</x:v>
      </x:c>
      <x:c r="O65" s="4" t="s">
        <x:v>107</x:v>
      </x:c>
      <x:c r="P65" s="4" t="s">
        <x:v>169</x:v>
      </x:c>
      <x:c r="Q65" s="4" t="s">
        <x:v>2427</x:v>
      </x:c>
      <x:c r="R65" s="4" t="s">
        <x:v>187</x:v>
      </x:c>
      <x:c r="S65" s="65"/>
      <x:c r="T65" s="4" t="str"/>
      <x:c r="U65" s="4" t="s">
        <x:v>172</x:v>
      </x:c>
      <x:c r="V65" s="4" t="s">
        <x:v>169</x:v>
      </x:c>
      <x:c r="W65" s="4" t="s">
        <x:v>169</x:v>
      </x:c>
      <x:c r="X65" s="4" t="s">
        <x:v>107</x:v>
      </x:c>
      <x:c r="Y65" s="4" t="s">
        <x:v>107</x:v>
      </x:c>
      <x:c r="Z65" s="4" t="str">
        <x:v>否</x:v>
      </x:c>
      <x:c r="AA65" s="4" t="s">
        <x:v>172</x:v>
      </x:c>
      <x:c r="AB65" s="4" t="s">
        <x:v>172</x:v>
      </x:c>
      <x:c r="AC65" s="4" t="s">
        <x:v>172</x:v>
      </x:c>
      <x:c r="AD65" s="4" t="str">
        <x:v>终态：撤销</x:v>
      </x:c>
      <x:c r="AE65" s="4" t="str">
        <x:v>疑似连续调整</x:v>
      </x:c>
      <x:c r="AF65" s="4" t="s">
        <x:v>422</x:v>
      </x:c>
      <x:c r="AG65" s="4" t="s">
        <x:v>418</x:v>
      </x:c>
      <x:c r="AH65" s="4" t="s">
        <x:v>2499</x:v>
      </x:c>
      <x:c r="AI65" s="4" t="s">
        <x:v>169</x:v>
      </x:c>
      <x:c r="AJ65" s="4" t="str">
        <x:v>疑似连续调整</x:v>
      </x:c>
      <x:c r="AK65" s="4" t="s">
        <x:v>1830</x:v>
      </x:c>
      <x:c r="AL65" s="4" t="str">
        <x:v>条件委托已取消；算法编号1000001845279392；创建时间2026-06-04 03:42:56；撤销时间2026-06-04 04:10:57；是否触发否；周期关联等级STRONG_CONTEXT；取消/过期原因无法确认（已完成为不适用）。</x:v>
      </x:c>
      <x:c r="AM65" s="4" t="str">
        <x:v>否</x:v>
      </x:c>
      <x:c r="AN65" s="4" t="str"/>
      <x:c r="AO65" s="64" t="str">
        <x:v>1000001845279392</x:v>
      </x:c>
      <x:c r="AP65" s="4" t="s">
        <x:v>2359</x:v>
      </x:c>
      <x:c r="AQ65" s="4" t="str">
        <x:v>是</x:v>
      </x:c>
      <x:c r="AR65" s="4" t="s">
        <x:v>2428</x:v>
      </x:c>
      <x:c r="AS65" s="4" t="str">
        <x:v>/Users/luodaluo/Desktop/30天复盘原始数据/补充证据_历史委托条件委托截图/05_安卓端取消与过期完整生命周期/01_已取消/Screenshot_20260722_214212.jpg</x:v>
      </x:c>
      <x:c r="AT65" t="str">
        <x:v>撤销</x:v>
      </x:c>
      <x:c r="AU65" t="n">
        <x:v>1681</x:v>
      </x:c>
      <x:c r="AV65" t="str">
        <x:v>STRONG_CONTEXT</x:v>
      </x:c>
      <x:c r="AW65" t="str">
        <x:v>无法确认</x:v>
      </x:c>
      <x:c r="AX65" t="str">
        <x:v>平台字段＋严格时间与仓位关系计算</x:v>
      </x:c>
    </x:row>
    <x:row r="66">
      <x:c r="A66" s="4" t="s">
        <x:v>72</x:v>
      </x:c>
      <x:c r="B66" s="4" t="s">
        <x:v>298</x:v>
      </x:c>
      <x:c r="C66" s="4" t="s">
        <x:v>2492</x:v>
      </x:c>
      <x:c r="D66" s="4" t="s">
        <x:v>424</x:v>
      </x:c>
      <x:c r="E66" s="65" t="n">
        <x:v>46176.84355324074</x:v>
      </x:c>
      <x:c r="F66" s="4" t="s">
        <x:v>2423</x:v>
      </x:c>
      <x:c r="G66" s="4" t="s">
        <x:v>2424</x:v>
      </x:c>
      <x:c r="H66" s="4" t="s">
        <x:v>1336</x:v>
      </x:c>
      <x:c r="I66" s="4" t="s">
        <x:v>1337</x:v>
      </x:c>
      <x:c r="J66" s="4" t="s">
        <x:v>2425</x:v>
      </x:c>
      <x:c r="K66" s="4" t="s">
        <x:v>1826</x:v>
      </x:c>
      <x:c r="L66" s="4" t="s">
        <x:v>205</x:v>
      </x:c>
      <x:c r="M66" s="4" t="s">
        <x:v>2426</x:v>
      </x:c>
      <x:c r="N66" s="4" t="s">
        <x:v>425</x:v>
      </x:c>
      <x:c r="O66" s="4" t="s">
        <x:v>107</x:v>
      </x:c>
      <x:c r="P66" s="4" t="s">
        <x:v>169</x:v>
      </x:c>
      <x:c r="Q66" s="4" t="s">
        <x:v>2427</x:v>
      </x:c>
      <x:c r="R66" s="4" t="s">
        <x:v>187</x:v>
      </x:c>
      <x:c r="S66" s="65"/>
      <x:c r="T66" s="4" t="str"/>
      <x:c r="U66" s="4" t="s">
        <x:v>172</x:v>
      </x:c>
      <x:c r="V66" s="4" t="s">
        <x:v>169</x:v>
      </x:c>
      <x:c r="W66" s="4" t="s">
        <x:v>169</x:v>
      </x:c>
      <x:c r="X66" s="4" t="s">
        <x:v>107</x:v>
      </x:c>
      <x:c r="Y66" s="4" t="s">
        <x:v>107</x:v>
      </x:c>
      <x:c r="Z66" s="4" t="str">
        <x:v>否</x:v>
      </x:c>
      <x:c r="AA66" s="4" t="s">
        <x:v>172</x:v>
      </x:c>
      <x:c r="AB66" s="4" t="s">
        <x:v>172</x:v>
      </x:c>
      <x:c r="AC66" s="4" t="s">
        <x:v>172</x:v>
      </x:c>
      <x:c r="AD66" s="4" t="str">
        <x:v>终态：撤销</x:v>
      </x:c>
      <x:c r="AE66" s="4" t="str">
        <x:v>疑似连续调整</x:v>
      </x:c>
      <x:c r="AF66" s="4" t="s">
        <x:v>418</x:v>
      </x:c>
      <x:c r="AG66" s="4" t="s">
        <x:v>425</x:v>
      </x:c>
      <x:c r="AH66" s="4" t="s">
        <x:v>2500</x:v>
      </x:c>
      <x:c r="AI66" s="4" t="s">
        <x:v>169</x:v>
      </x:c>
      <x:c r="AJ66" s="4" t="str">
        <x:v>疑似连续调整</x:v>
      </x:c>
      <x:c r="AK66" s="4" t="s">
        <x:v>1830</x:v>
      </x:c>
      <x:c r="AL66" s="4" t="str">
        <x:v>条件委托已取消；算法编号1000001845535641；创建时间2026-06-04 04:10:57；撤销时间2026-06-04 04:14:43；是否触发否；周期关联等级STRONG_CONTEXT；取消/过期原因无法确认（已完成为不适用）。</x:v>
      </x:c>
      <x:c r="AM66" s="4" t="str">
        <x:v>否</x:v>
      </x:c>
      <x:c r="AN66" s="4" t="str"/>
      <x:c r="AO66" s="64" t="str">
        <x:v>1000001845535641</x:v>
      </x:c>
      <x:c r="AP66" s="4" t="s">
        <x:v>2360</x:v>
      </x:c>
      <x:c r="AQ66" s="4" t="str">
        <x:v>是</x:v>
      </x:c>
      <x:c r="AR66" s="4" t="s">
        <x:v>2428</x:v>
      </x:c>
      <x:c r="AS66" s="4" t="str">
        <x:v>/Users/luodaluo/Desktop/30天复盘原始数据/补充证据_历史委托条件委托截图/05_安卓端取消与过期完整生命周期/01_已取消/Screenshot_20260722_214217.jpg</x:v>
      </x:c>
      <x:c r="AT66" t="str">
        <x:v>撤销</x:v>
      </x:c>
      <x:c r="AU66" t="n">
        <x:v>226</x:v>
      </x:c>
      <x:c r="AV66" t="str">
        <x:v>STRONG_CONTEXT</x:v>
      </x:c>
      <x:c r="AW66" t="str">
        <x:v>无法确认</x:v>
      </x:c>
      <x:c r="AX66" t="str">
        <x:v>平台字段＋严格时间与仓位关系计算</x:v>
      </x:c>
    </x:row>
    <x:row r="67">
      <x:c r="A67" s="4" t="s">
        <x:v>72</x:v>
      </x:c>
      <x:c r="B67" s="4" t="s">
        <x:v>632</x:v>
      </x:c>
      <x:c r="C67" s="4" t="s">
        <x:v>2492</x:v>
      </x:c>
      <x:c r="D67" s="4" t="s">
        <x:v>426</x:v>
      </x:c>
      <x:c r="E67" s="65" t="n">
        <x:v>46176.85623842593</x:v>
      </x:c>
      <x:c r="F67" s="4" t="s">
        <x:v>2423</x:v>
      </x:c>
      <x:c r="G67" s="4" t="s">
        <x:v>2424</x:v>
      </x:c>
      <x:c r="H67" s="4" t="s">
        <x:v>1336</x:v>
      </x:c>
      <x:c r="I67" s="4" t="s">
        <x:v>1337</x:v>
      </x:c>
      <x:c r="J67" s="4" t="s">
        <x:v>2425</x:v>
      </x:c>
      <x:c r="K67" s="4" t="s">
        <x:v>1826</x:v>
      </x:c>
      <x:c r="L67" s="4" t="s">
        <x:v>205</x:v>
      </x:c>
      <x:c r="M67" s="4" t="s">
        <x:v>2426</x:v>
      </x:c>
      <x:c r="N67" s="4" t="s">
        <x:v>418</x:v>
      </x:c>
      <x:c r="O67" s="4" t="s">
        <x:v>107</x:v>
      </x:c>
      <x:c r="P67" s="4" t="s">
        <x:v>169</x:v>
      </x:c>
      <x:c r="Q67" s="4" t="s">
        <x:v>2427</x:v>
      </x:c>
      <x:c r="R67" s="4" t="s">
        <x:v>187</x:v>
      </x:c>
      <x:c r="S67" s="65"/>
      <x:c r="T67" s="4" t="str"/>
      <x:c r="U67" s="4" t="s">
        <x:v>172</x:v>
      </x:c>
      <x:c r="V67" s="4" t="s">
        <x:v>169</x:v>
      </x:c>
      <x:c r="W67" s="4" t="s">
        <x:v>169</x:v>
      </x:c>
      <x:c r="X67" s="4" t="s">
        <x:v>107</x:v>
      </x:c>
      <x:c r="Y67" s="4" t="s">
        <x:v>107</x:v>
      </x:c>
      <x:c r="Z67" s="4" t="str">
        <x:v>否</x:v>
      </x:c>
      <x:c r="AA67" s="4" t="s">
        <x:v>172</x:v>
      </x:c>
      <x:c r="AB67" s="4" t="s">
        <x:v>172</x:v>
      </x:c>
      <x:c r="AC67" s="4" t="s">
        <x:v>172</x:v>
      </x:c>
      <x:c r="AD67" s="4" t="str">
        <x:v>终态：撤销</x:v>
      </x:c>
      <x:c r="AE67" s="4" t="str">
        <x:v>疑似连续调整</x:v>
      </x:c>
      <x:c r="AF67" s="4" t="s">
        <x:v>425</x:v>
      </x:c>
      <x:c r="AG67" s="4" t="s">
        <x:v>418</x:v>
      </x:c>
      <x:c r="AH67" s="4" t="s">
        <x:v>2501</x:v>
      </x:c>
      <x:c r="AI67" s="4" t="s">
        <x:v>169</x:v>
      </x:c>
      <x:c r="AJ67" s="4" t="str">
        <x:v>疑似连续调整</x:v>
      </x:c>
      <x:c r="AK67" s="4" t="s">
        <x:v>1830</x:v>
      </x:c>
      <x:c r="AL67" s="4" t="str">
        <x:v>条件委托已取消；算法编号1000001845567495；创建时间2026-06-04 04:14:44；撤销时间2026-06-04 04:32:59；是否触发否；周期关联等级STRONG_CONTEXT；取消/过期原因无法确认（已完成为不适用）。</x:v>
      </x:c>
      <x:c r="AM67" s="4" t="str">
        <x:v>否</x:v>
      </x:c>
      <x:c r="AN67" s="4" t="str"/>
      <x:c r="AO67" s="64" t="str">
        <x:v>1000001845567495</x:v>
      </x:c>
      <x:c r="AP67" s="4" t="s">
        <x:v>2361</x:v>
      </x:c>
      <x:c r="AQ67" s="4" t="str">
        <x:v>是</x:v>
      </x:c>
      <x:c r="AR67" s="4" t="s">
        <x:v>2428</x:v>
      </x:c>
      <x:c r="AS67" s="4" t="str">
        <x:v>/Users/luodaluo/Desktop/30天复盘原始数据/补充证据_历史委托条件委托截图/05_安卓端取消与过期完整生命周期/01_已取消/Screenshot_20260722_214223.jpg</x:v>
      </x:c>
      <x:c r="AT67" t="str">
        <x:v>撤销</x:v>
      </x:c>
      <x:c r="AU67" t="n">
        <x:v>1095</x:v>
      </x:c>
      <x:c r="AV67" t="str">
        <x:v>STRONG_CONTEXT</x:v>
      </x:c>
      <x:c r="AW67" t="str">
        <x:v>无法确认</x:v>
      </x:c>
      <x:c r="AX67" t="str">
        <x:v>平台字段＋严格时间与仓位关系计算</x:v>
      </x:c>
    </x:row>
    <x:row r="68">
      <x:c r="A68" s="4" t="s">
        <x:v>72</x:v>
      </x:c>
      <x:c r="B68" s="4" t="s">
        <x:v>1607</x:v>
      </x:c>
      <x:c r="C68" s="4" t="s">
        <x:v>2492</x:v>
      </x:c>
      <x:c r="D68" s="4" t="s">
        <x:v>427</x:v>
      </x:c>
      <x:c r="E68" s="65" t="n">
        <x:v>46176.85643518518</x:v>
      </x:c>
      <x:c r="F68" s="4" t="s">
        <x:v>2423</x:v>
      </x:c>
      <x:c r="G68" s="4" t="s">
        <x:v>2424</x:v>
      </x:c>
      <x:c r="H68" s="4" t="s">
        <x:v>1336</x:v>
      </x:c>
      <x:c r="I68" s="4" t="s">
        <x:v>1337</x:v>
      </x:c>
      <x:c r="J68" s="4" t="s">
        <x:v>2425</x:v>
      </x:c>
      <x:c r="K68" s="4" t="s">
        <x:v>1826</x:v>
      </x:c>
      <x:c r="L68" s="4" t="s">
        <x:v>205</x:v>
      </x:c>
      <x:c r="M68" s="4" t="s">
        <x:v>2426</x:v>
      </x:c>
      <x:c r="N68" s="4" t="s">
        <x:v>428</x:v>
      </x:c>
      <x:c r="O68" s="4" t="s">
        <x:v>107</x:v>
      </x:c>
      <x:c r="P68" s="4" t="s">
        <x:v>169</x:v>
      </x:c>
      <x:c r="Q68" s="4" t="s">
        <x:v>2427</x:v>
      </x:c>
      <x:c r="R68" s="4" t="s">
        <x:v>187</x:v>
      </x:c>
      <x:c r="S68" s="65"/>
      <x:c r="T68" s="4" t="str"/>
      <x:c r="U68" s="4" t="s">
        <x:v>172</x:v>
      </x:c>
      <x:c r="V68" s="4" t="s">
        <x:v>169</x:v>
      </x:c>
      <x:c r="W68" s="4" t="s">
        <x:v>169</x:v>
      </x:c>
      <x:c r="X68" s="4" t="s">
        <x:v>107</x:v>
      </x:c>
      <x:c r="Y68" s="4" t="s">
        <x:v>107</x:v>
      </x:c>
      <x:c r="Z68" s="4" t="str">
        <x:v>否</x:v>
      </x:c>
      <x:c r="AA68" s="4" t="s">
        <x:v>172</x:v>
      </x:c>
      <x:c r="AB68" s="4" t="s">
        <x:v>172</x:v>
      </x:c>
      <x:c r="AC68" s="4" t="s">
        <x:v>172</x:v>
      </x:c>
      <x:c r="AD68" s="4" t="str">
        <x:v>终态：撤销</x:v>
      </x:c>
      <x:c r="AE68" s="4" t="str">
        <x:v>疑似连续调整</x:v>
      </x:c>
      <x:c r="AF68" s="4" t="s">
        <x:v>418</x:v>
      </x:c>
      <x:c r="AG68" s="4" t="s">
        <x:v>428</x:v>
      </x:c>
      <x:c r="AH68" s="4" t="s">
        <x:v>2502</x:v>
      </x:c>
      <x:c r="AI68" s="4" t="s">
        <x:v>169</x:v>
      </x:c>
      <x:c r="AJ68" s="4" t="str">
        <x:v>疑似连续调整</x:v>
      </x:c>
      <x:c r="AK68" s="4" t="s">
        <x:v>1830</x:v>
      </x:c>
      <x:c r="AL68" s="4" t="str">
        <x:v>条件委托已取消；算法编号1000001845721818；创建时间2026-06-04 04:32:59；撤销时间2026-06-04 04:33:16；是否触发否；周期关联等级STRONG_CONTEXT；取消/过期原因无法确认（已完成为不适用）。</x:v>
      </x:c>
      <x:c r="AM68" s="4" t="str">
        <x:v>否</x:v>
      </x:c>
      <x:c r="AN68" s="4" t="str"/>
      <x:c r="AO68" s="64" t="str">
        <x:v>1000001845721818</x:v>
      </x:c>
      <x:c r="AP68" s="4" t="s">
        <x:v>2362</x:v>
      </x:c>
      <x:c r="AQ68" s="4" t="str">
        <x:v>是</x:v>
      </x:c>
      <x:c r="AR68" s="4" t="s">
        <x:v>2428</x:v>
      </x:c>
      <x:c r="AS68" s="4" t="str">
        <x:v>/Users/luodaluo/Desktop/30天复盘原始数据/补充证据_历史委托条件委托截图/05_安卓端取消与过期完整生命周期/01_已取消/Screenshot_20260722_214230.jpg</x:v>
      </x:c>
      <x:c r="AT68" t="str">
        <x:v>撤销</x:v>
      </x:c>
      <x:c r="AU68" t="n">
        <x:v>17</x:v>
      </x:c>
      <x:c r="AV68" t="str">
        <x:v>STRONG_CONTEXT</x:v>
      </x:c>
      <x:c r="AW68" t="str">
        <x:v>无法确认</x:v>
      </x:c>
      <x:c r="AX68" t="str">
        <x:v>平台字段＋严格时间与仓位关系计算</x:v>
      </x:c>
    </x:row>
    <x:row r="69">
      <x:c r="A69" s="4" t="s">
        <x:v>72</x:v>
      </x:c>
      <x:c r="B69" s="4" t="s">
        <x:v>358</x:v>
      </x:c>
      <x:c r="C69" s="4" t="s">
        <x:v>2492</x:v>
      </x:c>
      <x:c r="D69" s="4" t="s">
        <x:v>429</x:v>
      </x:c>
      <x:c r="E69" s="65" t="n">
        <x:v>46176.87295138889</x:v>
      </x:c>
      <x:c r="F69" s="4" t="s">
        <x:v>2423</x:v>
      </x:c>
      <x:c r="G69" s="4" t="s">
        <x:v>2424</x:v>
      </x:c>
      <x:c r="H69" s="4" t="s">
        <x:v>1336</x:v>
      </x:c>
      <x:c r="I69" s="4" t="s">
        <x:v>1337</x:v>
      </x:c>
      <x:c r="J69" s="4" t="s">
        <x:v>2425</x:v>
      </x:c>
      <x:c r="K69" s="4" t="s">
        <x:v>1826</x:v>
      </x:c>
      <x:c r="L69" s="4" t="s">
        <x:v>205</x:v>
      </x:c>
      <x:c r="M69" s="4" t="s">
        <x:v>2426</x:v>
      </x:c>
      <x:c r="N69" s="4" t="s">
        <x:v>367</x:v>
      </x:c>
      <x:c r="O69" s="4" t="s">
        <x:v>107</x:v>
      </x:c>
      <x:c r="P69" s="4" t="s">
        <x:v>169</x:v>
      </x:c>
      <x:c r="Q69" s="4" t="s">
        <x:v>2427</x:v>
      </x:c>
      <x:c r="R69" s="4" t="s">
        <x:v>187</x:v>
      </x:c>
      <x:c r="S69" s="65"/>
      <x:c r="T69" s="4" t="str"/>
      <x:c r="U69" s="4" t="s">
        <x:v>172</x:v>
      </x:c>
      <x:c r="V69" s="4" t="s">
        <x:v>169</x:v>
      </x:c>
      <x:c r="W69" s="4" t="s">
        <x:v>169</x:v>
      </x:c>
      <x:c r="X69" s="4" t="s">
        <x:v>107</x:v>
      </x:c>
      <x:c r="Y69" s="4" t="s">
        <x:v>107</x:v>
      </x:c>
      <x:c r="Z69" s="4" t="str">
        <x:v>否</x:v>
      </x:c>
      <x:c r="AA69" s="4" t="s">
        <x:v>172</x:v>
      </x:c>
      <x:c r="AB69" s="4" t="s">
        <x:v>172</x:v>
      </x:c>
      <x:c r="AC69" s="4" t="s">
        <x:v>172</x:v>
      </x:c>
      <x:c r="AD69" s="4" t="str">
        <x:v>终态：撤销</x:v>
      </x:c>
      <x:c r="AE69" s="4" t="str">
        <x:v>疑似连续调整</x:v>
      </x:c>
      <x:c r="AF69" s="4" t="s">
        <x:v>428</x:v>
      </x:c>
      <x:c r="AG69" s="4" t="s">
        <x:v>367</x:v>
      </x:c>
      <x:c r="AH69" s="4" t="s">
        <x:v>2503</x:v>
      </x:c>
      <x:c r="AI69" s="4" t="s">
        <x:v>169</x:v>
      </x:c>
      <x:c r="AJ69" s="4" t="str">
        <x:v>疑似连续调整</x:v>
      </x:c>
      <x:c r="AK69" s="4" t="s">
        <x:v>1830</x:v>
      </x:c>
      <x:c r="AL69" s="4" t="str">
        <x:v>条件委托已取消；算法编号1000001845724461；创建时间2026-06-04 04:33:17；撤销时间2026-06-04 04:57:03；是否触发否；周期关联等级STRONG_CONTEXT；取消/过期原因无法确认（已完成为不适用）。</x:v>
      </x:c>
      <x:c r="AM69" s="4" t="str">
        <x:v>否</x:v>
      </x:c>
      <x:c r="AN69" s="4" t="str"/>
      <x:c r="AO69" s="64" t="str">
        <x:v>1000001845724461</x:v>
      </x:c>
      <x:c r="AP69" s="4" t="s">
        <x:v>2363</x:v>
      </x:c>
      <x:c r="AQ69" s="4" t="str">
        <x:v>是</x:v>
      </x:c>
      <x:c r="AR69" s="4" t="s">
        <x:v>2428</x:v>
      </x:c>
      <x:c r="AS69" s="4" t="str">
        <x:v>/Users/luodaluo/Desktop/30天复盘原始数据/补充证据_历史委托条件委托截图/05_安卓端取消与过期完整生命周期/01_已取消/Screenshot_20260722_214235.jpg</x:v>
      </x:c>
      <x:c r="AT69" t="str">
        <x:v>撤销</x:v>
      </x:c>
      <x:c r="AU69" t="n">
        <x:v>1426</x:v>
      </x:c>
      <x:c r="AV69" t="str">
        <x:v>STRONG_CONTEXT</x:v>
      </x:c>
      <x:c r="AW69" t="str">
        <x:v>无法确认</x:v>
      </x:c>
      <x:c r="AX69" t="str">
        <x:v>平台字段＋严格时间与仓位关系计算</x:v>
      </x:c>
    </x:row>
    <x:row r="70">
      <x:c r="A70" s="4" t="s">
        <x:v>72</x:v>
      </x:c>
      <x:c r="B70" s="4" t="s">
        <x:v>1465</x:v>
      </x:c>
      <x:c r="C70" s="4" t="s">
        <x:v>2492</x:v>
      </x:c>
      <x:c r="D70" s="4" t="s">
        <x:v>430</x:v>
      </x:c>
      <x:c r="E70" s="65" t="n">
        <x:v>46176.87332175926</x:v>
      </x:c>
      <x:c r="F70" s="4" t="s">
        <x:v>2423</x:v>
      </x:c>
      <x:c r="G70" s="4" t="s">
        <x:v>2424</x:v>
      </x:c>
      <x:c r="H70" s="4" t="s">
        <x:v>1336</x:v>
      </x:c>
      <x:c r="I70" s="4" t="s">
        <x:v>1337</x:v>
      </x:c>
      <x:c r="J70" s="4" t="s">
        <x:v>2425</x:v>
      </x:c>
      <x:c r="K70" s="4" t="s">
        <x:v>1826</x:v>
      </x:c>
      <x:c r="L70" s="4" t="s">
        <x:v>205</x:v>
      </x:c>
      <x:c r="M70" s="4" t="s">
        <x:v>2426</x:v>
      </x:c>
      <x:c r="N70" s="4" t="s">
        <x:v>431</x:v>
      </x:c>
      <x:c r="O70" s="4" t="s">
        <x:v>107</x:v>
      </x:c>
      <x:c r="P70" s="4" t="s">
        <x:v>169</x:v>
      </x:c>
      <x:c r="Q70" s="4" t="s">
        <x:v>2427</x:v>
      </x:c>
      <x:c r="R70" s="4" t="s">
        <x:v>187</x:v>
      </x:c>
      <x:c r="S70" s="65"/>
      <x:c r="T70" s="4" t="str"/>
      <x:c r="U70" s="4" t="s">
        <x:v>172</x:v>
      </x:c>
      <x:c r="V70" s="4" t="s">
        <x:v>169</x:v>
      </x:c>
      <x:c r="W70" s="4" t="s">
        <x:v>169</x:v>
      </x:c>
      <x:c r="X70" s="4" t="s">
        <x:v>107</x:v>
      </x:c>
      <x:c r="Y70" s="4" t="s">
        <x:v>107</x:v>
      </x:c>
      <x:c r="Z70" s="4" t="str">
        <x:v>否</x:v>
      </x:c>
      <x:c r="AA70" s="4" t="s">
        <x:v>172</x:v>
      </x:c>
      <x:c r="AB70" s="4" t="s">
        <x:v>172</x:v>
      </x:c>
      <x:c r="AC70" s="4" t="s">
        <x:v>172</x:v>
      </x:c>
      <x:c r="AD70" s="4" t="str">
        <x:v>终态：撤销</x:v>
      </x:c>
      <x:c r="AE70" s="4" t="str">
        <x:v>疑似连续调整</x:v>
      </x:c>
      <x:c r="AF70" s="4" t="s">
        <x:v>367</x:v>
      </x:c>
      <x:c r="AG70" s="4" t="s">
        <x:v>431</x:v>
      </x:c>
      <x:c r="AH70" s="4" t="s">
        <x:v>2504</x:v>
      </x:c>
      <x:c r="AI70" s="4" t="s">
        <x:v>169</x:v>
      </x:c>
      <x:c r="AJ70" s="4" t="str">
        <x:v>疑似连续调整</x:v>
      </x:c>
      <x:c r="AK70" s="4" t="s">
        <x:v>1830</x:v>
      </x:c>
      <x:c r="AL70" s="4" t="str">
        <x:v>条件委托已取消；算法编号1000001845956843；创建时间2026-06-04 04:57:03；撤销时间2026-06-04 04:57:35；是否触发否；周期关联等级STRONG_CONTEXT；取消/过期原因无法确认（已完成为不适用）。</x:v>
      </x:c>
      <x:c r="AM70" s="4" t="str">
        <x:v>否</x:v>
      </x:c>
      <x:c r="AN70" s="4" t="str"/>
      <x:c r="AO70" s="64" t="str">
        <x:v>1000001845956843</x:v>
      </x:c>
      <x:c r="AP70" s="4" t="s">
        <x:v>2364</x:v>
      </x:c>
      <x:c r="AQ70" s="4" t="str">
        <x:v>是</x:v>
      </x:c>
      <x:c r="AR70" s="4" t="s">
        <x:v>2428</x:v>
      </x:c>
      <x:c r="AS70" s="4" t="str">
        <x:v>/Users/luodaluo/Desktop/30天复盘原始数据/补充证据_历史委托条件委托截图/05_安卓端取消与过期完整生命周期/01_已取消/Screenshot_20260722_214239.jpg</x:v>
      </x:c>
      <x:c r="AT70" t="str">
        <x:v>撤销</x:v>
      </x:c>
      <x:c r="AU70" t="n">
        <x:v>32</x:v>
      </x:c>
      <x:c r="AV70" t="str">
        <x:v>STRONG_CONTEXT</x:v>
      </x:c>
      <x:c r="AW70" t="str">
        <x:v>无法确认</x:v>
      </x:c>
      <x:c r="AX70" t="str">
        <x:v>平台字段＋严格时间与仓位关系计算</x:v>
      </x:c>
    </x:row>
    <x:row r="71">
      <x:c r="A71" s="4" t="s">
        <x:v>72</x:v>
      </x:c>
      <x:c r="B71" s="4" t="s">
        <x:v>1464</x:v>
      </x:c>
      <x:c r="C71" s="4" t="s">
        <x:v>2492</x:v>
      </x:c>
      <x:c r="D71" s="4" t="s">
        <x:v>432</x:v>
      </x:c>
      <x:c r="E71" s="65" t="n">
        <x:v>46176.88486111111</x:v>
      </x:c>
      <x:c r="F71" s="4" t="s">
        <x:v>2423</x:v>
      </x:c>
      <x:c r="G71" s="4" t="s">
        <x:v>2424</x:v>
      </x:c>
      <x:c r="H71" s="4" t="s">
        <x:v>1336</x:v>
      </x:c>
      <x:c r="I71" s="4" t="s">
        <x:v>1337</x:v>
      </x:c>
      <x:c r="J71" s="4" t="s">
        <x:v>2425</x:v>
      </x:c>
      <x:c r="K71" s="4" t="s">
        <x:v>1826</x:v>
      </x:c>
      <x:c r="L71" s="4" t="s">
        <x:v>205</x:v>
      </x:c>
      <x:c r="M71" s="4" t="s">
        <x:v>2426</x:v>
      </x:c>
      <x:c r="N71" s="4" t="s">
        <x:v>433</x:v>
      </x:c>
      <x:c r="O71" s="4" t="s">
        <x:v>107</x:v>
      </x:c>
      <x:c r="P71" s="4" t="s">
        <x:v>169</x:v>
      </x:c>
      <x:c r="Q71" s="4" t="s">
        <x:v>2427</x:v>
      </x:c>
      <x:c r="R71" s="4" t="s">
        <x:v>187</x:v>
      </x:c>
      <x:c r="S71" s="65"/>
      <x:c r="T71" s="4" t="str"/>
      <x:c r="U71" s="4" t="s">
        <x:v>172</x:v>
      </x:c>
      <x:c r="V71" s="4" t="s">
        <x:v>169</x:v>
      </x:c>
      <x:c r="W71" s="4" t="s">
        <x:v>169</x:v>
      </x:c>
      <x:c r="X71" s="4" t="s">
        <x:v>107</x:v>
      </x:c>
      <x:c r="Y71" s="4" t="s">
        <x:v>107</x:v>
      </x:c>
      <x:c r="Z71" s="4" t="str">
        <x:v>否</x:v>
      </x:c>
      <x:c r="AA71" s="4" t="s">
        <x:v>172</x:v>
      </x:c>
      <x:c r="AB71" s="4" t="s">
        <x:v>172</x:v>
      </x:c>
      <x:c r="AC71" s="4" t="s">
        <x:v>172</x:v>
      </x:c>
      <x:c r="AD71" s="4" t="str">
        <x:v>终态：撤销</x:v>
      </x:c>
      <x:c r="AE71" s="4" t="str">
        <x:v>疑似连续调整</x:v>
      </x:c>
      <x:c r="AF71" s="4" t="s">
        <x:v>431</x:v>
      </x:c>
      <x:c r="AG71" s="4" t="s">
        <x:v>433</x:v>
      </x:c>
      <x:c r="AH71" s="4" t="s">
        <x:v>2505</x:v>
      </x:c>
      <x:c r="AI71" s="4" t="s">
        <x:v>169</x:v>
      </x:c>
      <x:c r="AJ71" s="4" t="str">
        <x:v>疑似连续调整</x:v>
      </x:c>
      <x:c r="AK71" s="4" t="s">
        <x:v>1830</x:v>
      </x:c>
      <x:c r="AL71" s="4" t="str">
        <x:v>条件委托已取消；算法编号1000001845962448；创建时间2026-06-04 04:57:36；撤销时间2026-06-04 05:14:12；是否触发否；周期关联等级STRONG_CONTEXT；取消/过期原因无法确认（已完成为不适用）。</x:v>
      </x:c>
      <x:c r="AM71" s="4" t="str">
        <x:v>否</x:v>
      </x:c>
      <x:c r="AN71" s="4" t="str"/>
      <x:c r="AO71" s="64" t="str">
        <x:v>1000001845962448</x:v>
      </x:c>
      <x:c r="AP71" s="4" t="s">
        <x:v>2365</x:v>
      </x:c>
      <x:c r="AQ71" s="4" t="str">
        <x:v>是</x:v>
      </x:c>
      <x:c r="AR71" s="4" t="s">
        <x:v>2428</x:v>
      </x:c>
      <x:c r="AS71" s="4" t="str">
        <x:v>/Users/luodaluo/Desktop/30天复盘原始数据/补充证据_历史委托条件委托截图/05_安卓端取消与过期完整生命周期/01_已取消/Screenshot_20260722_214246.jpg</x:v>
      </x:c>
      <x:c r="AT71" t="str">
        <x:v>撤销</x:v>
      </x:c>
      <x:c r="AU71" t="n">
        <x:v>996</x:v>
      </x:c>
      <x:c r="AV71" t="str">
        <x:v>STRONG_CONTEXT</x:v>
      </x:c>
      <x:c r="AW71" t="str">
        <x:v>无法确认</x:v>
      </x:c>
      <x:c r="AX71" t="str">
        <x:v>平台字段＋严格时间与仓位关系计算</x:v>
      </x:c>
    </x:row>
    <x:row r="72">
      <x:c r="A72" s="4" t="s">
        <x:v>72</x:v>
      </x:c>
      <x:c r="B72" s="4" t="s">
        <x:v>638</x:v>
      </x:c>
      <x:c r="C72" s="4" t="s">
        <x:v>2492</x:v>
      </x:c>
      <x:c r="D72" s="4" t="s">
        <x:v>434</x:v>
      </x:c>
      <x:c r="E72" s="65" t="n">
        <x:v>46176.89270833333</x:v>
      </x:c>
      <x:c r="F72" s="4" t="s">
        <x:v>2423</x:v>
      </x:c>
      <x:c r="G72" s="4" t="s">
        <x:v>2424</x:v>
      </x:c>
      <x:c r="H72" s="4" t="s">
        <x:v>1336</x:v>
      </x:c>
      <x:c r="I72" s="4" t="s">
        <x:v>1337</x:v>
      </x:c>
      <x:c r="J72" s="4" t="s">
        <x:v>2425</x:v>
      </x:c>
      <x:c r="K72" s="4" t="s">
        <x:v>1826</x:v>
      </x:c>
      <x:c r="L72" s="4" t="s">
        <x:v>205</x:v>
      </x:c>
      <x:c r="M72" s="4" t="s">
        <x:v>2426</x:v>
      </x:c>
      <x:c r="N72" s="4" t="s">
        <x:v>418</x:v>
      </x:c>
      <x:c r="O72" s="4" t="s">
        <x:v>107</x:v>
      </x:c>
      <x:c r="P72" s="4" t="s">
        <x:v>169</x:v>
      </x:c>
      <x:c r="Q72" s="4" t="s">
        <x:v>2427</x:v>
      </x:c>
      <x:c r="R72" s="4" t="s">
        <x:v>187</x:v>
      </x:c>
      <x:c r="S72" s="65"/>
      <x:c r="T72" s="4" t="str"/>
      <x:c r="U72" s="4" t="s">
        <x:v>172</x:v>
      </x:c>
      <x:c r="V72" s="4" t="s">
        <x:v>169</x:v>
      </x:c>
      <x:c r="W72" s="4" t="s">
        <x:v>169</x:v>
      </x:c>
      <x:c r="X72" s="4" t="s">
        <x:v>107</x:v>
      </x:c>
      <x:c r="Y72" s="4" t="s">
        <x:v>107</x:v>
      </x:c>
      <x:c r="Z72" s="4" t="str">
        <x:v>否</x:v>
      </x:c>
      <x:c r="AA72" s="4" t="s">
        <x:v>172</x:v>
      </x:c>
      <x:c r="AB72" s="4" t="s">
        <x:v>172</x:v>
      </x:c>
      <x:c r="AC72" s="4" t="s">
        <x:v>172</x:v>
      </x:c>
      <x:c r="AD72" s="4" t="str">
        <x:v>终态：撤销</x:v>
      </x:c>
      <x:c r="AE72" s="4" t="str">
        <x:v>疑似连续调整</x:v>
      </x:c>
      <x:c r="AF72" s="4" t="s">
        <x:v>433</x:v>
      </x:c>
      <x:c r="AG72" s="4" t="s">
        <x:v>418</x:v>
      </x:c>
      <x:c r="AH72" s="4" t="s">
        <x:v>2506</x:v>
      </x:c>
      <x:c r="AI72" s="4" t="s">
        <x:v>169</x:v>
      </x:c>
      <x:c r="AJ72" s="4" t="str">
        <x:v>疑似连续调整</x:v>
      </x:c>
      <x:c r="AK72" s="4" t="s">
        <x:v>1830</x:v>
      </x:c>
      <x:c r="AL72" s="4" t="str">
        <x:v>条件委托已取消；算法编号1000001846123695；创建时间2026-06-04 05:14:12；撤销时间2026-06-04 05:25:30；是否触发否；周期关联等级STRONG_CONTEXT；取消/过期原因无法确认（已完成为不适用）。</x:v>
      </x:c>
      <x:c r="AM72" s="4" t="str">
        <x:v>否</x:v>
      </x:c>
      <x:c r="AN72" s="4" t="str"/>
      <x:c r="AO72" s="64" t="str">
        <x:v>1000001846123695</x:v>
      </x:c>
      <x:c r="AP72" s="4" t="s">
        <x:v>2366</x:v>
      </x:c>
      <x:c r="AQ72" s="4" t="str">
        <x:v>是</x:v>
      </x:c>
      <x:c r="AR72" s="4" t="s">
        <x:v>2428</x:v>
      </x:c>
      <x:c r="AS72" s="4" t="str">
        <x:v>/Users/luodaluo/Desktop/30天复盘原始数据/补充证据_历史委托条件委托截图/05_安卓端取消与过期完整生命周期/01_已取消/Screenshot_20260722_214250.jpg</x:v>
      </x:c>
      <x:c r="AT72" t="str">
        <x:v>撤销</x:v>
      </x:c>
      <x:c r="AU72" t="n">
        <x:v>678</x:v>
      </x:c>
      <x:c r="AV72" t="str">
        <x:v>STRONG_CONTEXT</x:v>
      </x:c>
      <x:c r="AW72" t="str">
        <x:v>无法确认</x:v>
      </x:c>
      <x:c r="AX72" t="str">
        <x:v>平台字段＋严格时间与仓位关系计算</x:v>
      </x:c>
    </x:row>
    <x:row r="73">
      <x:c r="A73" s="4" t="s">
        <x:v>72</x:v>
      </x:c>
      <x:c r="B73" s="4" t="s">
        <x:v>1911</x:v>
      </x:c>
      <x:c r="C73" s="4" t="s">
        <x:v>2492</x:v>
      </x:c>
      <x:c r="D73" s="4" t="s">
        <x:v>435</x:v>
      </x:c>
      <x:c r="E73" s="65" t="n">
        <x:v>46176.89776620371</x:v>
      </x:c>
      <x:c r="F73" s="4" t="s">
        <x:v>2423</x:v>
      </x:c>
      <x:c r="G73" s="4" t="s">
        <x:v>2424</x:v>
      </x:c>
      <x:c r="H73" s="4" t="s">
        <x:v>1336</x:v>
      </x:c>
      <x:c r="I73" s="4" t="s">
        <x:v>1337</x:v>
      </x:c>
      <x:c r="J73" s="4" t="s">
        <x:v>2425</x:v>
      </x:c>
      <x:c r="K73" s="4" t="s">
        <x:v>1826</x:v>
      </x:c>
      <x:c r="L73" s="4" t="s">
        <x:v>205</x:v>
      </x:c>
      <x:c r="M73" s="4" t="s">
        <x:v>2426</x:v>
      </x:c>
      <x:c r="N73" s="4" t="s">
        <x:v>327</x:v>
      </x:c>
      <x:c r="O73" s="4" t="s">
        <x:v>107</x:v>
      </x:c>
      <x:c r="P73" s="4" t="s">
        <x:v>169</x:v>
      </x:c>
      <x:c r="Q73" s="4" t="s">
        <x:v>2427</x:v>
      </x:c>
      <x:c r="R73" s="4" t="s">
        <x:v>187</x:v>
      </x:c>
      <x:c r="S73" s="65"/>
      <x:c r="T73" s="4" t="str"/>
      <x:c r="U73" s="4" t="s">
        <x:v>172</x:v>
      </x:c>
      <x:c r="V73" s="4" t="s">
        <x:v>169</x:v>
      </x:c>
      <x:c r="W73" s="4" t="s">
        <x:v>169</x:v>
      </x:c>
      <x:c r="X73" s="4" t="s">
        <x:v>107</x:v>
      </x:c>
      <x:c r="Y73" s="4" t="s">
        <x:v>107</x:v>
      </x:c>
      <x:c r="Z73" s="4" t="str">
        <x:v>否</x:v>
      </x:c>
      <x:c r="AA73" s="4" t="s">
        <x:v>172</x:v>
      </x:c>
      <x:c r="AB73" s="4" t="s">
        <x:v>172</x:v>
      </x:c>
      <x:c r="AC73" s="4" t="s">
        <x:v>172</x:v>
      </x:c>
      <x:c r="AD73" s="4" t="str">
        <x:v>终态：撤销</x:v>
      </x:c>
      <x:c r="AE73" s="4" t="str">
        <x:v>疑似连续调整</x:v>
      </x:c>
      <x:c r="AF73" s="4" t="s">
        <x:v>418</x:v>
      </x:c>
      <x:c r="AG73" s="4" t="s">
        <x:v>327</x:v>
      </x:c>
      <x:c r="AH73" s="4" t="s">
        <x:v>2507</x:v>
      </x:c>
      <x:c r="AI73" s="4" t="s">
        <x:v>169</x:v>
      </x:c>
      <x:c r="AJ73" s="4" t="str">
        <x:v>疑似连续调整</x:v>
      </x:c>
      <x:c r="AK73" s="4" t="s">
        <x:v>1830</x:v>
      </x:c>
      <x:c r="AL73" s="4" t="str">
        <x:v>条件委托已取消；算法编号1000001846212866；创建时间2026-06-04 05:25:31；撤销时间2026-06-04 05:32:47；是否触发否；周期关联等级STRONG_CONTEXT；取消/过期原因无法确认（已完成为不适用）。</x:v>
      </x:c>
      <x:c r="AM73" s="4" t="str">
        <x:v>否</x:v>
      </x:c>
      <x:c r="AN73" s="4" t="str"/>
      <x:c r="AO73" s="64" t="str">
        <x:v>1000001846212866</x:v>
      </x:c>
      <x:c r="AP73" s="4" t="s">
        <x:v>2367</x:v>
      </x:c>
      <x:c r="AQ73" s="4" t="str">
        <x:v>是</x:v>
      </x:c>
      <x:c r="AR73" s="4" t="s">
        <x:v>2428</x:v>
      </x:c>
      <x:c r="AS73" s="4" t="str">
        <x:v>/Users/luodaluo/Desktop/30天复盘原始数据/补充证据_历史委托条件委托截图/05_安卓端取消与过期完整生命周期/01_已取消/Screenshot_20260722_214254.jpg</x:v>
      </x:c>
      <x:c r="AT73" t="str">
        <x:v>撤销</x:v>
      </x:c>
      <x:c r="AU73" t="n">
        <x:v>436</x:v>
      </x:c>
      <x:c r="AV73" t="str">
        <x:v>STRONG_CONTEXT</x:v>
      </x:c>
      <x:c r="AW73" t="str">
        <x:v>无法确认</x:v>
      </x:c>
      <x:c r="AX73" t="str">
        <x:v>平台字段＋严格时间与仓位关系计算</x:v>
      </x:c>
    </x:row>
    <x:row r="74">
      <x:c r="A74" s="4" t="s">
        <x:v>72</x:v>
      </x:c>
      <x:c r="B74" s="4" t="s">
        <x:v>373</x:v>
      </x:c>
      <x:c r="C74" s="4" t="s">
        <x:v>2492</x:v>
      </x:c>
      <x:c r="D74" s="4" t="s">
        <x:v>436</x:v>
      </x:c>
      <x:c r="E74" s="65" t="n">
        <x:v>46176.89942129629</x:v>
      </x:c>
      <x:c r="F74" s="4" t="s">
        <x:v>2423</x:v>
      </x:c>
      <x:c r="G74" s="4" t="s">
        <x:v>2424</x:v>
      </x:c>
      <x:c r="H74" s="4" t="s">
        <x:v>1336</x:v>
      </x:c>
      <x:c r="I74" s="4" t="s">
        <x:v>1337</x:v>
      </x:c>
      <x:c r="J74" s="4" t="s">
        <x:v>2425</x:v>
      </x:c>
      <x:c r="K74" s="4" t="s">
        <x:v>1826</x:v>
      </x:c>
      <x:c r="L74" s="4" t="s">
        <x:v>205</x:v>
      </x:c>
      <x:c r="M74" s="4" t="s">
        <x:v>2426</x:v>
      </x:c>
      <x:c r="N74" s="4" t="s">
        <x:v>422</x:v>
      </x:c>
      <x:c r="O74" s="4" t="s">
        <x:v>107</x:v>
      </x:c>
      <x:c r="P74" s="4" t="s">
        <x:v>169</x:v>
      </x:c>
      <x:c r="Q74" s="4" t="s">
        <x:v>2427</x:v>
      </x:c>
      <x:c r="R74" s="4" t="s">
        <x:v>187</x:v>
      </x:c>
      <x:c r="S74" s="65"/>
      <x:c r="T74" s="4" t="str"/>
      <x:c r="U74" s="4" t="s">
        <x:v>172</x:v>
      </x:c>
      <x:c r="V74" s="4" t="s">
        <x:v>169</x:v>
      </x:c>
      <x:c r="W74" s="4" t="s">
        <x:v>169</x:v>
      </x:c>
      <x:c r="X74" s="4" t="s">
        <x:v>107</x:v>
      </x:c>
      <x:c r="Y74" s="4" t="s">
        <x:v>107</x:v>
      </x:c>
      <x:c r="Z74" s="4" t="str">
        <x:v>否</x:v>
      </x:c>
      <x:c r="AA74" s="4" t="s">
        <x:v>172</x:v>
      </x:c>
      <x:c r="AB74" s="4" t="s">
        <x:v>172</x:v>
      </x:c>
      <x:c r="AC74" s="4" t="s">
        <x:v>172</x:v>
      </x:c>
      <x:c r="AD74" s="4" t="str">
        <x:v>终态：撤销</x:v>
      </x:c>
      <x:c r="AE74" s="4" t="str">
        <x:v>疑似连续调整</x:v>
      </x:c>
      <x:c r="AF74" s="4" t="s">
        <x:v>327</x:v>
      </x:c>
      <x:c r="AG74" s="4" t="s">
        <x:v>422</x:v>
      </x:c>
      <x:c r="AH74" s="4" t="s">
        <x:v>2508</x:v>
      </x:c>
      <x:c r="AI74" s="4" t="s">
        <x:v>169</x:v>
      </x:c>
      <x:c r="AJ74" s="4" t="str">
        <x:v>疑似连续调整</x:v>
      </x:c>
      <x:c r="AK74" s="4" t="s">
        <x:v>1830</x:v>
      </x:c>
      <x:c r="AL74" s="4" t="str">
        <x:v>条件委托已取消；算法编号1000001846270308；创建时间2026-06-04 05:32:47；撤销时间2026-06-04 05:35:10；是否触发否；周期关联等级STRONG_CONTEXT；取消/过期原因无法确认（已完成为不适用）。</x:v>
      </x:c>
      <x:c r="AM74" s="4" t="str">
        <x:v>否</x:v>
      </x:c>
      <x:c r="AN74" s="4" t="str"/>
      <x:c r="AO74" s="64" t="str">
        <x:v>1000001846270308</x:v>
      </x:c>
      <x:c r="AP74" s="4" t="s">
        <x:v>2368</x:v>
      </x:c>
      <x:c r="AQ74" s="4" t="str">
        <x:v>是</x:v>
      </x:c>
      <x:c r="AR74" s="4" t="s">
        <x:v>2428</x:v>
      </x:c>
      <x:c r="AS74" s="4" t="str">
        <x:v>/Users/luodaluo/Desktop/30天复盘原始数据/补充证据_历史委托条件委托截图/05_安卓端取消与过期完整生命周期/01_已取消/Screenshot_20260722_214301.jpg</x:v>
      </x:c>
      <x:c r="AT74" t="str">
        <x:v>撤销</x:v>
      </x:c>
      <x:c r="AU74" t="n">
        <x:v>143</x:v>
      </x:c>
      <x:c r="AV74" t="str">
        <x:v>STRONG_CONTEXT</x:v>
      </x:c>
      <x:c r="AW74" t="str">
        <x:v>无法确认</x:v>
      </x:c>
      <x:c r="AX74" t="str">
        <x:v>平台字段＋严格时间与仓位关系计算</x:v>
      </x:c>
    </x:row>
    <x:row r="75">
      <x:c r="A75" s="4" t="s">
        <x:v>72</x:v>
      </x:c>
      <x:c r="B75" s="4" t="s">
        <x:v>1918</x:v>
      </x:c>
      <x:c r="C75" s="4" t="s">
        <x:v>2492</x:v>
      </x:c>
      <x:c r="D75" s="4" t="s">
        <x:v>437</x:v>
      </x:c>
      <x:c r="E75" s="65" t="n">
        <x:v>46176.89957175926</x:v>
      </x:c>
      <x:c r="F75" s="4" t="s">
        <x:v>2423</x:v>
      </x:c>
      <x:c r="G75" s="4" t="s">
        <x:v>2424</x:v>
      </x:c>
      <x:c r="H75" s="4" t="s">
        <x:v>1336</x:v>
      </x:c>
      <x:c r="I75" s="4" t="s">
        <x:v>1337</x:v>
      </x:c>
      <x:c r="J75" s="4" t="s">
        <x:v>2425</x:v>
      </x:c>
      <x:c r="K75" s="4" t="s">
        <x:v>1826</x:v>
      </x:c>
      <x:c r="L75" s="4" t="s">
        <x:v>205</x:v>
      </x:c>
      <x:c r="M75" s="4" t="s">
        <x:v>2426</x:v>
      </x:c>
      <x:c r="N75" s="4" t="s">
        <x:v>327</x:v>
      </x:c>
      <x:c r="O75" s="4" t="s">
        <x:v>107</x:v>
      </x:c>
      <x:c r="P75" s="4" t="s">
        <x:v>169</x:v>
      </x:c>
      <x:c r="Q75" s="4" t="s">
        <x:v>2427</x:v>
      </x:c>
      <x:c r="R75" s="4" t="s">
        <x:v>187</x:v>
      </x:c>
      <x:c r="S75" s="65"/>
      <x:c r="T75" s="4" t="str"/>
      <x:c r="U75" s="4" t="s">
        <x:v>172</x:v>
      </x:c>
      <x:c r="V75" s="4" t="s">
        <x:v>169</x:v>
      </x:c>
      <x:c r="W75" s="4" t="s">
        <x:v>169</x:v>
      </x:c>
      <x:c r="X75" s="4" t="s">
        <x:v>107</x:v>
      </x:c>
      <x:c r="Y75" s="4" t="s">
        <x:v>107</x:v>
      </x:c>
      <x:c r="Z75" s="4" t="str">
        <x:v>否</x:v>
      </x:c>
      <x:c r="AA75" s="4" t="s">
        <x:v>172</x:v>
      </x:c>
      <x:c r="AB75" s="4" t="s">
        <x:v>172</x:v>
      </x:c>
      <x:c r="AC75" s="4" t="s">
        <x:v>172</x:v>
      </x:c>
      <x:c r="AD75" s="4" t="str">
        <x:v>终态：撤销</x:v>
      </x:c>
      <x:c r="AE75" s="4" t="str">
        <x:v>疑似连续调整</x:v>
      </x:c>
      <x:c r="AF75" s="4" t="s">
        <x:v>422</x:v>
      </x:c>
      <x:c r="AG75" s="4" t="s">
        <x:v>327</x:v>
      </x:c>
      <x:c r="AH75" s="4" t="s">
        <x:v>2509</x:v>
      </x:c>
      <x:c r="AI75" s="4" t="s">
        <x:v>169</x:v>
      </x:c>
      <x:c r="AJ75" s="4" t="str">
        <x:v>疑似连续调整</x:v>
      </x:c>
      <x:c r="AK75" s="4" t="s">
        <x:v>1830</x:v>
      </x:c>
      <x:c r="AL75" s="4" t="str">
        <x:v>条件委托已取消；算法编号1000001846293888；创建时间2026-06-04 05:35:10；撤销时间2026-06-04 05:35:23；是否触发否；周期关联等级STRONG_CONTEXT；取消/过期原因无法确认（已完成为不适用）。</x:v>
      </x:c>
      <x:c r="AM75" s="4" t="str">
        <x:v>否</x:v>
      </x:c>
      <x:c r="AN75" s="4" t="str"/>
      <x:c r="AO75" s="64" t="str">
        <x:v>1000001846293888</x:v>
      </x:c>
      <x:c r="AP75" s="4" t="s">
        <x:v>2369</x:v>
      </x:c>
      <x:c r="AQ75" s="4" t="str">
        <x:v>是</x:v>
      </x:c>
      <x:c r="AR75" s="4" t="s">
        <x:v>2428</x:v>
      </x:c>
      <x:c r="AS75" s="4" t="str">
        <x:v>/Users/luodaluo/Desktop/30天复盘原始数据/补充证据_历史委托条件委托截图/05_安卓端取消与过期完整生命周期/01_已取消/Screenshot_20260722_214305.jpg</x:v>
      </x:c>
      <x:c r="AT75" t="str">
        <x:v>撤销</x:v>
      </x:c>
      <x:c r="AU75" t="n">
        <x:v>13</x:v>
      </x:c>
      <x:c r="AV75" t="str">
        <x:v>STRONG_CONTEXT</x:v>
      </x:c>
      <x:c r="AW75" t="str">
        <x:v>无法确认</x:v>
      </x:c>
      <x:c r="AX75" t="str">
        <x:v>平台字段＋严格时间与仓位关系计算</x:v>
      </x:c>
    </x:row>
    <x:row r="76">
      <x:c r="A76" s="4" t="s">
        <x:v>72</x:v>
      </x:c>
      <x:c r="B76" s="4" t="s">
        <x:v>1721</x:v>
      </x:c>
      <x:c r="C76" s="4" t="s">
        <x:v>2492</x:v>
      </x:c>
      <x:c r="D76" s="4" t="s">
        <x:v>438</x:v>
      </x:c>
      <x:c r="E76" s="65" t="n">
        <x:v>46176.91457175926</x:v>
      </x:c>
      <x:c r="F76" s="4" t="s">
        <x:v>2423</x:v>
      </x:c>
      <x:c r="G76" s="4" t="s">
        <x:v>2424</x:v>
      </x:c>
      <x:c r="H76" s="4" t="s">
        <x:v>1336</x:v>
      </x:c>
      <x:c r="I76" s="4" t="s">
        <x:v>1337</x:v>
      </x:c>
      <x:c r="J76" s="4" t="s">
        <x:v>2425</x:v>
      </x:c>
      <x:c r="K76" s="4" t="s">
        <x:v>1826</x:v>
      </x:c>
      <x:c r="L76" s="4" t="s">
        <x:v>205</x:v>
      </x:c>
      <x:c r="M76" s="4" t="s">
        <x:v>2426</x:v>
      </x:c>
      <x:c r="N76" s="4" t="s">
        <x:v>418</x:v>
      </x:c>
      <x:c r="O76" s="4" t="s">
        <x:v>107</x:v>
      </x:c>
      <x:c r="P76" s="4" t="s">
        <x:v>169</x:v>
      </x:c>
      <x:c r="Q76" s="4" t="s">
        <x:v>2427</x:v>
      </x:c>
      <x:c r="R76" s="4" t="s">
        <x:v>187</x:v>
      </x:c>
      <x:c r="S76" s="65"/>
      <x:c r="T76" s="4" t="str"/>
      <x:c r="U76" s="4" t="s">
        <x:v>172</x:v>
      </x:c>
      <x:c r="V76" s="4" t="s">
        <x:v>169</x:v>
      </x:c>
      <x:c r="W76" s="4" t="s">
        <x:v>169</x:v>
      </x:c>
      <x:c r="X76" s="4" t="s">
        <x:v>107</x:v>
      </x:c>
      <x:c r="Y76" s="4" t="s">
        <x:v>107</x:v>
      </x:c>
      <x:c r="Z76" s="4" t="str">
        <x:v>否</x:v>
      </x:c>
      <x:c r="AA76" s="4" t="s">
        <x:v>172</x:v>
      </x:c>
      <x:c r="AB76" s="4" t="s">
        <x:v>172</x:v>
      </x:c>
      <x:c r="AC76" s="4" t="s">
        <x:v>172</x:v>
      </x:c>
      <x:c r="AD76" s="4" t="str">
        <x:v>终态：撤销</x:v>
      </x:c>
      <x:c r="AE76" s="4" t="str">
        <x:v>疑似连续调整</x:v>
      </x:c>
      <x:c r="AF76" s="4" t="s">
        <x:v>327</x:v>
      </x:c>
      <x:c r="AG76" s="4" t="s">
        <x:v>418</x:v>
      </x:c>
      <x:c r="AH76" s="4" t="s">
        <x:v>2510</x:v>
      </x:c>
      <x:c r="AI76" s="4" t="s">
        <x:v>169</x:v>
      </x:c>
      <x:c r="AJ76" s="4" t="str">
        <x:v>疑似连续调整</x:v>
      </x:c>
      <x:c r="AK76" s="4" t="s">
        <x:v>1830</x:v>
      </x:c>
      <x:c r="AL76" s="4" t="str">
        <x:v>条件委托已取消；算法编号1000001846295656；创建时间2026-06-04 05:35:23；撤销时间2026-06-04 05:56:59；是否触发否；周期关联等级STRONG_CONTEXT；取消/过期原因无法确认（已完成为不适用）。</x:v>
      </x:c>
      <x:c r="AM76" s="4" t="str">
        <x:v>否</x:v>
      </x:c>
      <x:c r="AN76" s="4" t="str"/>
      <x:c r="AO76" s="64" t="str">
        <x:v>1000001846295656</x:v>
      </x:c>
      <x:c r="AP76" s="4" t="s">
        <x:v>2370</x:v>
      </x:c>
      <x:c r="AQ76" s="4" t="str">
        <x:v>是</x:v>
      </x:c>
      <x:c r="AR76" s="4" t="s">
        <x:v>2428</x:v>
      </x:c>
      <x:c r="AS76" s="4" t="str">
        <x:v>/Users/luodaluo/Desktop/30天复盘原始数据/补充证据_历史委托条件委托截图/05_安卓端取消与过期完整生命周期/01_已取消/Screenshot_20260722_214310.jpg</x:v>
      </x:c>
      <x:c r="AT76" t="str">
        <x:v>撤销</x:v>
      </x:c>
      <x:c r="AU76" t="n">
        <x:v>1296</x:v>
      </x:c>
      <x:c r="AV76" t="str">
        <x:v>STRONG_CONTEXT</x:v>
      </x:c>
      <x:c r="AW76" t="str">
        <x:v>无法确认</x:v>
      </x:c>
      <x:c r="AX76" t="str">
        <x:v>平台字段＋严格时间与仓位关系计算</x:v>
      </x:c>
    </x:row>
    <x:row r="77">
      <x:c r="A77" s="4" t="s">
        <x:v>72</x:v>
      </x:c>
      <x:c r="B77" s="4" t="s">
        <x:v>1720</x:v>
      </x:c>
      <x:c r="C77" s="4" t="s">
        <x:v>2492</x:v>
      </x:c>
      <x:c r="D77" s="4" t="s">
        <x:v>439</x:v>
      </x:c>
      <x:c r="E77" s="65" t="n">
        <x:v>46176.91494212963</x:v>
      </x:c>
      <x:c r="F77" s="4" t="s">
        <x:v>2423</x:v>
      </x:c>
      <x:c r="G77" s="4" t="s">
        <x:v>2424</x:v>
      </x:c>
      <x:c r="H77" s="4" t="s">
        <x:v>1336</x:v>
      </x:c>
      <x:c r="I77" s="4" t="s">
        <x:v>1337</x:v>
      </x:c>
      <x:c r="J77" s="4" t="s">
        <x:v>2425</x:v>
      </x:c>
      <x:c r="K77" s="4" t="s">
        <x:v>1826</x:v>
      </x:c>
      <x:c r="L77" s="4" t="s">
        <x:v>205</x:v>
      </x:c>
      <x:c r="M77" s="4" t="s">
        <x:v>2426</x:v>
      </x:c>
      <x:c r="N77" s="4" t="s">
        <x:v>440</x:v>
      </x:c>
      <x:c r="O77" s="4" t="s">
        <x:v>107</x:v>
      </x:c>
      <x:c r="P77" s="4" t="s">
        <x:v>169</x:v>
      </x:c>
      <x:c r="Q77" s="4" t="s">
        <x:v>2427</x:v>
      </x:c>
      <x:c r="R77" s="4" t="s">
        <x:v>187</x:v>
      </x:c>
      <x:c r="S77" s="65"/>
      <x:c r="T77" s="4" t="str"/>
      <x:c r="U77" s="4" t="s">
        <x:v>172</x:v>
      </x:c>
      <x:c r="V77" s="4" t="s">
        <x:v>169</x:v>
      </x:c>
      <x:c r="W77" s="4" t="s">
        <x:v>169</x:v>
      </x:c>
      <x:c r="X77" s="4" t="s">
        <x:v>107</x:v>
      </x:c>
      <x:c r="Y77" s="4" t="s">
        <x:v>107</x:v>
      </x:c>
      <x:c r="Z77" s="4" t="str">
        <x:v>否</x:v>
      </x:c>
      <x:c r="AA77" s="4" t="s">
        <x:v>172</x:v>
      </x:c>
      <x:c r="AB77" s="4" t="s">
        <x:v>172</x:v>
      </x:c>
      <x:c r="AC77" s="4" t="s">
        <x:v>172</x:v>
      </x:c>
      <x:c r="AD77" s="4" t="str">
        <x:v>终态：撤销</x:v>
      </x:c>
      <x:c r="AE77" s="4" t="str">
        <x:v>疑似连续调整</x:v>
      </x:c>
      <x:c r="AF77" s="4" t="s">
        <x:v>418</x:v>
      </x:c>
      <x:c r="AG77" s="4" t="s">
        <x:v>440</x:v>
      </x:c>
      <x:c r="AH77" s="4" t="s">
        <x:v>2511</x:v>
      </x:c>
      <x:c r="AI77" s="4" t="s">
        <x:v>169</x:v>
      </x:c>
      <x:c r="AJ77" s="4" t="str">
        <x:v>疑似连续调整</x:v>
      </x:c>
      <x:c r="AK77" s="4" t="s">
        <x:v>1830</x:v>
      </x:c>
      <x:c r="AL77" s="4" t="str">
        <x:v>条件委托已取消；算法编号1000001846502526；创建时间2026-06-04 05:56:59；撤销时间2026-06-04 05:57:31；是否触发否；周期关联等级STRONG_CONTEXT；取消/过期原因无法确认（已完成为不适用）。</x:v>
      </x:c>
      <x:c r="AM77" s="4" t="str">
        <x:v>否</x:v>
      </x:c>
      <x:c r="AN77" s="4" t="str"/>
      <x:c r="AO77" s="64" t="str">
        <x:v>1000001846502526</x:v>
      </x:c>
      <x:c r="AP77" s="4" t="s">
        <x:v>2371</x:v>
      </x:c>
      <x:c r="AQ77" s="4" t="str">
        <x:v>是</x:v>
      </x:c>
      <x:c r="AR77" s="4" t="s">
        <x:v>2428</x:v>
      </x:c>
      <x:c r="AS77" s="4" t="str">
        <x:v>/Users/luodaluo/Desktop/30天复盘原始数据/补充证据_历史委托条件委托截图/05_安卓端取消与过期完整生命周期/01_已取消/Screenshot_20260722_214318.jpg</x:v>
      </x:c>
      <x:c r="AT77" t="str">
        <x:v>撤销</x:v>
      </x:c>
      <x:c r="AU77" t="n">
        <x:v>32</x:v>
      </x:c>
      <x:c r="AV77" t="str">
        <x:v>STRONG_CONTEXT</x:v>
      </x:c>
      <x:c r="AW77" t="str">
        <x:v>无法确认</x:v>
      </x:c>
      <x:c r="AX77" t="str">
        <x:v>平台字段＋严格时间与仓位关系计算</x:v>
      </x:c>
    </x:row>
    <x:row r="78">
      <x:c r="A78" s="4" t="s">
        <x:v>72</x:v>
      </x:c>
      <x:c r="B78" s="4" t="s">
        <x:v>1927</x:v>
      </x:c>
      <x:c r="C78" s="4" t="s">
        <x:v>2492</x:v>
      </x:c>
      <x:c r="D78" s="4" t="s">
        <x:v>441</x:v>
      </x:c>
      <x:c r="E78" s="65" t="n">
        <x:v>46176.915138888886</x:v>
      </x:c>
      <x:c r="F78" s="4" t="s">
        <x:v>2423</x:v>
      </x:c>
      <x:c r="G78" s="4" t="s">
        <x:v>2424</x:v>
      </x:c>
      <x:c r="H78" s="4" t="s">
        <x:v>1336</x:v>
      </x:c>
      <x:c r="I78" s="4" t="s">
        <x:v>1337</x:v>
      </x:c>
      <x:c r="J78" s="4" t="s">
        <x:v>2425</x:v>
      </x:c>
      <x:c r="K78" s="4" t="s">
        <x:v>1826</x:v>
      </x:c>
      <x:c r="L78" s="4" t="s">
        <x:v>205</x:v>
      </x:c>
      <x:c r="M78" s="4" t="s">
        <x:v>2426</x:v>
      </x:c>
      <x:c r="N78" s="4" t="s">
        <x:v>442</x:v>
      </x:c>
      <x:c r="O78" s="4" t="s">
        <x:v>107</x:v>
      </x:c>
      <x:c r="P78" s="4" t="s">
        <x:v>169</x:v>
      </x:c>
      <x:c r="Q78" s="4" t="s">
        <x:v>2427</x:v>
      </x:c>
      <x:c r="R78" s="4" t="s">
        <x:v>187</x:v>
      </x:c>
      <x:c r="S78" s="65"/>
      <x:c r="T78" s="4" t="str"/>
      <x:c r="U78" s="4" t="s">
        <x:v>172</x:v>
      </x:c>
      <x:c r="V78" s="4" t="s">
        <x:v>169</x:v>
      </x:c>
      <x:c r="W78" s="4" t="s">
        <x:v>169</x:v>
      </x:c>
      <x:c r="X78" s="4" t="s">
        <x:v>107</x:v>
      </x:c>
      <x:c r="Y78" s="4" t="s">
        <x:v>107</x:v>
      </x:c>
      <x:c r="Z78" s="4" t="str">
        <x:v>否</x:v>
      </x:c>
      <x:c r="AA78" s="4" t="s">
        <x:v>172</x:v>
      </x:c>
      <x:c r="AB78" s="4" t="s">
        <x:v>172</x:v>
      </x:c>
      <x:c r="AC78" s="4" t="s">
        <x:v>172</x:v>
      </x:c>
      <x:c r="AD78" s="4" t="str">
        <x:v>终态：撤销</x:v>
      </x:c>
      <x:c r="AE78" s="4" t="str">
        <x:v>疑似连续调整</x:v>
      </x:c>
      <x:c r="AF78" s="4" t="s">
        <x:v>440</x:v>
      </x:c>
      <x:c r="AG78" s="4" t="s">
        <x:v>442</x:v>
      </x:c>
      <x:c r="AH78" s="4" t="s">
        <x:v>2512</x:v>
      </x:c>
      <x:c r="AI78" s="4" t="s">
        <x:v>169</x:v>
      </x:c>
      <x:c r="AJ78" s="4" t="str">
        <x:v>疑似连续调整</x:v>
      </x:c>
      <x:c r="AK78" s="4" t="s">
        <x:v>1830</x:v>
      </x:c>
      <x:c r="AL78" s="4" t="str">
        <x:v>条件委托已取消；算法编号1000001846506842；创建时间2026-06-04 05:57:31；撤销时间2026-06-04 05:57:48；是否触发否；周期关联等级STRONG_CONTEXT；取消/过期原因无法确认（已完成为不适用）。</x:v>
      </x:c>
      <x:c r="AM78" s="4" t="str">
        <x:v>否</x:v>
      </x:c>
      <x:c r="AN78" s="4" t="str"/>
      <x:c r="AO78" s="64" t="str">
        <x:v>1000001846506842</x:v>
      </x:c>
      <x:c r="AP78" s="4" t="s">
        <x:v>2372</x:v>
      </x:c>
      <x:c r="AQ78" s="4" t="str">
        <x:v>是</x:v>
      </x:c>
      <x:c r="AR78" s="4" t="s">
        <x:v>2428</x:v>
      </x:c>
      <x:c r="AS78" s="4" t="str">
        <x:v>/Users/luodaluo/Desktop/30天复盘原始数据/补充证据_历史委托条件委托截图/05_安卓端取消与过期完整生命周期/01_已取消/Screenshot_20260722_214322.jpg</x:v>
      </x:c>
      <x:c r="AT78" t="str">
        <x:v>撤销</x:v>
      </x:c>
      <x:c r="AU78" t="n">
        <x:v>17</x:v>
      </x:c>
      <x:c r="AV78" t="str">
        <x:v>STRONG_CONTEXT</x:v>
      </x:c>
      <x:c r="AW78" t="str">
        <x:v>无法确认</x:v>
      </x:c>
      <x:c r="AX78" t="str">
        <x:v>平台字段＋严格时间与仓位关系计算</x:v>
      </x:c>
    </x:row>
    <x:row r="79">
      <x:c r="A79" s="4" t="s">
        <x:v>72</x:v>
      </x:c>
      <x:c r="B79" s="4" t="s">
        <x:v>1855</x:v>
      </x:c>
      <x:c r="C79" s="4" t="s">
        <x:v>2492</x:v>
      </x:c>
      <x:c r="D79" s="4" t="s">
        <x:v>443</x:v>
      </x:c>
      <x:c r="E79" s="65" t="n">
        <x:v>46176.91599537037</x:v>
      </x:c>
      <x:c r="F79" s="4" t="s">
        <x:v>2423</x:v>
      </x:c>
      <x:c r="G79" s="4" t="s">
        <x:v>2424</x:v>
      </x:c>
      <x:c r="H79" s="4" t="s">
        <x:v>1336</x:v>
      </x:c>
      <x:c r="I79" s="4" t="s">
        <x:v>1337</x:v>
      </x:c>
      <x:c r="J79" s="4" t="s">
        <x:v>2425</x:v>
      </x:c>
      <x:c r="K79" s="4" t="s">
        <x:v>1826</x:v>
      </x:c>
      <x:c r="L79" s="4" t="s">
        <x:v>205</x:v>
      </x:c>
      <x:c r="M79" s="4" t="s">
        <x:v>2426</x:v>
      </x:c>
      <x:c r="N79" s="4" t="s">
        <x:v>444</x:v>
      </x:c>
      <x:c r="O79" s="4" t="s">
        <x:v>107</x:v>
      </x:c>
      <x:c r="P79" s="4" t="s">
        <x:v>169</x:v>
      </x:c>
      <x:c r="Q79" s="4" t="s">
        <x:v>2427</x:v>
      </x:c>
      <x:c r="R79" s="4" t="s">
        <x:v>187</x:v>
      </x:c>
      <x:c r="S79" s="65"/>
      <x:c r="T79" s="4" t="str"/>
      <x:c r="U79" s="4" t="s">
        <x:v>172</x:v>
      </x:c>
      <x:c r="V79" s="4" t="s">
        <x:v>169</x:v>
      </x:c>
      <x:c r="W79" s="4" t="s">
        <x:v>169</x:v>
      </x:c>
      <x:c r="X79" s="4" t="s">
        <x:v>107</x:v>
      </x:c>
      <x:c r="Y79" s="4" t="s">
        <x:v>107</x:v>
      </x:c>
      <x:c r="Z79" s="4" t="str">
        <x:v>否</x:v>
      </x:c>
      <x:c r="AA79" s="4" t="s">
        <x:v>172</x:v>
      </x:c>
      <x:c r="AB79" s="4" t="s">
        <x:v>172</x:v>
      </x:c>
      <x:c r="AC79" s="4" t="s">
        <x:v>172</x:v>
      </x:c>
      <x:c r="AD79" s="4" t="str">
        <x:v>终态：撤销</x:v>
      </x:c>
      <x:c r="AE79" s="4" t="str">
        <x:v>疑似连续调整</x:v>
      </x:c>
      <x:c r="AF79" s="4" t="s">
        <x:v>442</x:v>
      </x:c>
      <x:c r="AG79" s="4" t="s">
        <x:v>444</x:v>
      </x:c>
      <x:c r="AH79" s="4" t="s">
        <x:v>2513</x:v>
      </x:c>
      <x:c r="AI79" s="4" t="s">
        <x:v>169</x:v>
      </x:c>
      <x:c r="AJ79" s="4" t="str">
        <x:v>疑似连续调整</x:v>
      </x:c>
      <x:c r="AK79" s="4" t="s">
        <x:v>1830</x:v>
      </x:c>
      <x:c r="AL79" s="4" t="str">
        <x:v>条件委托已取消；算法编号1000001846517736；创建时间2026-06-04 05:58:51；撤销时间2026-06-04 05:59:02；是否触发否；周期关联等级STRONG_CONTEXT；取消/过期原因无法确认（已完成为不适用）。</x:v>
      </x:c>
      <x:c r="AM79" s="4" t="str">
        <x:v>否</x:v>
      </x:c>
      <x:c r="AN79" s="4" t="str"/>
      <x:c r="AO79" s="64" t="str">
        <x:v>1000001846517736</x:v>
      </x:c>
      <x:c r="AP79" s="4" t="s">
        <x:v>2373</x:v>
      </x:c>
      <x:c r="AQ79" s="4" t="str">
        <x:v>是</x:v>
      </x:c>
      <x:c r="AR79" s="4" t="s">
        <x:v>2428</x:v>
      </x:c>
      <x:c r="AS79" s="4" t="str">
        <x:v>/Users/luodaluo/Desktop/30天复盘原始数据/补充证据_历史委托条件委托截图/05_安卓端取消与过期完整生命周期/01_已取消/Screenshot_20260722_214328.jpg</x:v>
      </x:c>
      <x:c r="AT79" t="str">
        <x:v>撤销</x:v>
      </x:c>
      <x:c r="AU79" t="n">
        <x:v>11</x:v>
      </x:c>
      <x:c r="AV79" t="str">
        <x:v>STRONG_CONTEXT</x:v>
      </x:c>
      <x:c r="AW79" t="str">
        <x:v>无法确认</x:v>
      </x:c>
      <x:c r="AX79" t="str">
        <x:v>平台字段＋严格时间与仓位关系计算</x:v>
      </x:c>
    </x:row>
    <x:row r="80">
      <x:c r="A80" s="4" t="s">
        <x:v>68</x:v>
      </x:c>
      <x:c r="B80" s="4" t="s">
        <x:v>200</x:v>
      </x:c>
      <x:c r="C80" s="4" t="s">
        <x:v>2514</x:v>
      </x:c>
      <x:c r="D80" s="4" t="s">
        <x:v>197</x:v>
      </x:c>
      <x:c r="E80" s="65" t="n">
        <x:v>46174.06324074074</x:v>
      </x:c>
      <x:c r="F80" s="4" t="s">
        <x:v>2423</x:v>
      </x:c>
      <x:c r="G80" s="4" t="s">
        <x:v>2424</x:v>
      </x:c>
      <x:c r="H80" s="4" t="s">
        <x:v>1336</x:v>
      </x:c>
      <x:c r="I80" s="4" t="s">
        <x:v>1337</x:v>
      </x:c>
      <x:c r="J80" s="4" t="s">
        <x:v>2425</x:v>
      </x:c>
      <x:c r="K80" s="4" t="s">
        <x:v>203</x:v>
      </x:c>
      <x:c r="L80" s="4" t="s">
        <x:v>203</x:v>
      </x:c>
      <x:c r="M80" s="4" t="s">
        <x:v>172</x:v>
      </x:c>
      <x:c r="N80" s="4" t="s">
        <x:v>204</x:v>
      </x:c>
      <x:c r="O80" s="4" t="s">
        <x:v>107</x:v>
      </x:c>
      <x:c r="P80" s="4" t="s">
        <x:v>200</x:v>
      </x:c>
      <x:c r="Q80" s="4" t="s">
        <x:v>2515</x:v>
      </x:c>
      <x:c r="R80" s="4" t="s">
        <x:v>236</x:v>
      </x:c>
      <x:c r="S80" s="65"/>
      <x:c r="T80" s="4" t="str"/>
      <x:c r="U80" s="4" t="s">
        <x:v>172</x:v>
      </x:c>
      <x:c r="V80" s="4" t="s">
        <x:v>169</x:v>
      </x:c>
      <x:c r="W80" s="4" t="s">
        <x:v>169</x:v>
      </x:c>
      <x:c r="X80" s="4" t="s">
        <x:v>107</x:v>
      </x:c>
      <x:c r="Y80" s="4" t="s">
        <x:v>107</x:v>
      </x:c>
      <x:c r="Z80" s="4" t="str">
        <x:v>否</x:v>
      </x:c>
      <x:c r="AA80" s="4" t="s">
        <x:v>172</x:v>
      </x:c>
      <x:c r="AB80" s="4" t="s">
        <x:v>172</x:v>
      </x:c>
      <x:c r="AC80" s="4" t="s">
        <x:v>172</x:v>
      </x:c>
      <x:c r="AD80" s="4" t="str">
        <x:v>终态：过期</x:v>
      </x:c>
      <x:c r="AE80" s="4" t="str">
        <x:v>相邻记录</x:v>
      </x:c>
      <x:c r="AF80" s="4" t="s">
        <x:v>107</x:v>
      </x:c>
      <x:c r="AG80" s="4" t="s">
        <x:v>204</x:v>
      </x:c>
      <x:c r="AH80" s="4" t="s">
        <x:v>107</x:v>
      </x:c>
      <x:c r="AI80" s="4" t="s">
        <x:v>107</x:v>
      </x:c>
      <x:c r="AJ80" s="4" t="str">
        <x:v>相邻记录</x:v>
      </x:c>
      <x:c r="AK80" s="4" t="s">
        <x:v>1848</x:v>
      </x:c>
      <x:c r="AL80" s="4" t="str">
        <x:v>条件委托已过期；算法编号1000001813322744；创建时间2026-06-01 07:03:48；过期时间2026-06-01 09:31:04；是否触发否；周期关联等级STRONG_CONTEXT；取消/过期原因无法确认（已完成为不适用）。</x:v>
      </x:c>
      <x:c r="AM80" s="4" t="str">
        <x:v>否</x:v>
      </x:c>
      <x:c r="AN80" s="4" t="str"/>
      <x:c r="AO80" s="64" t="str">
        <x:v>1000001813322744</x:v>
      </x:c>
      <x:c r="AP80" s="4" t="s">
        <x:v>2388</x:v>
      </x:c>
      <x:c r="AQ80" s="4" t="str">
        <x:v>是</x:v>
      </x:c>
      <x:c r="AR80" s="4" t="s">
        <x:v>2428</x:v>
      </x:c>
      <x:c r="AS80" s="4" t="str">
        <x:v>/Users/luodaluo/Desktop/30天复盘原始数据/补充证据_历史委托条件委托截图/05_安卓端取消与过期完整生命周期/02_已过期/Screenshot_20260722_195639.jpg</x:v>
      </x:c>
      <x:c r="AT80" t="str">
        <x:v>过期</x:v>
      </x:c>
      <x:c r="AU80" t="n">
        <x:v>8836</x:v>
      </x:c>
      <x:c r="AV80" t="str">
        <x:v>STRONG_CONTEXT</x:v>
      </x:c>
      <x:c r="AW80" t="str">
        <x:v>无法确认</x:v>
      </x:c>
      <x:c r="AX80" t="str">
        <x:v>平台字段＋严格时间与仓位关系计算</x:v>
      </x:c>
    </x:row>
    <x:row r="81">
      <x:c r="A81" s="4" t="s">
        <x:v>68</x:v>
      </x:c>
      <x:c r="B81" s="4" t="s">
        <x:v>1353</x:v>
      </x:c>
      <x:c r="C81" s="4" t="s">
        <x:v>2516</x:v>
      </x:c>
      <x:c r="D81" s="4" t="s">
        <x:v>197</x:v>
      </x:c>
      <x:c r="E81" s="65" t="n">
        <x:v>46174.06324074074</x:v>
      </x:c>
      <x:c r="F81" s="4" t="s">
        <x:v>2423</x:v>
      </x:c>
      <x:c r="G81" s="4" t="s">
        <x:v>2424</x:v>
      </x:c>
      <x:c r="H81" s="4" t="s">
        <x:v>1336</x:v>
      </x:c>
      <x:c r="I81" s="4" t="s">
        <x:v>1337</x:v>
      </x:c>
      <x:c r="J81" s="4" t="s">
        <x:v>2425</x:v>
      </x:c>
      <x:c r="K81" s="4" t="s">
        <x:v>1826</x:v>
      </x:c>
      <x:c r="L81" s="4" t="s">
        <x:v>205</x:v>
      </x:c>
      <x:c r="M81" s="4" t="s">
        <x:v>2426</x:v>
      </x:c>
      <x:c r="N81" s="4" t="s">
        <x:v>206</x:v>
      </x:c>
      <x:c r="O81" s="4" t="s">
        <x:v>107</x:v>
      </x:c>
      <x:c r="P81" s="4" t="s">
        <x:v>200</x:v>
      </x:c>
      <x:c r="Q81" s="4" t="s">
        <x:v>2515</x:v>
      </x:c>
      <x:c r="R81" s="4" t="s">
        <x:v>236</x:v>
      </x:c>
      <x:c r="S81" s="65"/>
      <x:c r="T81" s="4" t="str"/>
      <x:c r="U81" s="4" t="s">
        <x:v>172</x:v>
      </x:c>
      <x:c r="V81" s="4" t="s">
        <x:v>169</x:v>
      </x:c>
      <x:c r="W81" s="4" t="s">
        <x:v>169</x:v>
      </x:c>
      <x:c r="X81" s="4" t="s">
        <x:v>107</x:v>
      </x:c>
      <x:c r="Y81" s="4" t="s">
        <x:v>107</x:v>
      </x:c>
      <x:c r="Z81" s="4" t="str">
        <x:v>否</x:v>
      </x:c>
      <x:c r="AA81" s="4" t="s">
        <x:v>172</x:v>
      </x:c>
      <x:c r="AB81" s="4" t="s">
        <x:v>172</x:v>
      </x:c>
      <x:c r="AC81" s="4" t="s">
        <x:v>172</x:v>
      </x:c>
      <x:c r="AD81" s="4" t="str">
        <x:v>终态：过期</x:v>
      </x:c>
      <x:c r="AE81" s="4" t="str">
        <x:v>相邻记录</x:v>
      </x:c>
      <x:c r="AF81" s="4" t="s">
        <x:v>107</x:v>
      </x:c>
      <x:c r="AG81" s="4" t="s">
        <x:v>206</x:v>
      </x:c>
      <x:c r="AH81" s="4" t="s">
        <x:v>107</x:v>
      </x:c>
      <x:c r="AI81" s="4" t="s">
        <x:v>107</x:v>
      </x:c>
      <x:c r="AJ81" s="4" t="str">
        <x:v>相邻记录</x:v>
      </x:c>
      <x:c r="AK81" s="4" t="s">
        <x:v>1848</x:v>
      </x:c>
      <x:c r="AL81" s="4" t="str">
        <x:v>条件委托已过期；算法编号1000001813322745；创建时间2026-06-01 07:03:48；过期时间2026-06-01 09:31:04；是否触发否；周期关联等级STRONG_CONTEXT；取消/过期原因无法确认（已完成为不适用）。</x:v>
      </x:c>
      <x:c r="AM81" s="4" t="str">
        <x:v>否</x:v>
      </x:c>
      <x:c r="AN81" s="4" t="str"/>
      <x:c r="AO81" s="64" t="str">
        <x:v>1000001813322745</x:v>
      </x:c>
      <x:c r="AP81" s="4" t="s">
        <x:v>2389</x:v>
      </x:c>
      <x:c r="AQ81" s="4" t="str">
        <x:v>是</x:v>
      </x:c>
      <x:c r="AR81" s="4" t="s">
        <x:v>2428</x:v>
      </x:c>
      <x:c r="AS81" s="4" t="str">
        <x:v>/Users/luodaluo/Desktop/30天复盘原始数据/补充证据_历史委托条件委托截图/05_安卓端取消与过期完整生命周期/02_已过期/Screenshot_20260722_195634.jpg</x:v>
      </x:c>
      <x:c r="AT81" t="str">
        <x:v>过期</x:v>
      </x:c>
      <x:c r="AU81" t="n">
        <x:v>8836</x:v>
      </x:c>
      <x:c r="AV81" t="str">
        <x:v>STRONG_CONTEXT</x:v>
      </x:c>
      <x:c r="AW81" t="str">
        <x:v>无法确认</x:v>
      </x:c>
      <x:c r="AX81" t="str">
        <x:v>平台字段＋严格时间与仓位关系计算</x:v>
      </x:c>
    </x:row>
  </x:sheetData>
  <x:pageMargins left="0.7" right="0.7" top="0.75" bottom="0.75" header="0.3" footer="0.3"/>
</x:worksheet>
</file>

<file path=xl/worksheets/sheet11.xml><?xml version="1.0" encoding="utf-8"?>
<x:worksheet xmlns:x="http://schemas.openxmlformats.org/spreadsheetml/2006/main">
  <x:sheetFormatPr defaultColWidth="9" defaultRowHeight="16.799999237060547"/>
  <x:sheetData>
    <x:row r="1">
      <x:c r="A1" s="3" t="s">
        <x:v>23</x:v>
      </x:c>
      <x:c r="B1" s="3" t="s">
        <x:v>25</x:v>
      </x:c>
      <x:c r="C1" s="3" t="s">
        <x:v>1202</x:v>
      </x:c>
      <x:c r="D1" s="3" t="s">
        <x:v>1204</x:v>
      </x:c>
      <x:c r="E1" s="3" t="s">
        <x:v>28</x:v>
      </x:c>
      <x:c r="F1" s="3" t="s">
        <x:v>1242</x:v>
      </x:c>
      <x:c r="G1" s="3" t="s">
        <x:v>1243</x:v>
      </x:c>
      <x:c r="H1" s="3" t="s">
        <x:v>1244</x:v>
      </x:c>
      <x:c r="I1" s="3" t="s">
        <x:v>2517</x:v>
      </x:c>
      <x:c r="J1" s="3" t="s">
        <x:v>1245</x:v>
      </x:c>
      <x:c r="K1" s="3" t="s">
        <x:v>1246</x:v>
      </x:c>
      <x:c r="L1" s="3" t="s">
        <x:v>1247</x:v>
      </x:c>
      <x:c r="M1" s="3" t="s">
        <x:v>2518</x:v>
      </x:c>
      <x:c r="N1" s="3" t="s">
        <x:v>1249</x:v>
      </x:c>
      <x:c r="O1" s="3" t="s">
        <x:v>1250</x:v>
      </x:c>
      <x:c r="P1" s="3" t="s">
        <x:v>1251</x:v>
      </x:c>
      <x:c r="Q1" s="3" t="s">
        <x:v>2519</x:v>
      </x:c>
      <x:c r="R1" s="3" t="s">
        <x:v>1252</x:v>
      </x:c>
      <x:c r="S1" s="3" t="s">
        <x:v>1253</x:v>
      </x:c>
      <x:c r="T1" s="3" t="s">
        <x:v>1254</x:v>
      </x:c>
      <x:c r="U1" s="3" t="s">
        <x:v>2520</x:v>
      </x:c>
      <x:c r="V1" s="3" t="s">
        <x:v>2521</x:v>
      </x:c>
      <x:c r="W1" s="3" t="s">
        <x:v>2522</x:v>
      </x:c>
      <x:c r="X1" s="3" t="s">
        <x:v>2523</x:v>
      </x:c>
      <x:c r="Y1" s="3" t="s">
        <x:v>2524</x:v>
      </x:c>
      <x:c r="Z1" s="3" t="s">
        <x:v>2525</x:v>
      </x:c>
      <x:c r="AA1" s="3" t="s">
        <x:v>1205</x:v>
      </x:c>
      <x:c r="AB1" s="3" t="s">
        <x:v>2526</x:v>
      </x:c>
      <x:c r="AC1" s="3" t="s">
        <x:v>2527</x:v>
      </x:c>
      <x:c r="AD1" s="3" t="s">
        <x:v>1329</x:v>
      </x:c>
      <x:c r="AE1" s="3" t="s">
        <x:v>1257</x:v>
      </x:c>
      <x:c r="AF1" t="str">
        <x:v>首次止损延迟秒数_M4</x:v>
      </x:c>
      <x:c r="AG1" t="str">
        <x:v>止损覆盖率_M4</x:v>
      </x:c>
      <x:c r="AH1" t="str">
        <x:v>最大止损空档秒数_M4</x:v>
      </x:c>
      <x:c r="AI1" t="str">
        <x:v>持仓结束时有效止损_M4</x:v>
      </x:c>
      <x:c r="AJ1" t="str">
        <x:v>生命周期证据口径_M4</x:v>
      </x:c>
    </x:row>
    <x:row r="2">
      <x:c r="A2" s="4" t="s">
        <x:v>69</x:v>
      </x:c>
      <x:c r="B2" s="4" t="s">
        <x:v>1336</x:v>
      </x:c>
      <x:c r="C2" s="4" t="s">
        <x:v>1337</x:v>
      </x:c>
      <x:c r="D2" s="4" t="s">
        <x:v>216</x:v>
      </x:c>
      <x:c r="E2" s="4" t="s">
        <x:v>238</x:v>
      </x:c>
      <x:c r="F2" s="4" t="n">
        <x:v>2</x:v>
      </x:c>
      <x:c r="G2" s="4" t="n">
        <x:v>1</x:v>
      </x:c>
      <x:c r="H2" s="4" t="n">
        <x:v>1</x:v>
      </x:c>
      <x:c r="I2" s="4" t="n">
        <x:v>0</x:v>
      </x:c>
      <x:c r="J2" s="4" t="n">
        <x:v>1</x:v>
      </x:c>
      <x:c r="K2" s="4" t="n">
        <x:v>0</x:v>
      </x:c>
      <x:c r="L2" s="4" t="n">
        <x:v>0</x:v>
      </x:c>
      <x:c r="M2" s="4" t="n">
        <x:v>0</x:v>
      </x:c>
      <x:c r="N2" s="4" t="n">
        <x:v>0</x:v>
      </x:c>
      <x:c r="O2" s="4" t="n">
        <x:v>0</x:v>
      </x:c>
      <x:c r="P2" s="4" t="n">
        <x:v>0</x:v>
      </x:c>
      <x:c r="Q2" s="4" t="n">
        <x:v>0</x:v>
      </x:c>
      <x:c r="R2" s="4" t="n">
        <x:v>0</x:v>
      </x:c>
      <x:c r="S2" s="4" t="n">
        <x:v>0</x:v>
      </x:c>
      <x:c r="T2" s="4" t="n">
        <x:v>0</x:v>
      </x:c>
      <x:c r="U2" s="4" t="n">
        <x:v>0</x:v>
      </x:c>
      <x:c r="V2" s="4" t="n">
        <x:v>0</x:v>
      </x:c>
      <x:c r="W2" s="4" t="n">
        <x:v>1</x:v>
      </x:c>
      <x:c r="X2" s="4" t="n">
        <x:v>1</x:v>
      </x:c>
      <x:c r="Y2" s="4" t="n">
        <x:v>0</x:v>
      </x:c>
      <x:c r="Z2" s="4" t="s">
        <x:v>169</x:v>
      </x:c>
      <x:c r="AA2" s="4" t="s">
        <x:v>1340</x:v>
      </x:c>
      <x:c r="AB2" s="4" t="str">
        <x:v>条件委托2张：完成0、取消1、过期1；取消/过期原因无法确认。</x:v>
      </x:c>
      <x:c r="AC2" s="4" t="s">
        <x:v>172</x:v>
      </x:c>
      <x:c r="AD2" s="4" t="s">
        <x:v>169</x:v>
      </x:c>
      <x:c r="AE2" s="4" t="s">
        <x:v>1358</x:v>
      </x:c>
      <x:c r="AF2" t="n">
        <x:v>28</x:v>
      </x:c>
      <x:c r="AG2" s="68" t="n">
        <x:v>0.9959593144768009</x:v>
      </x:c>
      <x:c r="AH2" t="n">
        <x:v>28</x:v>
      </x:c>
      <x:c r="AI2" t="str">
        <x:v>是</x:v>
      </x:c>
      <x:c r="AJ2" t="str">
        <x:v>平台/A497直接字段＋严格时间与仓位关系计算</x:v>
      </x:c>
    </x:row>
    <x:row r="3">
      <x:c r="A3" s="4" t="s">
        <x:v>70</x:v>
      </x:c>
      <x:c r="B3" s="4" t="s">
        <x:v>1336</x:v>
      </x:c>
      <x:c r="C3" s="4" t="s">
        <x:v>1409</x:v>
      </x:c>
      <x:c r="D3" s="4" t="s">
        <x:v>238</x:v>
      </x:c>
      <x:c r="E3" s="4" t="s">
        <x:v>245</x:v>
      </x:c>
      <x:c r="F3" s="4" t="n">
        <x:v>0</x:v>
      </x:c>
      <x:c r="G3" s="4" t="n">
        <x:v>0</x:v>
      </x:c>
      <x:c r="H3" s="4" t="n">
        <x:v>0</x:v>
      </x:c>
      <x:c r="I3" s="4" t="n">
        <x:v>0</x:v>
      </x:c>
      <x:c r="J3" s="4" t="n">
        <x:v>0</x:v>
      </x:c>
      <x:c r="K3" s="4" t="n">
        <x:v>0</x:v>
      </x:c>
      <x:c r="L3" s="4" t="n">
        <x:v>0</x:v>
      </x:c>
      <x:c r="M3" s="4" t="n">
        <x:v>0</x:v>
      </x:c>
      <x:c r="N3" s="4" t="n">
        <x:v>0</x:v>
      </x:c>
      <x:c r="O3" s="4" t="n">
        <x:v>0</x:v>
      </x:c>
      <x:c r="P3" s="4" t="n">
        <x:v>0</x:v>
      </x:c>
      <x:c r="Q3" s="4" t="n">
        <x:v>0</x:v>
      </x:c>
      <x:c r="R3" s="4" t="n">
        <x:v>0</x:v>
      </x:c>
      <x:c r="S3" s="4" t="n">
        <x:v>0</x:v>
      </x:c>
      <x:c r="T3" s="4" t="n">
        <x:v>0</x:v>
      </x:c>
      <x:c r="U3" s="4" t="n">
        <x:v>0</x:v>
      </x:c>
      <x:c r="V3" s="4" t="n">
        <x:v>0</x:v>
      </x:c>
      <x:c r="W3" s="4" t="n">
        <x:v>0</x:v>
      </x:c>
      <x:c r="X3" s="4" t="n">
        <x:v>0</x:v>
      </x:c>
      <x:c r="Y3" s="4" t="n">
        <x:v>0</x:v>
      </x:c>
      <x:c r="Z3" s="4" t="s">
        <x:v>169</x:v>
      </x:c>
      <x:c r="AA3" s="4" t="s">
        <x:v>179</x:v>
      </x:c>
      <x:c r="AB3" s="4" t="str">
        <x:v>无正式关联条件委托（不代表未设置）。</x:v>
      </x:c>
      <x:c r="AC3" s="4" t="s">
        <x:v>172</x:v>
      </x:c>
      <x:c r="AD3" s="4" t="s">
        <x:v>169</x:v>
      </x:c>
      <x:c r="AE3" s="4" t="s">
        <x:v>1422</x:v>
      </x:c>
      <x:c r="AF3"/>
      <x:c r="AG3" s="68" t="n">
        <x:v>0</x:v>
      </x:c>
      <x:c r="AH3" t="n">
        <x:v>8</x:v>
      </x:c>
      <x:c r="AI3" t="str">
        <x:v>否</x:v>
      </x:c>
      <x:c r="AJ3" t="str">
        <x:v>平台/A497直接字段＋严格时间与仓位关系计算</x:v>
      </x:c>
    </x:row>
    <x:row r="4">
      <x:c r="A4" s="4" t="s">
        <x:v>71</x:v>
      </x:c>
      <x:c r="B4" s="4" t="s">
        <x:v>1336</x:v>
      </x:c>
      <x:c r="C4" s="4" t="s">
        <x:v>1409</x:v>
      </x:c>
      <x:c r="D4" s="4" t="s">
        <x:v>258</x:v>
      </x:c>
      <x:c r="E4" s="4" t="s">
        <x:v>397</x:v>
      </x:c>
      <x:c r="F4" s="4" t="n">
        <x:v>14</x:v>
      </x:c>
      <x:c r="G4" s="4" t="n">
        <x:v>13</x:v>
      </x:c>
      <x:c r="H4" s="4" t="n">
        <x:v>0</x:v>
      </x:c>
      <x:c r="I4" s="4" t="n">
        <x:v>1</x:v>
      </x:c>
      <x:c r="J4" s="4" t="n">
        <x:v>10</x:v>
      </x:c>
      <x:c r="K4" s="4" t="n">
        <x:v>1</x:v>
      </x:c>
      <x:c r="L4" s="4" t="n">
        <x:v>1</x:v>
      </x:c>
      <x:c r="M4" s="4" t="n">
        <x:v>1</x:v>
      </x:c>
      <x:c r="N4" s="4" t="n">
        <x:v>8</x:v>
      </x:c>
      <x:c r="O4" s="4" t="n">
        <x:v>8</x:v>
      </x:c>
      <x:c r="P4" s="4" t="n">
        <x:v>0</x:v>
      </x:c>
      <x:c r="Q4" s="4" t="n">
        <x:v>0</x:v>
      </x:c>
      <x:c r="R4" s="4" t="n">
        <x:v>6</x:v>
      </x:c>
      <x:c r="S4" s="4" t="n">
        <x:v>0</x:v>
      </x:c>
      <x:c r="T4" s="4" t="n">
        <x:v>0</x:v>
      </x:c>
      <x:c r="U4" s="4" t="n">
        <x:v>0</x:v>
      </x:c>
      <x:c r="V4" s="4" t="n">
        <x:v>0</x:v>
      </x:c>
      <x:c r="W4" s="4" t="n">
        <x:v>21</x:v>
      </x:c>
      <x:c r="X4" s="4" t="n">
        <x:v>0</x:v>
      </x:c>
      <x:c r="Y4" s="4" t="n">
        <x:v>1</x:v>
      </x:c>
      <x:c r="Z4" s="4" t="s">
        <x:v>169</x:v>
      </x:c>
      <x:c r="AA4" s="4" t="s">
        <x:v>1449</x:v>
      </x:c>
      <x:c r="AB4" s="4" t="str">
        <x:v>条件委托22张：完成1、取消21、过期0；取消/过期原因无法确认。</x:v>
      </x:c>
      <x:c r="AC4" s="4" t="s">
        <x:v>171</x:v>
      </x:c>
      <x:c r="AD4" s="4" t="s">
        <x:v>1466</x:v>
      </x:c>
      <x:c r="AE4" s="4" t="s">
        <x:v>1467</x:v>
      </x:c>
      <x:c r="AF4" t="n">
        <x:v>241</x:v>
      </x:c>
      <x:c r="AG4" s="68" t="n">
        <x:v>0.9919978924490401</x:v>
      </x:c>
      <x:c r="AH4" t="n">
        <x:v>241</x:v>
      </x:c>
      <x:c r="AI4" t="str">
        <x:v>是</x:v>
      </x:c>
      <x:c r="AJ4" t="str">
        <x:v>平台/A497直接字段＋严格时间与仓位关系计算</x:v>
      </x:c>
    </x:row>
    <x:row r="5">
      <x:c r="A5" s="4" t="s">
        <x:v>73</x:v>
      </x:c>
      <x:c r="B5" s="4" t="s">
        <x:v>1336</x:v>
      </x:c>
      <x:c r="C5" s="4" t="s">
        <x:v>1409</x:v>
      </x:c>
      <x:c r="D5" s="4" t="s">
        <x:v>457</x:v>
      </x:c>
      <x:c r="E5" s="4" t="s">
        <x:v>477</x:v>
      </x:c>
      <x:c r="F5" s="4" t="n">
        <x:v>1</x:v>
      </x:c>
      <x:c r="G5" s="4" t="n">
        <x:v>0</x:v>
      </x:c>
      <x:c r="H5" s="4" t="n">
        <x:v>0</x:v>
      </x:c>
      <x:c r="I5" s="4" t="n">
        <x:v>1</x:v>
      </x:c>
      <x:c r="J5" s="4" t="n">
        <x:v>0</x:v>
      </x:c>
      <x:c r="K5" s="4" t="n">
        <x:v>1</x:v>
      </x:c>
      <x:c r="L5" s="4" t="n">
        <x:v>1</x:v>
      </x:c>
      <x:c r="M5" s="4" t="n">
        <x:v>1</x:v>
      </x:c>
      <x:c r="N5" s="4" t="n">
        <x:v>0</x:v>
      </x:c>
      <x:c r="O5" s="4" t="n">
        <x:v>0</x:v>
      </x:c>
      <x:c r="P5" s="4" t="n">
        <x:v>0</x:v>
      </x:c>
      <x:c r="Q5" s="4" t="n">
        <x:v>0</x:v>
      </x:c>
      <x:c r="R5" s="4" t="n">
        <x:v>0</x:v>
      </x:c>
      <x:c r="S5" s="4" t="n">
        <x:v>0</x:v>
      </x:c>
      <x:c r="T5" s="4" t="n">
        <x:v>0</x:v>
      </x:c>
      <x:c r="U5" s="4" t="n">
        <x:v>0</x:v>
      </x:c>
      <x:c r="V5" s="4" t="n">
        <x:v>0</x:v>
      </x:c>
      <x:c r="W5" s="4" t="n">
        <x:v>0</x:v>
      </x:c>
      <x:c r="X5" s="4" t="n">
        <x:v>0</x:v>
      </x:c>
      <x:c r="Y5" s="4" t="n">
        <x:v>1</x:v>
      </x:c>
      <x:c r="Z5" s="4" t="s">
        <x:v>169</x:v>
      </x:c>
      <x:c r="AA5" s="4" t="s">
        <x:v>1449</x:v>
      </x:c>
      <x:c r="AB5" s="4" t="str">
        <x:v>条件委托1张：完成1、取消0、过期0；取消/过期原因无法确认。</x:v>
      </x:c>
      <x:c r="AC5" s="4" t="s">
        <x:v>172</x:v>
      </x:c>
      <x:c r="AD5" s="4" t="s">
        <x:v>169</x:v>
      </x:c>
      <x:c r="AE5" s="4" t="s">
        <x:v>1519</x:v>
      </x:c>
      <x:c r="AF5" t="n">
        <x:v>3217</x:v>
      </x:c>
      <x:c r="AG5" s="68" t="n">
        <x:v>0.09021493212669683</x:v>
      </x:c>
      <x:c r="AH5" t="n">
        <x:v>3217</x:v>
      </x:c>
      <x:c r="AI5" t="str">
        <x:v>是</x:v>
      </x:c>
      <x:c r="AJ5" t="str">
        <x:v>平台/A497直接字段＋严格时间与仓位关系计算</x:v>
      </x:c>
    </x:row>
    <x:row r="6">
      <x:c r="A6" s="4" t="s">
        <x:v>75</x:v>
      </x:c>
      <x:c r="B6" s="4" t="s">
        <x:v>1561</x:v>
      </x:c>
      <x:c r="C6" s="4" t="s">
        <x:v>1337</x:v>
      </x:c>
      <x:c r="D6" s="4" t="s">
        <x:v>561</x:v>
      </x:c>
      <x:c r="E6" s="4" t="s">
        <x:v>615</x:v>
      </x:c>
      <x:c r="F6" s="4" t="n">
        <x:v>3</x:v>
      </x:c>
      <x:c r="G6" s="4" t="n">
        <x:v>2</x:v>
      </x:c>
      <x:c r="H6" s="4" t="n">
        <x:v>0</x:v>
      </x:c>
      <x:c r="I6" s="4" t="n">
        <x:v>1</x:v>
      </x:c>
      <x:c r="J6" s="4" t="n">
        <x:v>1</x:v>
      </x:c>
      <x:c r="K6" s="4" t="n">
        <x:v>1</x:v>
      </x:c>
      <x:c r="L6" s="4" t="n">
        <x:v>1</x:v>
      </x:c>
      <x:c r="M6" s="4" t="n">
        <x:v>1</x:v>
      </x:c>
      <x:c r="N6" s="4" t="n">
        <x:v>3</x:v>
      </x:c>
      <x:c r="O6" s="4" t="n">
        <x:v>2</x:v>
      </x:c>
      <x:c r="P6" s="4" t="n">
        <x:v>1</x:v>
      </x:c>
      <x:c r="Q6" s="4" t="n">
        <x:v>0</x:v>
      </x:c>
      <x:c r="R6" s="4" t="n">
        <x:v>1</x:v>
      </x:c>
      <x:c r="S6" s="4" t="n">
        <x:v>0</x:v>
      </x:c>
      <x:c r="T6" s="4" t="n">
        <x:v>0</x:v>
      </x:c>
      <x:c r="U6" s="4" t="n">
        <x:v>0</x:v>
      </x:c>
      <x:c r="V6" s="4" t="n">
        <x:v>0</x:v>
      </x:c>
      <x:c r="W6" s="4" t="n">
        <x:v>4</x:v>
      </x:c>
      <x:c r="X6" s="4" t="n">
        <x:v>1</x:v>
      </x:c>
      <x:c r="Y6" s="4" t="n">
        <x:v>1</x:v>
      </x:c>
      <x:c r="Z6" s="4" t="s">
        <x:v>169</x:v>
      </x:c>
      <x:c r="AA6" s="4" t="s">
        <x:v>1449</x:v>
      </x:c>
      <x:c r="AB6" s="4" t="str">
        <x:v>条件委托6张：完成1、取消4、过期1；取消/过期原因无法确认。</x:v>
      </x:c>
      <x:c r="AC6" s="4" t="s">
        <x:v>171</x:v>
      </x:c>
      <x:c r="AD6" s="4" t="s">
        <x:v>1466</x:v>
      </x:c>
      <x:c r="AE6" s="4" t="s">
        <x:v>1467</x:v>
      </x:c>
      <x:c r="AF6" t="n">
        <x:v>1345</x:v>
      </x:c>
      <x:c r="AG6" s="68" t="n">
        <x:v>0.9181613668146167</x:v>
      </x:c>
      <x:c r="AH6" t="n">
        <x:v>1345</x:v>
      </x:c>
      <x:c r="AI6" t="str">
        <x:v>是</x:v>
      </x:c>
      <x:c r="AJ6" t="str">
        <x:v>平台/A497直接字段＋严格时间与仓位关系计算</x:v>
      </x:c>
    </x:row>
    <x:row r="7">
      <x:c r="A7" s="4" t="s">
        <x:v>76</x:v>
      </x:c>
      <x:c r="B7" s="4" t="s">
        <x:v>1336</x:v>
      </x:c>
      <x:c r="C7" s="4" t="s">
        <x:v>1337</x:v>
      </x:c>
      <x:c r="D7" s="4" t="s">
        <x:v>630</x:v>
      </x:c>
      <x:c r="E7" s="4" t="s">
        <x:v>695</x:v>
      </x:c>
      <x:c r="F7" s="4" t="n">
        <x:v>7</x:v>
      </x:c>
      <x:c r="G7" s="4" t="n">
        <x:v>6</x:v>
      </x:c>
      <x:c r="H7" s="4" t="n">
        <x:v>1</x:v>
      </x:c>
      <x:c r="I7" s="4" t="n">
        <x:v>0</x:v>
      </x:c>
      <x:c r="J7" s="4" t="n">
        <x:v>6</x:v>
      </x:c>
      <x:c r="K7" s="4" t="n">
        <x:v>0</x:v>
      </x:c>
      <x:c r="L7" s="4" t="n">
        <x:v>0</x:v>
      </x:c>
      <x:c r="M7" s="4" t="n">
        <x:v>0</x:v>
      </x:c>
      <x:c r="N7" s="4" t="n">
        <x:v>5</x:v>
      </x:c>
      <x:c r="O7" s="4" t="n">
        <x:v>4</x:v>
      </x:c>
      <x:c r="P7" s="4" t="n">
        <x:v>1</x:v>
      </x:c>
      <x:c r="Q7" s="4" t="n">
        <x:v>0</x:v>
      </x:c>
      <x:c r="R7" s="4" t="n">
        <x:v>4</x:v>
      </x:c>
      <x:c r="S7" s="4" t="n">
        <x:v>0</x:v>
      </x:c>
      <x:c r="T7" s="4" t="n">
        <x:v>0</x:v>
      </x:c>
      <x:c r="U7" s="4" t="n">
        <x:v>0</x:v>
      </x:c>
      <x:c r="V7" s="4" t="n">
        <x:v>0</x:v>
      </x:c>
      <x:c r="W7" s="4" t="n">
        <x:v>10</x:v>
      </x:c>
      <x:c r="X7" s="4" t="n">
        <x:v>2</x:v>
      </x:c>
      <x:c r="Y7" s="4" t="n">
        <x:v>0</x:v>
      </x:c>
      <x:c r="Z7" s="4" t="s">
        <x:v>169</x:v>
      </x:c>
      <x:c r="AA7" s="4" t="s">
        <x:v>1612</x:v>
      </x:c>
      <x:c r="AB7" s="4" t="str">
        <x:v>条件委托12张：完成0、取消10、过期2；取消/过期原因无法确认。</x:v>
      </x:c>
      <x:c r="AC7" s="4" t="s">
        <x:v>171</x:v>
      </x:c>
      <x:c r="AD7" s="4" t="s">
        <x:v>314</x:v>
      </x:c>
      <x:c r="AE7" s="4" t="s">
        <x:v>1467</x:v>
      </x:c>
      <x:c r="AF7" t="n">
        <x:v>41683</x:v>
      </x:c>
      <x:c r="AG7" s="68" t="n">
        <x:v>0.6598694410444716</x:v>
      </x:c>
      <x:c r="AH7" t="n">
        <x:v>41683</x:v>
      </x:c>
      <x:c r="AI7" t="str">
        <x:v>是</x:v>
      </x:c>
      <x:c r="AJ7" t="str">
        <x:v>平台/A497直接字段＋严格时间与仓位关系计算</x:v>
      </x:c>
    </x:row>
    <x:row r="8">
      <x:c r="A8" s="4" t="s">
        <x:v>107</x:v>
      </x:c>
      <x:c r="B8" s="4" t="s">
        <x:v>107</x:v>
      </x:c>
      <x:c r="C8" s="4" t="s">
        <x:v>107</x:v>
      </x:c>
      <x:c r="D8" s="4" t="s">
        <x:v>107</x:v>
      </x:c>
      <x:c r="E8" s="4" t="s">
        <x:v>107</x:v>
      </x:c>
      <x:c r="F8" s="4" t="s">
        <x:v>107</x:v>
      </x:c>
      <x:c r="G8" s="4" t="s">
        <x:v>107</x:v>
      </x:c>
      <x:c r="H8" s="4" t="s">
        <x:v>107</x:v>
      </x:c>
      <x:c r="I8" s="4" t="s">
        <x:v>107</x:v>
      </x:c>
      <x:c r="J8" s="4" t="s">
        <x:v>107</x:v>
      </x:c>
      <x:c r="K8" s="4" t="s">
        <x:v>107</x:v>
      </x:c>
      <x:c r="L8" s="4" t="s">
        <x:v>107</x:v>
      </x:c>
      <x:c r="M8" s="4" t="s">
        <x:v>107</x:v>
      </x:c>
      <x:c r="N8" s="4" t="s">
        <x:v>107</x:v>
      </x:c>
      <x:c r="O8" s="4" t="s">
        <x:v>107</x:v>
      </x:c>
      <x:c r="P8" s="4" t="s">
        <x:v>107</x:v>
      </x:c>
      <x:c r="Q8" s="4" t="s">
        <x:v>107</x:v>
      </x:c>
      <x:c r="R8" s="4" t="s">
        <x:v>107</x:v>
      </x:c>
      <x:c r="S8" s="4" t="s">
        <x:v>107</x:v>
      </x:c>
      <x:c r="T8" s="4" t="s">
        <x:v>107</x:v>
      </x:c>
      <x:c r="U8" s="4" t="s">
        <x:v>107</x:v>
      </x:c>
      <x:c r="V8" s="4" t="s">
        <x:v>107</x:v>
      </x:c>
      <x:c r="W8" s="4" t="s">
        <x:v>107</x:v>
      </x:c>
      <x:c r="X8" s="4" t="s">
        <x:v>107</x:v>
      </x:c>
      <x:c r="Y8" s="4" t="s">
        <x:v>107</x:v>
      </x:c>
      <x:c r="Z8" s="4" t="s">
        <x:v>107</x:v>
      </x:c>
      <x:c r="AA8" s="4" t="s">
        <x:v>107</x:v>
      </x:c>
      <x:c r="AB8" s="4" t="s">
        <x:v>107</x:v>
      </x:c>
      <x:c r="AC8" s="4" t="s">
        <x:v>107</x:v>
      </x:c>
      <x:c r="AD8" s="4" t="s">
        <x:v>107</x:v>
      </x:c>
      <x:c r="AE8" s="4" t="s">
        <x:v>107</x:v>
      </x:c>
      <x:c r="AG8" s="68"/>
    </x:row>
    <x:row r="9">
      <x:c r="A9" s="4" t="s">
        <x:v>74</x:v>
      </x:c>
      <x:c r="B9" s="4" t="s">
        <x:v>1336</x:v>
      </x:c>
      <x:c r="C9" s="4" t="s">
        <x:v>1337</x:v>
      </x:c>
      <x:c r="D9" s="4" t="s">
        <x:v>501</x:v>
      </x:c>
      <x:c r="E9" s="4" t="s">
        <x:v>551</x:v>
      </x:c>
      <x:c r="F9" s="4" t="n">
        <x:v>7</x:v>
      </x:c>
      <x:c r="G9" s="4" t="n">
        <x:v>6</x:v>
      </x:c>
      <x:c r="H9" s="4" t="n">
        <x:v>1</x:v>
      </x:c>
      <x:c r="I9" s="4" t="n">
        <x:v>0</x:v>
      </x:c>
      <x:c r="J9" s="4" t="n">
        <x:v>6</x:v>
      </x:c>
      <x:c r="K9" s="4" t="n">
        <x:v>0</x:v>
      </x:c>
      <x:c r="L9" s="4" t="n">
        <x:v>0</x:v>
      </x:c>
      <x:c r="M9" s="4" t="n">
        <x:v>0</x:v>
      </x:c>
      <x:c r="N9" s="4" t="n">
        <x:v>3</x:v>
      </x:c>
      <x:c r="O9" s="4" t="n">
        <x:v>3</x:v>
      </x:c>
      <x:c r="P9" s="4" t="n">
        <x:v>0</x:v>
      </x:c>
      <x:c r="Q9" s="4" t="n">
        <x:v>0</x:v>
      </x:c>
      <x:c r="R9" s="4" t="n">
        <x:v>2</x:v>
      </x:c>
      <x:c r="S9" s="4" t="n">
        <x:v>0</x:v>
      </x:c>
      <x:c r="T9" s="4" t="n">
        <x:v>0</x:v>
      </x:c>
      <x:c r="U9" s="4" t="n">
        <x:v>0</x:v>
      </x:c>
      <x:c r="V9" s="4" t="n">
        <x:v>0</x:v>
      </x:c>
      <x:c r="W9" s="4" t="n">
        <x:v>9</x:v>
      </x:c>
      <x:c r="X9" s="4" t="n">
        <x:v>1</x:v>
      </x:c>
      <x:c r="Y9" s="4" t="n">
        <x:v>0</x:v>
      </x:c>
      <x:c r="Z9" s="4" t="s">
        <x:v>169</x:v>
      </x:c>
      <x:c r="AA9" s="4" t="s">
        <x:v>1612</x:v>
      </x:c>
      <x:c r="AB9" s="4" t="str">
        <x:v>条件委托10张：完成0、取消9、过期1；取消/过期原因无法确认。</x:v>
      </x:c>
      <x:c r="AC9" s="4" t="s">
        <x:v>172</x:v>
      </x:c>
      <x:c r="AD9" s="4" t="s">
        <x:v>169</x:v>
      </x:c>
      <x:c r="AE9" s="4" t="s">
        <x:v>1358</x:v>
      </x:c>
      <x:c r="AF9" t="n">
        <x:v>98</x:v>
      </x:c>
      <x:c r="AG9" s="68" t="n">
        <x:v>0.993717476837162</x:v>
      </x:c>
      <x:c r="AH9" t="n">
        <x:v>98</x:v>
      </x:c>
      <x:c r="AI9" t="str">
        <x:v>是</x:v>
      </x:c>
      <x:c r="AJ9" t="str">
        <x:v>平台/A497直接字段＋严格时间与仓位关系计算</x:v>
      </x:c>
    </x:row>
    <x:row r="10">
      <x:c r="A10" s="4" t="s">
        <x:v>72</x:v>
      </x:c>
      <x:c r="B10" s="4" t="s">
        <x:v>1336</x:v>
      </x:c>
      <x:c r="C10" s="4" t="s">
        <x:v>1337</x:v>
      </x:c>
      <x:c r="D10" s="4" t="s">
        <x:v>404</x:v>
      </x:c>
      <x:c r="E10" s="4" t="s">
        <x:v>449</x:v>
      </x:c>
      <x:c r="F10" s="4" t="n">
        <x:v>20</x:v>
      </x:c>
      <x:c r="G10" s="4" t="n">
        <x:v>20</x:v>
      </x:c>
      <x:c r="H10" s="4" t="n">
        <x:v>0</x:v>
      </x:c>
      <x:c r="I10" s="4" t="n">
        <x:v>0</x:v>
      </x:c>
      <x:c r="J10" s="4" t="n">
        <x:v>19</x:v>
      </x:c>
      <x:c r="K10" s="4" t="n">
        <x:v>0</x:v>
      </x:c>
      <x:c r="L10" s="4" t="n">
        <x:v>0</x:v>
      </x:c>
      <x:c r="M10" s="4" t="n">
        <x:v>0</x:v>
      </x:c>
      <x:c r="N10" s="4" t="n">
        <x:v>2</x:v>
      </x:c>
      <x:c r="O10" s="4" t="n">
        <x:v>1</x:v>
      </x:c>
      <x:c r="P10" s="4" t="n">
        <x:v>1</x:v>
      </x:c>
      <x:c r="Q10" s="4" t="n">
        <x:v>0</x:v>
      </x:c>
      <x:c r="R10" s="4" t="n">
        <x:v>1</x:v>
      </x:c>
      <x:c r="S10" s="4" t="n">
        <x:v>0</x:v>
      </x:c>
      <x:c r="T10" s="4" t="n">
        <x:v>0</x:v>
      </x:c>
      <x:c r="U10" s="4" t="n">
        <x:v>0</x:v>
      </x:c>
      <x:c r="V10" s="4" t="n">
        <x:v>0</x:v>
      </x:c>
      <x:c r="W10" s="4" t="n">
        <x:v>21</x:v>
      </x:c>
      <x:c r="X10" s="4" t="n">
        <x:v>1</x:v>
      </x:c>
      <x:c r="Y10" s="4" t="n">
        <x:v>0</x:v>
      </x:c>
      <x:c r="Z10" s="4" t="s">
        <x:v>169</x:v>
      </x:c>
      <x:c r="AA10" s="4" t="s">
        <x:v>1612</x:v>
      </x:c>
      <x:c r="AB10" s="4" t="str">
        <x:v>条件委托22张：完成0、取消21、过期1；取消/过期原因无法确认。</x:v>
      </x:c>
      <x:c r="AC10" s="4" t="s">
        <x:v>172</x:v>
      </x:c>
      <x:c r="AD10" s="4" t="s">
        <x:v>169</x:v>
      </x:c>
      <x:c r="AE10" s="4" t="s">
        <x:v>1358</x:v>
      </x:c>
      <x:c r="AF10" t="n">
        <x:v>169</x:v>
      </x:c>
      <x:c r="AG10" s="68" t="n">
        <x:v>0.9689369091259888</x:v>
      </x:c>
      <x:c r="AH10" t="n">
        <x:v>169</x:v>
      </x:c>
      <x:c r="AI10" t="str">
        <x:v>否</x:v>
      </x:c>
      <x:c r="AJ10" t="str">
        <x:v>平台/A497直接字段＋严格时间与仓位关系计算</x:v>
      </x:c>
    </x:row>
    <x:row r="11">
      <x:c r="A11" s="4" t="s">
        <x:v>68</x:v>
      </x:c>
      <x:c r="B11" s="4" t="s">
        <x:v>1336</x:v>
      </x:c>
      <x:c r="C11" s="4" t="s">
        <x:v>1337</x:v>
      </x:c>
      <x:c r="D11" s="4" t="s">
        <x:v>197</x:v>
      </x:c>
      <x:c r="E11" s="4" t="s">
        <x:v>207</x:v>
      </x:c>
      <x:c r="F11" s="4" t="n">
        <x:v>1</x:v>
      </x:c>
      <x:c r="G11" s="4" t="n">
        <x:v>0</x:v>
      </x:c>
      <x:c r="H11" s="4" t="n">
        <x:v>1</x:v>
      </x:c>
      <x:c r="I11" s="4" t="n">
        <x:v>0</x:v>
      </x:c>
      <x:c r="J11" s="4" t="n">
        <x:v>0</x:v>
      </x:c>
      <x:c r="K11" s="4" t="n">
        <x:v>0</x:v>
      </x:c>
      <x:c r="L11" s="4" t="n">
        <x:v>0</x:v>
      </x:c>
      <x:c r="M11" s="4" t="n">
        <x:v>0</x:v>
      </x:c>
      <x:c r="N11" s="4" t="n">
        <x:v>1</x:v>
      </x:c>
      <x:c r="O11" s="4" t="n">
        <x:v>0</x:v>
      </x:c>
      <x:c r="P11" s="4" t="n">
        <x:v>1</x:v>
      </x:c>
      <x:c r="Q11" s="4" t="n">
        <x:v>0</x:v>
      </x:c>
      <x:c r="R11" s="4" t="n">
        <x:v>0</x:v>
      </x:c>
      <x:c r="S11" s="4" t="n">
        <x:v>0</x:v>
      </x:c>
      <x:c r="T11" s="4" t="n">
        <x:v>0</x:v>
      </x:c>
      <x:c r="U11" s="4" t="n">
        <x:v>0</x:v>
      </x:c>
      <x:c r="V11" s="4" t="n">
        <x:v>0</x:v>
      </x:c>
      <x:c r="W11" s="4" t="n">
        <x:v>0</x:v>
      </x:c>
      <x:c r="X11" s="4" t="n">
        <x:v>2</x:v>
      </x:c>
      <x:c r="Y11" s="4" t="n">
        <x:v>0</x:v>
      </x:c>
      <x:c r="Z11" s="4" t="s">
        <x:v>169</x:v>
      </x:c>
      <x:c r="AA11" s="4" t="s">
        <x:v>1612</x:v>
      </x:c>
      <x:c r="AB11" s="4" t="str">
        <x:v>条件委托2张：完成0、取消0、过期2；取消/过期原因无法确认。</x:v>
      </x:c>
      <x:c r="AC11" s="4" t="s">
        <x:v>171</x:v>
      </x:c>
      <x:c r="AD11" s="4" t="s">
        <x:v>1353</x:v>
      </x:c>
      <x:c r="AE11" s="4" t="s">
        <x:v>1467</x:v>
      </x:c>
      <x:c r="AF11" t="n">
        <x:v>0</x:v>
      </x:c>
      <x:c r="AG11" s="68" t="n">
        <x:v>1</x:v>
      </x:c>
      <x:c r="AH11" t="n">
        <x:v>0</x:v>
      </x:c>
      <x:c r="AI11" t="str">
        <x:v>是</x:v>
      </x:c>
      <x:c r="AJ11" t="str">
        <x:v>平台/A497直接字段＋严格时间与仓位关系计算</x:v>
      </x:c>
    </x:row>
  </x:sheetData>
  <x:pageMargins left="0.7" right="0.7" top="0.75" bottom="0.75" header="0.3" footer="0.3"/>
</x:worksheet>
</file>

<file path=xl/worksheets/sheet12.xml><?xml version="1.0" encoding="utf-8"?>
<x:worksheet xmlns:x="http://schemas.openxmlformats.org/spreadsheetml/2006/main">
  <x:sheetFormatPr defaultColWidth="9" defaultRowHeight="16.799999237060547"/>
  <x:sheetData>
    <x:row r="1">
      <x:c r="A1" s="3" t="s">
        <x:v>23</x:v>
      </x:c>
      <x:c r="B1" s="3" t="s">
        <x:v>25</x:v>
      </x:c>
      <x:c r="C1" s="3" t="s">
        <x:v>1202</x:v>
      </x:c>
      <x:c r="D1" s="3" t="s">
        <x:v>2528</x:v>
      </x:c>
      <x:c r="E1" s="3" t="s">
        <x:v>1204</x:v>
      </x:c>
      <x:c r="F1" s="3" t="s">
        <x:v>28</x:v>
      </x:c>
      <x:c r="G1" s="3" t="s">
        <x:v>1260</x:v>
      </x:c>
      <x:c r="H1" s="3" t="s">
        <x:v>2529</x:v>
      </x:c>
      <x:c r="I1" s="3" t="s">
        <x:v>2530</x:v>
      </x:c>
      <x:c r="J1" s="3" t="s">
        <x:v>2531</x:v>
      </x:c>
      <x:c r="K1" s="3" t="s">
        <x:v>2532</x:v>
      </x:c>
      <x:c r="L1" s="3" t="s">
        <x:v>2533</x:v>
      </x:c>
      <x:c r="M1" s="3" t="s">
        <x:v>2534</x:v>
      </x:c>
      <x:c r="N1" s="3" t="s">
        <x:v>2535</x:v>
      </x:c>
      <x:c r="O1" s="3" t="s">
        <x:v>2536</x:v>
      </x:c>
      <x:c r="P1" s="3" t="s">
        <x:v>2537</x:v>
      </x:c>
      <x:c r="Q1" s="3" t="s">
        <x:v>2538</x:v>
      </x:c>
      <x:c r="R1" s="3" t="s">
        <x:v>2539</x:v>
      </x:c>
      <x:c r="S1" s="3" t="s">
        <x:v>2540</x:v>
      </x:c>
      <x:c r="T1" s="3" t="s">
        <x:v>2541</x:v>
      </x:c>
      <x:c r="U1" s="3" t="s">
        <x:v>2542</x:v>
      </x:c>
      <x:c r="V1" s="3" t="s">
        <x:v>2543</x:v>
      </x:c>
      <x:c r="W1" s="3" t="s">
        <x:v>2544</x:v>
      </x:c>
      <x:c r="X1" s="3" t="s">
        <x:v>2545</x:v>
      </x:c>
      <x:c r="Y1" s="3" t="s">
        <x:v>2546</x:v>
      </x:c>
      <x:c r="Z1" s="3" t="s">
        <x:v>2547</x:v>
      </x:c>
      <x:c r="AA1" s="3" t="s">
        <x:v>2548</x:v>
      </x:c>
      <x:c r="AB1" s="3" t="s">
        <x:v>2549</x:v>
      </x:c>
      <x:c r="AC1" s="3" t="s">
        <x:v>2550</x:v>
      </x:c>
      <x:c r="AD1" s="3" t="s">
        <x:v>2551</x:v>
      </x:c>
      <x:c r="AE1" s="3" t="s">
        <x:v>2552</x:v>
      </x:c>
      <x:c r="AF1" s="3" t="s">
        <x:v>2553</x:v>
      </x:c>
      <x:c r="AG1" s="3" t="s">
        <x:v>1175</x:v>
      </x:c>
      <x:c r="AH1" s="3" t="s">
        <x:v>2554</x:v>
      </x:c>
      <x:c r="AI1" s="3" t="s">
        <x:v>2555</x:v>
      </x:c>
      <x:c r="AJ1" s="3" t="s">
        <x:v>2556</x:v>
      </x:c>
      <x:c r="AK1" s="3" t="s">
        <x:v>2557</x:v>
      </x:c>
      <x:c r="AL1" s="3" t="s">
        <x:v>2558</x:v>
      </x:c>
      <x:c r="AM1" s="3" t="s">
        <x:v>1275</x:v>
      </x:c>
      <x:c r="AN1" s="3" t="s">
        <x:v>2559</x:v>
      </x:c>
      <x:c r="AO1" s="3" t="s">
        <x:v>2560</x:v>
      </x:c>
      <x:c r="AP1" s="3" t="s">
        <x:v>2561</x:v>
      </x:c>
      <x:c r="AQ1" s="3" t="s">
        <x:v>2562</x:v>
      </x:c>
      <x:c r="AR1" s="3" t="s">
        <x:v>2563</x:v>
      </x:c>
      <x:c r="AS1" s="3" t="s">
        <x:v>2564</x:v>
      </x:c>
      <x:c r="AT1" s="3" t="s">
        <x:v>2565</x:v>
      </x:c>
      <x:c r="AU1" s="3" t="s">
        <x:v>2566</x:v>
      </x:c>
      <x:c r="AV1" s="3" t="s">
        <x:v>2567</x:v>
      </x:c>
      <x:c r="AW1" s="3" t="s">
        <x:v>2568</x:v>
      </x:c>
      <x:c r="AX1" s="3" t="s">
        <x:v>2569</x:v>
      </x:c>
      <x:c r="AY1" s="3" t="s">
        <x:v>2570</x:v>
      </x:c>
      <x:c r="AZ1" s="3" t="s">
        <x:v>2571</x:v>
      </x:c>
      <x:c r="BA1" s="3" t="s">
        <x:v>2572</x:v>
      </x:c>
      <x:c r="BB1" s="3" t="s">
        <x:v>1296</x:v>
      </x:c>
      <x:c r="BC1" s="3" t="s">
        <x:v>2573</x:v>
      </x:c>
      <x:c r="BD1" s="3" t="s">
        <x:v>2574</x:v>
      </x:c>
      <x:c r="BE1" s="3" t="s">
        <x:v>2575</x:v>
      </x:c>
      <x:c r="BF1" s="3" t="s">
        <x:v>2576</x:v>
      </x:c>
      <x:c r="BG1" s="3" t="s">
        <x:v>2577</x:v>
      </x:c>
      <x:c r="BH1" s="3" t="s">
        <x:v>2578</x:v>
      </x:c>
      <x:c r="BI1" s="3" t="s">
        <x:v>2579</x:v>
      </x:c>
      <x:c r="BJ1" s="3" t="s">
        <x:v>2580</x:v>
      </x:c>
      <x:c r="BK1" s="3" t="s">
        <x:v>2581</x:v>
      </x:c>
      <x:c r="BL1" s="3" t="s">
        <x:v>2582</x:v>
      </x:c>
      <x:c r="BM1" s="3" t="s">
        <x:v>2583</x:v>
      </x:c>
      <x:c r="BN1" s="3" t="s">
        <x:v>2584</x:v>
      </x:c>
      <x:c r="BO1" s="3" t="s">
        <x:v>2585</x:v>
      </x:c>
      <x:c r="BP1" s="3" t="s">
        <x:v>2586</x:v>
      </x:c>
      <x:c r="BQ1" s="3" t="s">
        <x:v>2587</x:v>
      </x:c>
      <x:c r="BR1" s="3" t="s">
        <x:v>2588</x:v>
      </x:c>
      <x:c r="BS1" s="3" t="s">
        <x:v>2589</x:v>
      </x:c>
      <x:c r="BT1" s="3" t="s">
        <x:v>2590</x:v>
      </x:c>
      <x:c r="BU1" s="3" t="s">
        <x:v>2591</x:v>
      </x:c>
      <x:c r="BV1" s="3" t="s">
        <x:v>2592</x:v>
      </x:c>
      <x:c r="BW1" s="3" t="s">
        <x:v>2593</x:v>
      </x:c>
      <x:c r="BX1" s="3" t="s">
        <x:v>2594</x:v>
      </x:c>
      <x:c r="BY1" s="3" t="s">
        <x:v>1285</x:v>
      </x:c>
      <x:c r="BZ1" s="3" t="s">
        <x:v>2595</x:v>
      </x:c>
      <x:c r="CA1" s="3" t="s">
        <x:v>2596</x:v>
      </x:c>
      <x:c r="CB1" s="3" t="s">
        <x:v>2597</x:v>
      </x:c>
      <x:c r="CC1" s="3" t="s">
        <x:v>2598</x:v>
      </x:c>
      <x:c r="CD1" s="3" t="s">
        <x:v>2599</x:v>
      </x:c>
      <x:c r="CE1" s="3" t="s">
        <x:v>2600</x:v>
      </x:c>
      <x:c r="CF1" s="3" t="s">
        <x:v>2601</x:v>
      </x:c>
      <x:c r="CG1" s="3" t="s">
        <x:v>2602</x:v>
      </x:c>
      <x:c r="CH1" s="3" t="s">
        <x:v>2603</x:v>
      </x:c>
      <x:c r="CI1" s="3" t="s">
        <x:v>2604</x:v>
      </x:c>
      <x:c r="CJ1" s="3" t="s">
        <x:v>2605</x:v>
      </x:c>
      <x:c r="CK1" s="3" t="s">
        <x:v>2606</x:v>
      </x:c>
      <x:c r="CL1" s="3" t="s">
        <x:v>2607</x:v>
      </x:c>
    </x:row>
    <x:row r="2">
      <x:c r="A2" s="4" t="s">
        <x:v>69</x:v>
      </x:c>
      <x:c r="B2" s="4" t="s">
        <x:v>1336</x:v>
      </x:c>
      <x:c r="C2" s="4" t="s">
        <x:v>1337</x:v>
      </x:c>
      <x:c r="D2" s="4" t="s">
        <x:v>172</x:v>
      </x:c>
      <x:c r="E2" s="4" t="s">
        <x:v>216</x:v>
      </x:c>
      <x:c r="F2" s="4" t="s">
        <x:v>238</x:v>
      </x:c>
      <x:c r="G2" s="4" t="s">
        <x:v>1361</x:v>
      </x:c>
      <x:c r="H2" s="4" t="s">
        <x:v>1362</x:v>
      </x:c>
      <x:c r="I2" s="4" t="s">
        <x:v>2608</x:v>
      </x:c>
      <x:c r="J2" s="4" t="s">
        <x:v>2609</x:v>
      </x:c>
      <x:c r="K2" s="4" t="s">
        <x:v>1364</x:v>
      </x:c>
      <x:c r="L2" s="4" t="s">
        <x:v>1364</x:v>
      </x:c>
      <x:c r="M2" s="4" t="s">
        <x:v>1364</x:v>
      </x:c>
      <x:c r="N2" s="4" t="s">
        <x:v>172</x:v>
      </x:c>
      <x:c r="O2" s="4" t="s">
        <x:v>2610</x:v>
      </x:c>
      <x:c r="P2" s="4" t="s">
        <x:v>1366</x:v>
      </x:c>
      <x:c r="Q2" s="4" t="s">
        <x:v>2611</x:v>
      </x:c>
      <x:c r="R2" s="4" t="s">
        <x:v>2610</x:v>
      </x:c>
      <x:c r="S2" s="4" t="s">
        <x:v>226</x:v>
      </x:c>
      <x:c r="T2" s="4" t="s">
        <x:v>1368</x:v>
      </x:c>
      <x:c r="U2" s="4" t="s">
        <x:v>169</x:v>
      </x:c>
      <x:c r="V2" s="4" t="s">
        <x:v>2612</x:v>
      </x:c>
      <x:c r="W2" s="4" t="s">
        <x:v>169</x:v>
      </x:c>
      <x:c r="X2" s="4" t="s">
        <x:v>2613</x:v>
      </x:c>
      <x:c r="Y2" s="4" t="s">
        <x:v>2610</x:v>
      </x:c>
      <x:c r="Z2" s="4" t="s">
        <x:v>1344</x:v>
      </x:c>
      <x:c r="AA2" s="4" t="s">
        <x:v>1345</x:v>
      </x:c>
      <x:c r="AB2" s="4" t="s">
        <x:v>169</x:v>
      </x:c>
      <x:c r="AC2" s="4" t="s">
        <x:v>169</x:v>
      </x:c>
      <x:c r="AD2" s="4" t="s">
        <x:v>1346</x:v>
      </x:c>
      <x:c r="AE2" s="4" t="s">
        <x:v>169</x:v>
      </x:c>
      <x:c r="AF2" s="4" t="s">
        <x:v>2614</x:v>
      </x:c>
      <x:c r="AG2" s="4" t="s">
        <x:v>1370</x:v>
      </x:c>
      <x:c r="AH2" s="4" t="s">
        <x:v>1377</x:v>
      </x:c>
      <x:c r="AI2" s="4" t="s">
        <x:v>1377</x:v>
      </x:c>
      <x:c r="AJ2" s="4" t="s">
        <x:v>169</x:v>
      </x:c>
      <x:c r="AK2" s="4" t="s">
        <x:v>1372</x:v>
      </x:c>
      <x:c r="AL2" s="4" t="s">
        <x:v>2610</x:v>
      </x:c>
      <x:c r="AM2" s="4" t="s">
        <x:v>1374</x:v>
      </x:c>
      <x:c r="AN2" s="4" t="s">
        <x:v>1375</x:v>
      </x:c>
      <x:c r="AO2" s="4" t="s">
        <x:v>2608</x:v>
      </x:c>
      <x:c r="AP2" s="4" t="s">
        <x:v>2615</x:v>
      </x:c>
      <x:c r="AQ2" s="4" t="s">
        <x:v>2616</x:v>
      </x:c>
      <x:c r="AR2" s="4" t="s">
        <x:v>2617</x:v>
      </x:c>
      <x:c r="AS2" s="4" t="s">
        <x:v>2618</x:v>
      </x:c>
      <x:c r="AT2" s="4" t="s">
        <x:v>2619</x:v>
      </x:c>
      <x:c r="AU2" s="4" t="s">
        <x:v>2620</x:v>
      </x:c>
      <x:c r="AV2" s="4" t="s">
        <x:v>2619</x:v>
      </x:c>
      <x:c r="AW2" s="4" t="s">
        <x:v>2621</x:v>
      </x:c>
      <x:c r="AX2" s="4" t="s">
        <x:v>218</x:v>
      </x:c>
      <x:c r="AY2" s="4" t="s">
        <x:v>217</x:v>
      </x:c>
      <x:c r="AZ2" s="4" t="s">
        <x:v>1387</x:v>
      </x:c>
      <x:c r="BA2" s="4" t="s">
        <x:v>229</x:v>
      </x:c>
      <x:c r="BB2" s="4" t="s">
        <x:v>1354</x:v>
      </x:c>
      <x:c r="BC2" s="4" t="s">
        <x:v>1391</x:v>
      </x:c>
      <x:c r="BD2" s="4" t="s">
        <x:v>1389</x:v>
      </x:c>
      <x:c r="BE2" s="4" t="s">
        <x:v>1393</x:v>
      </x:c>
      <x:c r="BF2" s="4" t="s">
        <x:v>1379</x:v>
      </x:c>
      <x:c r="BG2" s="4" t="s">
        <x:v>2622</x:v>
      </x:c>
      <x:c r="BH2" s="4" t="s">
        <x:v>2623</x:v>
      </x:c>
      <x:c r="BI2" s="4" t="s">
        <x:v>2624</x:v>
      </x:c>
      <x:c r="BJ2" s="4" t="s">
        <x:v>2625</x:v>
      </x:c>
      <x:c r="BK2" s="4" t="s">
        <x:v>2626</x:v>
      </x:c>
      <x:c r="BL2" s="4" t="s">
        <x:v>169</x:v>
      </x:c>
      <x:c r="BM2" s="4" t="s">
        <x:v>169</x:v>
      </x:c>
      <x:c r="BN2" s="4" t="s">
        <x:v>169</x:v>
      </x:c>
      <x:c r="BO2" s="4" t="s">
        <x:v>169</x:v>
      </x:c>
      <x:c r="BP2" s="4" t="s">
        <x:v>169</x:v>
      </x:c>
      <x:c r="BQ2" s="4" t="s">
        <x:v>169</x:v>
      </x:c>
      <x:c r="BR2" s="4" t="s">
        <x:v>169</x:v>
      </x:c>
      <x:c r="BS2" s="4" t="s">
        <x:v>169</x:v>
      </x:c>
      <x:c r="BT2" s="4" t="s">
        <x:v>1353</x:v>
      </x:c>
      <x:c r="BU2" s="4" t="s">
        <x:v>172</x:v>
      </x:c>
      <x:c r="BV2" s="4" t="s">
        <x:v>2627</x:v>
      </x:c>
      <x:c r="BW2" s="4" t="s">
        <x:v>1381</x:v>
      </x:c>
      <x:c r="BX2" s="4" t="s">
        <x:v>1383</x:v>
      </x:c>
      <x:c r="BY2" s="4" t="s">
        <x:v>1384</x:v>
      </x:c>
      <x:c r="BZ2" s="4" t="s">
        <x:v>171</x:v>
      </x:c>
      <x:c r="CA2" s="4" t="s">
        <x:v>2628</x:v>
      </x:c>
      <x:c r="CB2" s="4" t="s">
        <x:v>166</x:v>
      </x:c>
      <x:c r="CC2" s="4" t="s">
        <x:v>166</x:v>
      </x:c>
      <x:c r="CD2" s="4" t="s">
        <x:v>166</x:v>
      </x:c>
      <x:c r="CE2" s="4" t="s">
        <x:v>166</x:v>
      </x:c>
      <x:c r="CF2" s="4" t="s">
        <x:v>166</x:v>
      </x:c>
      <x:c r="CG2" s="4" t="s">
        <x:v>166</x:v>
      </x:c>
      <x:c r="CH2" s="4" t="s">
        <x:v>166</x:v>
      </x:c>
      <x:c r="CI2" s="4" t="s">
        <x:v>166</x:v>
      </x:c>
      <x:c r="CJ2" s="4" t="s">
        <x:v>2629</x:v>
      </x:c>
      <x:c r="CK2" s="4" t="s">
        <x:v>2630</x:v>
      </x:c>
      <x:c r="CL2" s="4" t="s">
        <x:v>2631</x:v>
      </x:c>
    </x:row>
    <x:row r="3">
      <x:c r="A3" s="4" t="s">
        <x:v>70</x:v>
      </x:c>
      <x:c r="B3" s="4" t="s">
        <x:v>1336</x:v>
      </x:c>
      <x:c r="C3" s="4" t="s">
        <x:v>1409</x:v>
      </x:c>
      <x:c r="D3" s="4" t="s">
        <x:v>172</x:v>
      </x:c>
      <x:c r="E3" s="4" t="s">
        <x:v>238</x:v>
      </x:c>
      <x:c r="F3" s="4" t="s">
        <x:v>245</x:v>
      </x:c>
      <x:c r="G3" s="4" t="s">
        <x:v>1361</x:v>
      </x:c>
      <x:c r="H3" s="4" t="s">
        <x:v>1362</x:v>
      </x:c>
      <x:c r="I3" s="4" t="s">
        <x:v>2608</x:v>
      </x:c>
      <x:c r="J3" s="4" t="s">
        <x:v>2632</x:v>
      </x:c>
      <x:c r="K3" s="4" t="s">
        <x:v>1424</x:v>
      </x:c>
      <x:c r="L3" s="4" t="s">
        <x:v>1372</x:v>
      </x:c>
      <x:c r="M3" s="4" t="s">
        <x:v>1424</x:v>
      </x:c>
      <x:c r="N3" s="4" t="s">
        <x:v>171</x:v>
      </x:c>
      <x:c r="O3" s="4" t="s">
        <x:v>2610</x:v>
      </x:c>
      <x:c r="P3" s="4" t="s">
        <x:v>1426</x:v>
      </x:c>
      <x:c r="Q3" s="4" t="s">
        <x:v>2633</x:v>
      </x:c>
      <x:c r="R3" s="4" t="s">
        <x:v>2610</x:v>
      </x:c>
      <x:c r="S3" s="4" t="s">
        <x:v>238</x:v>
      </x:c>
      <x:c r="T3" s="4" t="s">
        <x:v>1426</x:v>
      </x:c>
      <x:c r="U3" s="4" t="s">
        <x:v>169</x:v>
      </x:c>
      <x:c r="V3" s="4" t="s">
        <x:v>2633</x:v>
      </x:c>
      <x:c r="W3" s="4" t="s">
        <x:v>169</x:v>
      </x:c>
      <x:c r="X3" s="4" t="s">
        <x:v>169</x:v>
      </x:c>
      <x:c r="Y3" s="4" t="s">
        <x:v>2610</x:v>
      </x:c>
      <x:c r="Z3" s="4" t="s">
        <x:v>1413</x:v>
      </x:c>
      <x:c r="AA3" s="4" t="s">
        <x:v>1414</x:v>
      </x:c>
      <x:c r="AB3" s="4" t="s">
        <x:v>169</x:v>
      </x:c>
      <x:c r="AC3" s="4" t="s">
        <x:v>169</x:v>
      </x:c>
      <x:c r="AD3" s="4" t="s">
        <x:v>1415</x:v>
      </x:c>
      <x:c r="AE3" s="4" t="s">
        <x:v>169</x:v>
      </x:c>
      <x:c r="AF3" s="4" t="s">
        <x:v>2614</x:v>
      </x:c>
      <x:c r="AG3" s="4" t="s">
        <x:v>1428</x:v>
      </x:c>
      <x:c r="AH3" s="4" t="s">
        <x:v>1432</x:v>
      </x:c>
      <x:c r="AI3" s="4" t="s">
        <x:v>1432</x:v>
      </x:c>
      <x:c r="AJ3" s="4" t="s">
        <x:v>169</x:v>
      </x:c>
      <x:c r="AK3" s="4" t="s">
        <x:v>1430</x:v>
      </x:c>
      <x:c r="AL3" s="4" t="s">
        <x:v>2610</x:v>
      </x:c>
      <x:c r="AM3" s="4" t="s">
        <x:v>1374</x:v>
      </x:c>
      <x:c r="AN3" s="4" t="s">
        <x:v>1375</x:v>
      </x:c>
      <x:c r="AO3" s="4" t="s">
        <x:v>2608</x:v>
      </x:c>
      <x:c r="AP3" s="4" t="s">
        <x:v>2634</x:v>
      </x:c>
      <x:c r="AQ3" s="4" t="s">
        <x:v>2635</x:v>
      </x:c>
      <x:c r="AR3" s="4" t="s">
        <x:v>2636</x:v>
      </x:c>
      <x:c r="AS3" s="4" t="s">
        <x:v>2618</x:v>
      </x:c>
      <x:c r="AT3" s="4" t="s">
        <x:v>2619</x:v>
      </x:c>
      <x:c r="AU3" s="4" t="s">
        <x:v>2620</x:v>
      </x:c>
      <x:c r="AV3" s="4" t="s">
        <x:v>2619</x:v>
      </x:c>
      <x:c r="AW3" s="4" t="s">
        <x:v>2621</x:v>
      </x:c>
      <x:c r="AX3" s="4" t="s">
        <x:v>229</x:v>
      </x:c>
      <x:c r="AY3" s="4" t="s">
        <x:v>1418</x:v>
      </x:c>
      <x:c r="AZ3" s="4" t="s">
        <x:v>1438</x:v>
      </x:c>
      <x:c r="BA3" s="4" t="s">
        <x:v>229</x:v>
      </x:c>
      <x:c r="BB3" s="4" t="s">
        <x:v>1418</x:v>
      </x:c>
      <x:c r="BC3" s="4" t="s">
        <x:v>1438</x:v>
      </x:c>
      <x:c r="BD3" s="4" t="s">
        <x:v>1440</x:v>
      </x:c>
      <x:c r="BE3" s="4" t="s">
        <x:v>1440</x:v>
      </x:c>
      <x:c r="BF3" s="4" t="s">
        <x:v>1434</x:v>
      </x:c>
      <x:c r="BG3" s="4" t="s">
        <x:v>2637</x:v>
      </x:c>
      <x:c r="BH3" s="4" t="s">
        <x:v>2638</x:v>
      </x:c>
      <x:c r="BI3" s="4" t="s">
        <x:v>2639</x:v>
      </x:c>
      <x:c r="BJ3" s="4" t="s">
        <x:v>2640</x:v>
      </x:c>
      <x:c r="BK3" s="4" t="s">
        <x:v>2626</x:v>
      </x:c>
      <x:c r="BL3" s="4" t="s">
        <x:v>169</x:v>
      </x:c>
      <x:c r="BM3" s="4" t="s">
        <x:v>169</x:v>
      </x:c>
      <x:c r="BN3" s="4" t="s">
        <x:v>169</x:v>
      </x:c>
      <x:c r="BO3" s="4" t="s">
        <x:v>169</x:v>
      </x:c>
      <x:c r="BP3" s="4" t="s">
        <x:v>169</x:v>
      </x:c>
      <x:c r="BQ3" s="4" t="s">
        <x:v>169</x:v>
      </x:c>
      <x:c r="BR3" s="4" t="s">
        <x:v>169</x:v>
      </x:c>
      <x:c r="BS3" s="4" t="s">
        <x:v>169</x:v>
      </x:c>
      <x:c r="BT3" s="4" t="s">
        <x:v>2000</x:v>
      </x:c>
      <x:c r="BU3" s="4" t="s">
        <x:v>172</x:v>
      </x:c>
      <x:c r="BV3" s="4" t="s">
        <x:v>2641</x:v>
      </x:c>
      <x:c r="BW3" s="4" t="s">
        <x:v>1381</x:v>
      </x:c>
      <x:c r="BX3" s="4" t="s">
        <x:v>1436</x:v>
      </x:c>
      <x:c r="BY3" s="4" t="s">
        <x:v>1384</x:v>
      </x:c>
      <x:c r="BZ3" s="4" t="s">
        <x:v>171</x:v>
      </x:c>
      <x:c r="CA3" s="4" t="s">
        <x:v>2628</x:v>
      </x:c>
      <x:c r="CB3" s="4" t="s">
        <x:v>166</x:v>
      </x:c>
      <x:c r="CC3" s="4" t="s">
        <x:v>166</x:v>
      </x:c>
      <x:c r="CD3" s="4" t="s">
        <x:v>166</x:v>
      </x:c>
      <x:c r="CE3" s="4" t="s">
        <x:v>166</x:v>
      </x:c>
      <x:c r="CF3" s="4" t="s">
        <x:v>166</x:v>
      </x:c>
      <x:c r="CG3" s="4" t="s">
        <x:v>166</x:v>
      </x:c>
      <x:c r="CH3" s="4" t="s">
        <x:v>166</x:v>
      </x:c>
      <x:c r="CI3" s="4" t="s">
        <x:v>166</x:v>
      </x:c>
      <x:c r="CJ3" s="4" t="s">
        <x:v>2629</x:v>
      </x:c>
      <x:c r="CK3" s="4" t="s">
        <x:v>2642</x:v>
      </x:c>
      <x:c r="CL3" s="4" t="s">
        <x:v>2631</x:v>
      </x:c>
    </x:row>
    <x:row r="4">
      <x:c r="A4" s="4" t="s">
        <x:v>71</x:v>
      </x:c>
      <x:c r="B4" s="4" t="s">
        <x:v>1336</x:v>
      </x:c>
      <x:c r="C4" s="4" t="s">
        <x:v>1409</x:v>
      </x:c>
      <x:c r="D4" s="4" t="s">
        <x:v>172</x:v>
      </x:c>
      <x:c r="E4" s="4" t="s">
        <x:v>258</x:v>
      </x:c>
      <x:c r="F4" s="4" t="s">
        <x:v>397</x:v>
      </x:c>
      <x:c r="G4" s="4" t="s">
        <x:v>1374</x:v>
      </x:c>
      <x:c r="H4" s="4" t="s">
        <x:v>1375</x:v>
      </x:c>
      <x:c r="I4" s="4" t="s">
        <x:v>2608</x:v>
      </x:c>
      <x:c r="J4" s="4" t="s">
        <x:v>2643</x:v>
      </x:c>
      <x:c r="K4" s="4" t="s">
        <x:v>1469</x:v>
      </x:c>
      <x:c r="L4" s="4" t="s">
        <x:v>1469</x:v>
      </x:c>
      <x:c r="M4" s="4" t="s">
        <x:v>1469</x:v>
      </x:c>
      <x:c r="N4" s="4" t="s">
        <x:v>172</x:v>
      </x:c>
      <x:c r="O4" s="4" t="s">
        <x:v>2610</x:v>
      </x:c>
      <x:c r="P4" s="4" t="s">
        <x:v>1471</x:v>
      </x:c>
      <x:c r="Q4" s="4" t="s">
        <x:v>2644</x:v>
      </x:c>
      <x:c r="R4" s="4" t="s">
        <x:v>2610</x:v>
      </x:c>
      <x:c r="S4" s="4" t="s">
        <x:v>381</x:v>
      </x:c>
      <x:c r="T4" s="4" t="s">
        <x:v>1473</x:v>
      </x:c>
      <x:c r="U4" s="4" t="s">
        <x:v>2645</x:v>
      </x:c>
      <x:c r="V4" s="4" t="s">
        <x:v>2646</x:v>
      </x:c>
      <x:c r="W4" s="4" t="s">
        <x:v>1454</x:v>
      </x:c>
      <x:c r="X4" s="4" t="s">
        <x:v>2647</x:v>
      </x:c>
      <x:c r="Y4" s="4" t="s">
        <x:v>2610</x:v>
      </x:c>
      <x:c r="Z4" s="4" t="s">
        <x:v>1452</x:v>
      </x:c>
      <x:c r="AA4" s="4" t="s">
        <x:v>1453</x:v>
      </x:c>
      <x:c r="AB4" s="4" t="s">
        <x:v>1454</x:v>
      </x:c>
      <x:c r="AC4" s="4" t="s">
        <x:v>169</x:v>
      </x:c>
      <x:c r="AD4" s="4" t="s">
        <x:v>1455</x:v>
      </x:c>
      <x:c r="AE4" s="4" t="s">
        <x:v>169</x:v>
      </x:c>
      <x:c r="AF4" s="4" t="s">
        <x:v>2614</x:v>
      </x:c>
      <x:c r="AG4" s="4" t="s">
        <x:v>1475</x:v>
      </x:c>
      <x:c r="AH4" s="4" t="s">
        <x:v>1482</x:v>
      </x:c>
      <x:c r="AI4" s="4" t="s">
        <x:v>1482</x:v>
      </x:c>
      <x:c r="AJ4" s="4" t="s">
        <x:v>169</x:v>
      </x:c>
      <x:c r="AK4" s="4" t="s">
        <x:v>1477</x:v>
      </x:c>
      <x:c r="AL4" s="4" t="s">
        <x:v>2610</x:v>
      </x:c>
      <x:c r="AM4" s="4" t="s">
        <x:v>1479</x:v>
      </x:c>
      <x:c r="AN4" s="4" t="s">
        <x:v>1480</x:v>
      </x:c>
      <x:c r="AO4" s="4" t="s">
        <x:v>2608</x:v>
      </x:c>
      <x:c r="AP4" s="4" t="s">
        <x:v>2648</x:v>
      </x:c>
      <x:c r="AQ4" s="4" t="s">
        <x:v>2649</x:v>
      </x:c>
      <x:c r="AR4" s="4" t="s">
        <x:v>2650</x:v>
      </x:c>
      <x:c r="AS4" s="4" t="s">
        <x:v>2651</x:v>
      </x:c>
      <x:c r="AT4" s="4" t="s">
        <x:v>2652</x:v>
      </x:c>
      <x:c r="AU4" s="4" t="s">
        <x:v>2653</x:v>
      </x:c>
      <x:c r="AV4" s="4" t="s">
        <x:v>2652</x:v>
      </x:c>
      <x:c r="AW4" s="4" t="s">
        <x:v>2621</x:v>
      </x:c>
      <x:c r="AX4" s="4" t="s">
        <x:v>218</x:v>
      </x:c>
      <x:c r="AY4" s="4" t="s">
        <x:v>260</x:v>
      </x:c>
      <x:c r="AZ4" s="4" t="s">
        <x:v>1489</x:v>
      </x:c>
      <x:c r="BA4" s="4" t="s">
        <x:v>383</x:v>
      </x:c>
      <x:c r="BB4" s="4" t="s">
        <x:v>1461</x:v>
      </x:c>
      <x:c r="BC4" s="4" t="s">
        <x:v>1493</x:v>
      </x:c>
      <x:c r="BD4" s="4" t="s">
        <x:v>1491</x:v>
      </x:c>
      <x:c r="BE4" s="4" t="s">
        <x:v>1495</x:v>
      </x:c>
      <x:c r="BF4" s="4" t="s">
        <x:v>1484</x:v>
      </x:c>
      <x:c r="BG4" s="4" t="s">
        <x:v>2654</x:v>
      </x:c>
      <x:c r="BH4" s="4" t="s">
        <x:v>2655</x:v>
      </x:c>
      <x:c r="BI4" s="4" t="s">
        <x:v>2656</x:v>
      </x:c>
      <x:c r="BJ4" s="4" t="s">
        <x:v>2657</x:v>
      </x:c>
      <x:c r="BK4" s="4" t="s">
        <x:v>2626</x:v>
      </x:c>
      <x:c r="BL4" s="4" t="s">
        <x:v>169</x:v>
      </x:c>
      <x:c r="BM4" s="4" t="s">
        <x:v>169</x:v>
      </x:c>
      <x:c r="BN4" s="4" t="s">
        <x:v>169</x:v>
      </x:c>
      <x:c r="BO4" s="4" t="s">
        <x:v>169</x:v>
      </x:c>
      <x:c r="BP4" s="4" t="s">
        <x:v>200</x:v>
      </x:c>
      <x:c r="BQ4" s="4" t="s">
        <x:v>2658</x:v>
      </x:c>
      <x:c r="BR4" s="4" t="s">
        <x:v>169</x:v>
      </x:c>
      <x:c r="BS4" s="4" t="s">
        <x:v>169</x:v>
      </x:c>
      <x:c r="BT4" s="4" t="s">
        <x:v>1982</x:v>
      </x:c>
      <x:c r="BU4" s="4" t="s">
        <x:v>172</x:v>
      </x:c>
      <x:c r="BV4" s="4" t="s">
        <x:v>2641</x:v>
      </x:c>
      <x:c r="BW4" s="4" t="s">
        <x:v>1381</x:v>
      </x:c>
      <x:c r="BX4" s="4" t="s">
        <x:v>1486</x:v>
      </x:c>
      <x:c r="BY4" s="4" t="s">
        <x:v>1487</x:v>
      </x:c>
      <x:c r="BZ4" s="4" t="s">
        <x:v>171</x:v>
      </x:c>
      <x:c r="CA4" s="4" t="s">
        <x:v>2628</x:v>
      </x:c>
      <x:c r="CB4" s="4" t="s">
        <x:v>166</x:v>
      </x:c>
      <x:c r="CC4" s="4" t="s">
        <x:v>166</x:v>
      </x:c>
      <x:c r="CD4" s="4" t="s">
        <x:v>166</x:v>
      </x:c>
      <x:c r="CE4" s="4" t="s">
        <x:v>166</x:v>
      </x:c>
      <x:c r="CF4" s="4" t="s">
        <x:v>166</x:v>
      </x:c>
      <x:c r="CG4" s="4" t="s">
        <x:v>166</x:v>
      </x:c>
      <x:c r="CH4" s="4" t="s">
        <x:v>166</x:v>
      </x:c>
      <x:c r="CI4" s="4" t="s">
        <x:v>166</x:v>
      </x:c>
      <x:c r="CJ4" s="4" t="s">
        <x:v>2629</x:v>
      </x:c>
      <x:c r="CK4" s="4" t="s">
        <x:v>2659</x:v>
      </x:c>
      <x:c r="CL4" s="4" t="s">
        <x:v>2631</x:v>
      </x:c>
    </x:row>
    <x:row r="5">
      <x:c r="A5" s="4" t="s">
        <x:v>73</x:v>
      </x:c>
      <x:c r="B5" s="4" t="s">
        <x:v>1336</x:v>
      </x:c>
      <x:c r="C5" s="4" t="s">
        <x:v>1409</x:v>
      </x:c>
      <x:c r="D5" s="4" t="s">
        <x:v>172</x:v>
      </x:c>
      <x:c r="E5" s="4" t="s">
        <x:v>457</x:v>
      </x:c>
      <x:c r="F5" s="4" t="s">
        <x:v>477</x:v>
      </x:c>
      <x:c r="G5" s="4" t="s">
        <x:v>1521</x:v>
      </x:c>
      <x:c r="H5" s="4" t="s">
        <x:v>1522</x:v>
      </x:c>
      <x:c r="I5" s="4" t="s">
        <x:v>2608</x:v>
      </x:c>
      <x:c r="J5" s="4" t="s">
        <x:v>2660</x:v>
      </x:c>
      <x:c r="K5" s="4" t="s">
        <x:v>1524</x:v>
      </x:c>
      <x:c r="L5" s="4" t="s">
        <x:v>1524</x:v>
      </x:c>
      <x:c r="M5" s="4" t="s">
        <x:v>1524</x:v>
      </x:c>
      <x:c r="N5" s="4" t="s">
        <x:v>172</x:v>
      </x:c>
      <x:c r="O5" s="4" t="s">
        <x:v>2610</x:v>
      </x:c>
      <x:c r="P5" s="4" t="s">
        <x:v>1526</x:v>
      </x:c>
      <x:c r="Q5" s="4" t="s">
        <x:v>2661</x:v>
      </x:c>
      <x:c r="R5" s="4" t="s">
        <x:v>2610</x:v>
      </x:c>
      <x:c r="S5" s="4" t="s">
        <x:v>461</x:v>
      </x:c>
      <x:c r="T5" s="4" t="s">
        <x:v>1528</x:v>
      </x:c>
      <x:c r="U5" s="4" t="s">
        <x:v>169</x:v>
      </x:c>
      <x:c r="V5" s="4" t="s">
        <x:v>2662</x:v>
      </x:c>
      <x:c r="W5" s="4" t="s">
        <x:v>169</x:v>
      </x:c>
      <x:c r="X5" s="4" t="s">
        <x:v>169</x:v>
      </x:c>
      <x:c r="Y5" s="4" t="s">
        <x:v>2610</x:v>
      </x:c>
      <x:c r="Z5" s="4" t="s">
        <x:v>1508</x:v>
      </x:c>
      <x:c r="AA5" s="4" t="s">
        <x:v>1509</x:v>
      </x:c>
      <x:c r="AB5" s="4" t="s">
        <x:v>169</x:v>
      </x:c>
      <x:c r="AC5" s="4" t="s">
        <x:v>169</x:v>
      </x:c>
      <x:c r="AD5" s="4" t="s">
        <x:v>1510</x:v>
      </x:c>
      <x:c r="AE5" s="4" t="s">
        <x:v>169</x:v>
      </x:c>
      <x:c r="AF5" s="4" t="s">
        <x:v>2614</x:v>
      </x:c>
      <x:c r="AG5" s="4" t="s">
        <x:v>1530</x:v>
      </x:c>
      <x:c r="AH5" s="4" t="s">
        <x:v>1537</x:v>
      </x:c>
      <x:c r="AI5" s="4" t="s">
        <x:v>1537</x:v>
      </x:c>
      <x:c r="AJ5" s="4" t="s">
        <x:v>169</x:v>
      </x:c>
      <x:c r="AK5" s="4" t="s">
        <x:v>1532</x:v>
      </x:c>
      <x:c r="AL5" s="4" t="s">
        <x:v>2610</x:v>
      </x:c>
      <x:c r="AM5" s="4" t="s">
        <x:v>1534</x:v>
      </x:c>
      <x:c r="AN5" s="4" t="s">
        <x:v>1535</x:v>
      </x:c>
      <x:c r="AO5" s="4" t="s">
        <x:v>2608</x:v>
      </x:c>
      <x:c r="AP5" s="4" t="s">
        <x:v>2663</x:v>
      </x:c>
      <x:c r="AQ5" s="4" t="s">
        <x:v>2664</x:v>
      </x:c>
      <x:c r="AR5" s="4" t="s">
        <x:v>2665</x:v>
      </x:c>
      <x:c r="AS5" s="4" t="s">
        <x:v>2666</x:v>
      </x:c>
      <x:c r="AT5" s="4" t="s">
        <x:v>2667</x:v>
      </x:c>
      <x:c r="AU5" s="4" t="s">
        <x:v>2668</x:v>
      </x:c>
      <x:c r="AV5" s="4" t="s">
        <x:v>2667</x:v>
      </x:c>
      <x:c r="AW5" s="4" t="s">
        <x:v>2669</x:v>
      </x:c>
      <x:c r="AX5" s="4" t="s">
        <x:v>459</x:v>
      </x:c>
      <x:c r="AY5" s="4" t="s">
        <x:v>458</x:v>
      </x:c>
      <x:c r="AZ5" s="4" t="s">
        <x:v>1546</x:v>
      </x:c>
      <x:c r="BA5" s="4" t="s">
        <x:v>463</x:v>
      </x:c>
      <x:c r="BB5" s="4" t="s">
        <x:v>1516</x:v>
      </x:c>
      <x:c r="BC5" s="4" t="s">
        <x:v>1550</x:v>
      </x:c>
      <x:c r="BD5" s="4" t="s">
        <x:v>1548</x:v>
      </x:c>
      <x:c r="BE5" s="4" t="s">
        <x:v>1552</x:v>
      </x:c>
      <x:c r="BF5" s="4" t="s">
        <x:v>1539</x:v>
      </x:c>
      <x:c r="BG5" s="4" t="s">
        <x:v>2670</x:v>
      </x:c>
      <x:c r="BH5" s="4" t="s">
        <x:v>2671</x:v>
      </x:c>
      <x:c r="BI5" s="4" t="s">
        <x:v>2672</x:v>
      </x:c>
      <x:c r="BJ5" s="4" t="s">
        <x:v>2673</x:v>
      </x:c>
      <x:c r="BK5" s="4" t="s">
        <x:v>2626</x:v>
      </x:c>
      <x:c r="BL5" s="4" t="s">
        <x:v>1353</x:v>
      </x:c>
      <x:c r="BM5" s="4" t="s">
        <x:v>1353</x:v>
      </x:c>
      <x:c r="BN5" s="4" t="s">
        <x:v>169</x:v>
      </x:c>
      <x:c r="BO5" s="4" t="s">
        <x:v>1353</x:v>
      </x:c>
      <x:c r="BP5" s="4" t="s">
        <x:v>169</x:v>
      </x:c>
      <x:c r="BQ5" s="4" t="s">
        <x:v>169</x:v>
      </x:c>
      <x:c r="BR5" s="4" t="s">
        <x:v>169</x:v>
      </x:c>
      <x:c r="BS5" s="4" t="s">
        <x:v>169</x:v>
      </x:c>
      <x:c r="BT5" s="4" t="s">
        <x:v>1464</x:v>
      </x:c>
      <x:c r="BU5" s="4" t="s">
        <x:v>172</x:v>
      </x:c>
      <x:c r="BV5" s="4" t="s">
        <x:v>2627</x:v>
      </x:c>
      <x:c r="BW5" s="4" t="s">
        <x:v>1541</x:v>
      </x:c>
      <x:c r="BX5" s="4" t="s">
        <x:v>1543</x:v>
      </x:c>
      <x:c r="BY5" s="4" t="s">
        <x:v>1544</x:v>
      </x:c>
      <x:c r="BZ5" s="4" t="s">
        <x:v>171</x:v>
      </x:c>
      <x:c r="CA5" s="4" t="s">
        <x:v>2628</x:v>
      </x:c>
      <x:c r="CB5" s="4" t="s">
        <x:v>166</x:v>
      </x:c>
      <x:c r="CC5" s="4" t="s">
        <x:v>166</x:v>
      </x:c>
      <x:c r="CD5" s="4" t="s">
        <x:v>166</x:v>
      </x:c>
      <x:c r="CE5" s="4" t="s">
        <x:v>166</x:v>
      </x:c>
      <x:c r="CF5" s="4" t="s">
        <x:v>166</x:v>
      </x:c>
      <x:c r="CG5" s="4" t="s">
        <x:v>166</x:v>
      </x:c>
      <x:c r="CH5" s="4" t="s">
        <x:v>166</x:v>
      </x:c>
      <x:c r="CI5" s="4" t="s">
        <x:v>166</x:v>
      </x:c>
      <x:c r="CJ5" s="4" t="s">
        <x:v>2629</x:v>
      </x:c>
      <x:c r="CK5" s="4" t="s">
        <x:v>2674</x:v>
      </x:c>
      <x:c r="CL5" s="4" t="s">
        <x:v>2631</x:v>
      </x:c>
    </x:row>
    <x:row r="6">
      <x:c r="A6" s="4" t="s">
        <x:v>75</x:v>
      </x:c>
      <x:c r="B6" s="4" t="s">
        <x:v>1561</x:v>
      </x:c>
      <x:c r="C6" s="4" t="s">
        <x:v>1337</x:v>
      </x:c>
      <x:c r="D6" s="4" t="s">
        <x:v>172</x:v>
      </x:c>
      <x:c r="E6" s="4" t="s">
        <x:v>561</x:v>
      </x:c>
      <x:c r="F6" s="4" t="s">
        <x:v>615</x:v>
      </x:c>
      <x:c r="G6" s="4" t="s">
        <x:v>1578</x:v>
      </x:c>
      <x:c r="H6" s="4" t="s">
        <x:v>1579</x:v>
      </x:c>
      <x:c r="I6" s="4" t="s">
        <x:v>2608</x:v>
      </x:c>
      <x:c r="J6" s="4" t="s">
        <x:v>2675</x:v>
      </x:c>
      <x:c r="K6" s="4" t="s">
        <x:v>1581</x:v>
      </x:c>
      <x:c r="L6" s="4" t="s">
        <x:v>1581</x:v>
      </x:c>
      <x:c r="M6" s="4" t="s">
        <x:v>1581</x:v>
      </x:c>
      <x:c r="N6" s="4" t="s">
        <x:v>172</x:v>
      </x:c>
      <x:c r="O6" s="4" t="s">
        <x:v>2610</x:v>
      </x:c>
      <x:c r="P6" s="4" t="s">
        <x:v>1581</x:v>
      </x:c>
      <x:c r="Q6" s="4" t="s">
        <x:v>169</x:v>
      </x:c>
      <x:c r="R6" s="4" t="s">
        <x:v>2610</x:v>
      </x:c>
      <x:c r="S6" s="4" t="s">
        <x:v>2113</x:v>
      </x:c>
      <x:c r="T6" s="4" t="s">
        <x:v>1581</x:v>
      </x:c>
      <x:c r="U6" s="4" t="s">
        <x:v>169</x:v>
      </x:c>
      <x:c r="V6" s="4" t="s">
        <x:v>169</x:v>
      </x:c>
      <x:c r="W6" s="4" t="s">
        <x:v>169</x:v>
      </x:c>
      <x:c r="X6" s="4" t="s">
        <x:v>169</x:v>
      </x:c>
      <x:c r="Y6" s="4" t="s">
        <x:v>2610</x:v>
      </x:c>
      <x:c r="Z6" s="4" t="s">
        <x:v>1565</x:v>
      </x:c>
      <x:c r="AA6" s="4" t="s">
        <x:v>1566</x:v>
      </x:c>
      <x:c r="AB6" s="4" t="s">
        <x:v>169</x:v>
      </x:c>
      <x:c r="AC6" s="4" t="s">
        <x:v>169</x:v>
      </x:c>
      <x:c r="AD6" s="4" t="s">
        <x:v>1567</x:v>
      </x:c>
      <x:c r="AE6" s="4" t="s">
        <x:v>169</x:v>
      </x:c>
      <x:c r="AF6" s="4" t="s">
        <x:v>2614</x:v>
      </x:c>
      <x:c r="AG6" s="4" t="s">
        <x:v>1583</x:v>
      </x:c>
      <x:c r="AH6" s="4" t="s">
        <x:v>1590</x:v>
      </x:c>
      <x:c r="AI6" s="4" t="s">
        <x:v>1590</x:v>
      </x:c>
      <x:c r="AJ6" s="4" t="s">
        <x:v>169</x:v>
      </x:c>
      <x:c r="AK6" s="4" t="s">
        <x:v>1585</x:v>
      </x:c>
      <x:c r="AL6" s="4" t="s">
        <x:v>2610</x:v>
      </x:c>
      <x:c r="AM6" s="4" t="s">
        <x:v>1587</x:v>
      </x:c>
      <x:c r="AN6" s="4" t="s">
        <x:v>1588</x:v>
      </x:c>
      <x:c r="AO6" s="4" t="s">
        <x:v>2608</x:v>
      </x:c>
      <x:c r="AP6" s="4" t="s">
        <x:v>2676</x:v>
      </x:c>
      <x:c r="AQ6" s="4" t="s">
        <x:v>2677</x:v>
      </x:c>
      <x:c r="AR6" s="4" t="s">
        <x:v>2678</x:v>
      </x:c>
      <x:c r="AS6" s="4" t="s">
        <x:v>2679</x:v>
      </x:c>
      <x:c r="AT6" s="4" t="s">
        <x:v>2680</x:v>
      </x:c>
      <x:c r="AU6" s="4" t="s">
        <x:v>2681</x:v>
      </x:c>
      <x:c r="AV6" s="4" t="s">
        <x:v>2680</x:v>
      </x:c>
      <x:c r="AW6" s="4" t="s">
        <x:v>2621</x:v>
      </x:c>
      <x:c r="AX6" s="4" t="s">
        <x:v>563</x:v>
      </x:c>
      <x:c r="AY6" s="4" t="s">
        <x:v>562</x:v>
      </x:c>
      <x:c r="AZ6" s="4" t="s">
        <x:v>1595</x:v>
      </x:c>
      <x:c r="BA6" s="4" t="s">
        <x:v>571</x:v>
      </x:c>
      <x:c r="BB6" s="4" t="s">
        <x:v>1574</x:v>
      </x:c>
      <x:c r="BC6" s="4" t="s">
        <x:v>1599</x:v>
      </x:c>
      <x:c r="BD6" s="4" t="s">
        <x:v>1597</x:v>
      </x:c>
      <x:c r="BE6" s="4" t="s">
        <x:v>1601</x:v>
      </x:c>
      <x:c r="BF6" s="4" t="s">
        <x:v>1592</x:v>
      </x:c>
      <x:c r="BG6" s="4" t="s">
        <x:v>2682</x:v>
      </x:c>
      <x:c r="BH6" s="4" t="s">
        <x:v>2683</x:v>
      </x:c>
      <x:c r="BI6" s="4" t="s">
        <x:v>2684</x:v>
      </x:c>
      <x:c r="BJ6" s="4" t="s">
        <x:v>2685</x:v>
      </x:c>
      <x:c r="BK6" s="4" t="s">
        <x:v>2626</x:v>
      </x:c>
      <x:c r="BL6" s="4" t="s">
        <x:v>200</x:v>
      </x:c>
      <x:c r="BM6" s="4" t="s">
        <x:v>200</x:v>
      </x:c>
      <x:c r="BN6" s="4" t="s">
        <x:v>200</x:v>
      </x:c>
      <x:c r="BO6" s="4" t="s">
        <x:v>200</x:v>
      </x:c>
      <x:c r="BP6" s="4" t="s">
        <x:v>169</x:v>
      </x:c>
      <x:c r="BQ6" s="4" t="s">
        <x:v>169</x:v>
      </x:c>
      <x:c r="BR6" s="4" t="s">
        <x:v>169</x:v>
      </x:c>
      <x:c r="BS6" s="4" t="s">
        <x:v>169</x:v>
      </x:c>
      <x:c r="BT6" s="4" t="s">
        <x:v>314</x:v>
      </x:c>
      <x:c r="BU6" s="4" t="s">
        <x:v>172</x:v>
      </x:c>
      <x:c r="BV6" s="4" t="s">
        <x:v>2627</x:v>
      </x:c>
      <x:c r="BW6" s="4" t="s">
        <x:v>1381</x:v>
      </x:c>
      <x:c r="BX6" s="4" t="s">
        <x:v>1383</x:v>
      </x:c>
      <x:c r="BY6" s="4" t="s">
        <x:v>1487</x:v>
      </x:c>
      <x:c r="BZ6" s="4" t="s">
        <x:v>171</x:v>
      </x:c>
      <x:c r="CA6" s="4" t="s">
        <x:v>2628</x:v>
      </x:c>
      <x:c r="CB6" s="4" t="s">
        <x:v>166</x:v>
      </x:c>
      <x:c r="CC6" s="4" t="s">
        <x:v>166</x:v>
      </x:c>
      <x:c r="CD6" s="4" t="s">
        <x:v>166</x:v>
      </x:c>
      <x:c r="CE6" s="4" t="s">
        <x:v>166</x:v>
      </x:c>
      <x:c r="CF6" s="4" t="s">
        <x:v>166</x:v>
      </x:c>
      <x:c r="CG6" s="4" t="s">
        <x:v>166</x:v>
      </x:c>
      <x:c r="CH6" s="4" t="s">
        <x:v>166</x:v>
      </x:c>
      <x:c r="CI6" s="4" t="s">
        <x:v>166</x:v>
      </x:c>
      <x:c r="CJ6" s="4" t="s">
        <x:v>2629</x:v>
      </x:c>
      <x:c r="CK6" s="4" t="s">
        <x:v>2686</x:v>
      </x:c>
      <x:c r="CL6" s="4" t="s">
        <x:v>2631</x:v>
      </x:c>
    </x:row>
    <x:row r="7">
      <x:c r="A7" s="4" t="s">
        <x:v>76</x:v>
      </x:c>
      <x:c r="B7" s="4" t="s">
        <x:v>1336</x:v>
      </x:c>
      <x:c r="C7" s="4" t="s">
        <x:v>1337</x:v>
      </x:c>
      <x:c r="D7" s="4" t="s">
        <x:v>172</x:v>
      </x:c>
      <x:c r="E7" s="4" t="s">
        <x:v>630</x:v>
      </x:c>
      <x:c r="F7" s="4" t="s">
        <x:v>695</x:v>
      </x:c>
      <x:c r="G7" s="4" t="s">
        <x:v>1587</x:v>
      </x:c>
      <x:c r="H7" s="4" t="s">
        <x:v>1588</x:v>
      </x:c>
      <x:c r="I7" s="4" t="s">
        <x:v>2608</x:v>
      </x:c>
      <x:c r="J7" s="4" t="s">
        <x:v>2687</x:v>
      </x:c>
      <x:c r="K7" s="4" t="s">
        <x:v>1628</x:v>
      </x:c>
      <x:c r="L7" s="4" t="s">
        <x:v>1628</x:v>
      </x:c>
      <x:c r="M7" s="4" t="s">
        <x:v>1628</x:v>
      </x:c>
      <x:c r="N7" s="4" t="s">
        <x:v>172</x:v>
      </x:c>
      <x:c r="O7" s="4" t="s">
        <x:v>2610</x:v>
      </x:c>
      <x:c r="P7" s="4" t="s">
        <x:v>1630</x:v>
      </x:c>
      <x:c r="Q7" s="4" t="s">
        <x:v>2688</x:v>
      </x:c>
      <x:c r="R7" s="4" t="s">
        <x:v>2610</x:v>
      </x:c>
      <x:c r="S7" s="4" t="s">
        <x:v>637</x:v>
      </x:c>
      <x:c r="T7" s="4" t="s">
        <x:v>1632</x:v>
      </x:c>
      <x:c r="U7" s="4" t="s">
        <x:v>169</x:v>
      </x:c>
      <x:c r="V7" s="4" t="s">
        <x:v>2689</x:v>
      </x:c>
      <x:c r="W7" s="4" t="s">
        <x:v>169</x:v>
      </x:c>
      <x:c r="X7" s="4" t="s">
        <x:v>2690</x:v>
      </x:c>
      <x:c r="Y7" s="4" t="s">
        <x:v>2610</x:v>
      </x:c>
      <x:c r="Z7" s="4" t="s">
        <x:v>1615</x:v>
      </x:c>
      <x:c r="AA7" s="4" t="s">
        <x:v>1616</x:v>
      </x:c>
      <x:c r="AB7" s="4" t="s">
        <x:v>1617</x:v>
      </x:c>
      <x:c r="AC7" s="4" t="s">
        <x:v>169</x:v>
      </x:c>
      <x:c r="AD7" s="4" t="s">
        <x:v>1618</x:v>
      </x:c>
      <x:c r="AE7" s="4" t="s">
        <x:v>169</x:v>
      </x:c>
      <x:c r="AF7" s="4" t="s">
        <x:v>2614</x:v>
      </x:c>
      <x:c r="AG7" s="4" t="s">
        <x:v>1634</x:v>
      </x:c>
      <x:c r="AH7" s="4" t="s">
        <x:v>1641</x:v>
      </x:c>
      <x:c r="AI7" s="4" t="s">
        <x:v>1641</x:v>
      </x:c>
      <x:c r="AJ7" s="4" t="s">
        <x:v>169</x:v>
      </x:c>
      <x:c r="AK7" s="4" t="s">
        <x:v>1636</x:v>
      </x:c>
      <x:c r="AL7" s="4" t="s">
        <x:v>2610</x:v>
      </x:c>
      <x:c r="AM7" s="4" t="s">
        <x:v>1638</x:v>
      </x:c>
      <x:c r="AN7" s="4" t="s">
        <x:v>1639</x:v>
      </x:c>
      <x:c r="AO7" s="4" t="s">
        <x:v>2608</x:v>
      </x:c>
      <x:c r="AP7" s="4" t="s">
        <x:v>2691</x:v>
      </x:c>
      <x:c r="AQ7" s="4" t="s">
        <x:v>2692</x:v>
      </x:c>
      <x:c r="AR7" s="4" t="s">
        <x:v>2693</x:v>
      </x:c>
      <x:c r="AS7" s="4" t="s">
        <x:v>2694</x:v>
      </x:c>
      <x:c r="AT7" s="4" t="s">
        <x:v>2695</x:v>
      </x:c>
      <x:c r="AU7" s="4" t="s">
        <x:v>2696</x:v>
      </x:c>
      <x:c r="AV7" s="4" t="s">
        <x:v>2695</x:v>
      </x:c>
      <x:c r="AW7" s="4" t="s">
        <x:v>2621</x:v>
      </x:c>
      <x:c r="AX7" s="4" t="s">
        <x:v>632</x:v>
      </x:c>
      <x:c r="AY7" s="4" t="s">
        <x:v>631</x:v>
      </x:c>
      <x:c r="AZ7" s="4" t="s">
        <x:v>1646</x:v>
      </x:c>
      <x:c r="BA7" s="4" t="s">
        <x:v>638</x:v>
      </x:c>
      <x:c r="BB7" s="4" t="s">
        <x:v>1624</x:v>
      </x:c>
      <x:c r="BC7" s="4" t="s">
        <x:v>1650</x:v>
      </x:c>
      <x:c r="BD7" s="4" t="s">
        <x:v>1648</x:v>
      </x:c>
      <x:c r="BE7" s="4" t="s">
        <x:v>1652</x:v>
      </x:c>
      <x:c r="BF7" s="4" t="s">
        <x:v>1643</x:v>
      </x:c>
      <x:c r="BG7" s="4" t="s">
        <x:v>2697</x:v>
      </x:c>
      <x:c r="BH7" s="4" t="s">
        <x:v>2698</x:v>
      </x:c>
      <x:c r="BI7" s="4" t="s">
        <x:v>2699</x:v>
      </x:c>
      <x:c r="BJ7" s="4" t="s">
        <x:v>2700</x:v>
      </x:c>
      <x:c r="BK7" s="4" t="s">
        <x:v>2626</x:v>
      </x:c>
      <x:c r="BL7" s="4" t="s">
        <x:v>200</x:v>
      </x:c>
      <x:c r="BM7" s="4" t="s">
        <x:v>200</x:v>
      </x:c>
      <x:c r="BN7" s="4" t="s">
        <x:v>169</x:v>
      </x:c>
      <x:c r="BO7" s="4" t="s">
        <x:v>1353</x:v>
      </x:c>
      <x:c r="BP7" s="4" t="s">
        <x:v>169</x:v>
      </x:c>
      <x:c r="BQ7" s="4" t="s">
        <x:v>169</x:v>
      </x:c>
      <x:c r="BR7" s="4" t="s">
        <x:v>169</x:v>
      </x:c>
      <x:c r="BS7" s="4" t="s">
        <x:v>169</x:v>
      </x:c>
      <x:c r="BT7" s="4" t="s">
        <x:v>638</x:v>
      </x:c>
      <x:c r="BU7" s="4" t="s">
        <x:v>172</x:v>
      </x:c>
      <x:c r="BV7" s="4" t="s">
        <x:v>2627</x:v>
      </x:c>
      <x:c r="BW7" s="4" t="s">
        <x:v>1381</x:v>
      </x:c>
      <x:c r="BX7" s="4" t="s">
        <x:v>1383</x:v>
      </x:c>
      <x:c r="BY7" s="4" t="s">
        <x:v>1487</x:v>
      </x:c>
      <x:c r="BZ7" s="4" t="s">
        <x:v>171</x:v>
      </x:c>
      <x:c r="CA7" s="4" t="s">
        <x:v>2628</x:v>
      </x:c>
      <x:c r="CB7" s="4" t="s">
        <x:v>166</x:v>
      </x:c>
      <x:c r="CC7" s="4" t="s">
        <x:v>166</x:v>
      </x:c>
      <x:c r="CD7" s="4" t="s">
        <x:v>166</x:v>
      </x:c>
      <x:c r="CE7" s="4" t="s">
        <x:v>166</x:v>
      </x:c>
      <x:c r="CF7" s="4" t="s">
        <x:v>166</x:v>
      </x:c>
      <x:c r="CG7" s="4" t="s">
        <x:v>166</x:v>
      </x:c>
      <x:c r="CH7" s="4" t="s">
        <x:v>166</x:v>
      </x:c>
      <x:c r="CI7" s="4" t="s">
        <x:v>166</x:v>
      </x:c>
      <x:c r="CJ7" s="4" t="s">
        <x:v>2629</x:v>
      </x:c>
      <x:c r="CK7" s="4" t="s">
        <x:v>2701</x:v>
      </x:c>
      <x:c r="CL7" s="4" t="s">
        <x:v>2631</x:v>
      </x:c>
    </x:row>
    <x:row r="8">
      <x:c r="A8" s="4" t="s">
        <x:v>2702</x:v>
      </x:c>
      <x:c r="B8" s="4" t="s">
        <x:v>2703</x:v>
      </x:c>
      <x:c r="C8" s="4" t="s">
        <x:v>1337</x:v>
      </x:c>
      <x:c r="D8" s="4" t="s">
        <x:v>171</x:v>
      </x:c>
      <x:c r="E8" s="4" t="s">
        <x:v>2704</x:v>
      </x:c>
      <x:c r="F8" s="4" t="s">
        <x:v>2705</x:v>
      </x:c>
      <x:c r="G8" s="4" t="s">
        <x:v>1521</x:v>
      </x:c>
      <x:c r="H8" s="4" t="s">
        <x:v>1522</x:v>
      </x:c>
      <x:c r="I8" s="4" t="s">
        <x:v>2608</x:v>
      </x:c>
      <x:c r="J8" s="4" t="s">
        <x:v>2706</x:v>
      </x:c>
      <x:c r="K8" s="4" t="s">
        <x:v>2707</x:v>
      </x:c>
      <x:c r="L8" s="4" t="s">
        <x:v>2707</x:v>
      </x:c>
      <x:c r="M8" s="4" t="s">
        <x:v>2707</x:v>
      </x:c>
      <x:c r="N8" s="4" t="s">
        <x:v>172</x:v>
      </x:c>
      <x:c r="O8" s="4" t="s">
        <x:v>2610</x:v>
      </x:c>
      <x:c r="P8" s="4" t="s">
        <x:v>2708</x:v>
      </x:c>
      <x:c r="Q8" s="4" t="s">
        <x:v>2709</x:v>
      </x:c>
      <x:c r="R8" s="4" t="s">
        <x:v>2610</x:v>
      </x:c>
      <x:c r="S8" s="4" t="s">
        <x:v>2704</x:v>
      </x:c>
      <x:c r="T8" s="4" t="s">
        <x:v>2708</x:v>
      </x:c>
      <x:c r="U8" s="4" t="s">
        <x:v>169</x:v>
      </x:c>
      <x:c r="V8" s="4" t="s">
        <x:v>2709</x:v>
      </x:c>
      <x:c r="W8" s="4" t="s">
        <x:v>169</x:v>
      </x:c>
      <x:c r="X8" s="4" t="s">
        <x:v>169</x:v>
      </x:c>
      <x:c r="Y8" s="4" t="s">
        <x:v>2610</x:v>
      </x:c>
      <x:c r="Z8" s="4" t="s">
        <x:v>2710</x:v>
      </x:c>
      <x:c r="AA8" s="4" t="s">
        <x:v>2711</x:v>
      </x:c>
      <x:c r="AB8" s="4" t="s">
        <x:v>169</x:v>
      </x:c>
      <x:c r="AC8" s="4" t="s">
        <x:v>169</x:v>
      </x:c>
      <x:c r="AD8" s="4" t="s">
        <x:v>2712</x:v>
      </x:c>
      <x:c r="AE8" s="4" t="s">
        <x:v>169</x:v>
      </x:c>
      <x:c r="AF8" s="4" t="s">
        <x:v>2614</x:v>
      </x:c>
      <x:c r="AG8" s="4" t="s">
        <x:v>2713</x:v>
      </x:c>
      <x:c r="AH8" s="4" t="s">
        <x:v>2714</x:v>
      </x:c>
      <x:c r="AI8" s="4" t="s">
        <x:v>2714</x:v>
      </x:c>
      <x:c r="AJ8" s="4" t="s">
        <x:v>169</x:v>
      </x:c>
      <x:c r="AK8" s="4" t="s">
        <x:v>2715</x:v>
      </x:c>
      <x:c r="AL8" s="4" t="s">
        <x:v>2610</x:v>
      </x:c>
      <x:c r="AM8" s="4" t="s">
        <x:v>1534</x:v>
      </x:c>
      <x:c r="AN8" s="4" t="s">
        <x:v>1535</x:v>
      </x:c>
      <x:c r="AO8" s="4" t="s">
        <x:v>2608</x:v>
      </x:c>
      <x:c r="AP8" s="4" t="s">
        <x:v>2716</x:v>
      </x:c>
      <x:c r="AQ8" s="4" t="s">
        <x:v>2717</x:v>
      </x:c>
      <x:c r="AR8" s="4" t="s">
        <x:v>2718</x:v>
      </x:c>
      <x:c r="AS8" s="4" t="s">
        <x:v>2666</x:v>
      </x:c>
      <x:c r="AT8" s="4" t="s">
        <x:v>2667</x:v>
      </x:c>
      <x:c r="AU8" s="4" t="s">
        <x:v>2668</x:v>
      </x:c>
      <x:c r="AV8" s="4" t="s">
        <x:v>2667</x:v>
      </x:c>
      <x:c r="AW8" s="4" t="s">
        <x:v>2669</x:v>
      </x:c>
      <x:c r="AX8" s="4" t="s">
        <x:v>2719</x:v>
      </x:c>
      <x:c r="AY8" s="4" t="s">
        <x:v>2720</x:v>
      </x:c>
      <x:c r="AZ8" s="4" t="s">
        <x:v>2721</x:v>
      </x:c>
      <x:c r="BA8" s="4" t="s">
        <x:v>2719</x:v>
      </x:c>
      <x:c r="BB8" s="4" t="s">
        <x:v>2720</x:v>
      </x:c>
      <x:c r="BC8" s="4" t="s">
        <x:v>2721</x:v>
      </x:c>
      <x:c r="BD8" s="4" t="s">
        <x:v>2722</x:v>
      </x:c>
      <x:c r="BE8" s="4" t="s">
        <x:v>2722</x:v>
      </x:c>
      <x:c r="BF8" s="4" t="s">
        <x:v>2723</x:v>
      </x:c>
      <x:c r="BG8" s="4" t="s">
        <x:v>2724</x:v>
      </x:c>
      <x:c r="BH8" s="4" t="s">
        <x:v>2725</x:v>
      </x:c>
      <x:c r="BI8" s="4" t="s">
        <x:v>2726</x:v>
      </x:c>
      <x:c r="BJ8" s="4" t="s">
        <x:v>2727</x:v>
      </x:c>
      <x:c r="BK8" s="4" t="s">
        <x:v>2626</x:v>
      </x:c>
      <x:c r="BL8" s="4" t="s">
        <x:v>169</x:v>
      </x:c>
      <x:c r="BM8" s="4" t="s">
        <x:v>1353</x:v>
      </x:c>
      <x:c r="BN8" s="4" t="s">
        <x:v>200</x:v>
      </x:c>
      <x:c r="BO8" s="4" t="s">
        <x:v>200</x:v>
      </x:c>
      <x:c r="BP8" s="4" t="s">
        <x:v>169</x:v>
      </x:c>
      <x:c r="BQ8" s="4" t="s">
        <x:v>169</x:v>
      </x:c>
      <x:c r="BR8" s="4" t="s">
        <x:v>169</x:v>
      </x:c>
      <x:c r="BS8" s="4" t="s">
        <x:v>169</x:v>
      </x:c>
      <x:c r="BT8" s="4" t="s">
        <x:v>229</x:v>
      </x:c>
      <x:c r="BU8" s="4" t="s">
        <x:v>172</x:v>
      </x:c>
      <x:c r="BV8" s="4" t="s">
        <x:v>2627</x:v>
      </x:c>
      <x:c r="BW8" s="4" t="s">
        <x:v>1541</x:v>
      </x:c>
      <x:c r="BX8" s="4" t="s">
        <x:v>1543</x:v>
      </x:c>
      <x:c r="BY8" s="4" t="s">
        <x:v>1544</x:v>
      </x:c>
      <x:c r="BZ8" s="4" t="s">
        <x:v>171</x:v>
      </x:c>
      <x:c r="CA8" s="4" t="s">
        <x:v>2628</x:v>
      </x:c>
      <x:c r="CB8" s="4" t="s">
        <x:v>166</x:v>
      </x:c>
      <x:c r="CC8" s="4" t="s">
        <x:v>166</x:v>
      </x:c>
      <x:c r="CD8" s="4" t="s">
        <x:v>166</x:v>
      </x:c>
      <x:c r="CE8" s="4" t="s">
        <x:v>166</x:v>
      </x:c>
      <x:c r="CF8" s="4" t="s">
        <x:v>166</x:v>
      </x:c>
      <x:c r="CG8" s="4" t="s">
        <x:v>166</x:v>
      </x:c>
      <x:c r="CH8" s="4" t="s">
        <x:v>166</x:v>
      </x:c>
      <x:c r="CI8" s="4" t="s">
        <x:v>166</x:v>
      </x:c>
      <x:c r="CJ8" s="4" t="s">
        <x:v>2629</x:v>
      </x:c>
      <x:c r="CK8" s="4" t="s">
        <x:v>2728</x:v>
      </x:c>
      <x:c r="CL8" s="4" t="s">
        <x:v>2631</x:v>
      </x:c>
    </x:row>
    <x:row r="9">
      <x:c r="A9" s="4" t="s">
        <x:v>74</x:v>
      </x:c>
      <x:c r="B9" s="4" t="s">
        <x:v>1336</x:v>
      </x:c>
      <x:c r="C9" s="4" t="s">
        <x:v>1337</x:v>
      </x:c>
      <x:c r="D9" s="4" t="s">
        <x:v>172</x:v>
      </x:c>
      <x:c r="E9" s="4" t="s">
        <x:v>501</x:v>
      </x:c>
      <x:c r="F9" s="4" t="s">
        <x:v>551</x:v>
      </x:c>
      <x:c r="G9" s="4" t="s">
        <x:v>1676</x:v>
      </x:c>
      <x:c r="H9" s="4" t="s">
        <x:v>1677</x:v>
      </x:c>
      <x:c r="I9" s="4" t="s">
        <x:v>2608</x:v>
      </x:c>
      <x:c r="J9" s="4" t="s">
        <x:v>2729</x:v>
      </x:c>
      <x:c r="K9" s="4" t="s">
        <x:v>1677</x:v>
      </x:c>
      <x:c r="L9" s="4" t="s">
        <x:v>1677</x:v>
      </x:c>
      <x:c r="M9" s="4" t="s">
        <x:v>1677</x:v>
      </x:c>
      <x:c r="N9" s="4" t="s">
        <x:v>172</x:v>
      </x:c>
      <x:c r="O9" s="4" t="s">
        <x:v>2610</x:v>
      </x:c>
      <x:c r="P9" s="4" t="s">
        <x:v>1679</x:v>
      </x:c>
      <x:c r="Q9" s="4" t="s">
        <x:v>2730</x:v>
      </x:c>
      <x:c r="R9" s="4" t="s">
        <x:v>2610</x:v>
      </x:c>
      <x:c r="S9" s="4" t="s">
        <x:v>528</x:v>
      </x:c>
      <x:c r="T9" s="4" t="s">
        <x:v>1681</x:v>
      </x:c>
      <x:c r="U9" s="4" t="s">
        <x:v>169</x:v>
      </x:c>
      <x:c r="V9" s="4" t="s">
        <x:v>2731</x:v>
      </x:c>
      <x:c r="W9" s="4" t="s">
        <x:v>169</x:v>
      </x:c>
      <x:c r="X9" s="4" t="s">
        <x:v>2732</x:v>
      </x:c>
      <x:c r="Y9" s="4" t="s">
        <x:v>2610</x:v>
      </x:c>
      <x:c r="Z9" s="4" t="s">
        <x:v>1663</x:v>
      </x:c>
      <x:c r="AA9" s="4" t="s">
        <x:v>1664</x:v>
      </x:c>
      <x:c r="AB9" s="4" t="s">
        <x:v>1665</x:v>
      </x:c>
      <x:c r="AC9" s="4" t="s">
        <x:v>169</x:v>
      </x:c>
      <x:c r="AD9" s="4" t="s">
        <x:v>1666</x:v>
      </x:c>
      <x:c r="AE9" s="4" t="s">
        <x:v>169</x:v>
      </x:c>
      <x:c r="AF9" s="4" t="s">
        <x:v>2614</x:v>
      </x:c>
      <x:c r="AG9" s="4" t="s">
        <x:v>1683</x:v>
      </x:c>
      <x:c r="AH9" s="4" t="s">
        <x:v>1687</x:v>
      </x:c>
      <x:c r="AI9" s="4" t="s">
        <x:v>1687</x:v>
      </x:c>
      <x:c r="AJ9" s="4" t="s">
        <x:v>169</x:v>
      </x:c>
      <x:c r="AK9" s="4" t="s">
        <x:v>1685</x:v>
      </x:c>
      <x:c r="AL9" s="4" t="s">
        <x:v>2610</x:v>
      </x:c>
      <x:c r="AM9" s="4" t="s">
        <x:v>1578</x:v>
      </x:c>
      <x:c r="AN9" s="4" t="s">
        <x:v>1579</x:v>
      </x:c>
      <x:c r="AO9" s="4" t="s">
        <x:v>2608</x:v>
      </x:c>
      <x:c r="AP9" s="4" t="s">
        <x:v>2733</x:v>
      </x:c>
      <x:c r="AQ9" s="4" t="s">
        <x:v>2734</x:v>
      </x:c>
      <x:c r="AR9" s="4" t="s">
        <x:v>2735</x:v>
      </x:c>
      <x:c r="AS9" s="4" t="s">
        <x:v>2736</x:v>
      </x:c>
      <x:c r="AT9" s="4" t="s">
        <x:v>2737</x:v>
      </x:c>
      <x:c r="AU9" s="4" t="s">
        <x:v>2738</x:v>
      </x:c>
      <x:c r="AV9" s="4" t="s">
        <x:v>2737</x:v>
      </x:c>
      <x:c r="AW9" s="4" t="s">
        <x:v>2621</x:v>
      </x:c>
      <x:c r="AX9" s="4" t="s">
        <x:v>314</x:v>
      </x:c>
      <x:c r="AY9" s="4" t="s">
        <x:v>502</x:v>
      </x:c>
      <x:c r="AZ9" s="4" t="s">
        <x:v>1693</x:v>
      </x:c>
      <x:c r="BA9" s="4" t="s">
        <x:v>530</x:v>
      </x:c>
      <x:c r="BB9" s="4" t="s">
        <x:v>1672</x:v>
      </x:c>
      <x:c r="BC9" s="4" t="s">
        <x:v>1697</x:v>
      </x:c>
      <x:c r="BD9" s="4" t="s">
        <x:v>1695</x:v>
      </x:c>
      <x:c r="BE9" s="4" t="s">
        <x:v>1699</x:v>
      </x:c>
      <x:c r="BF9" s="4" t="s">
        <x:v>1689</x:v>
      </x:c>
      <x:c r="BG9" s="4" t="s">
        <x:v>2739</x:v>
      </x:c>
      <x:c r="BH9" s="4" t="s">
        <x:v>2740</x:v>
      </x:c>
      <x:c r="BI9" s="4" t="s">
        <x:v>2741</x:v>
      </x:c>
      <x:c r="BJ9" s="4" t="s">
        <x:v>2742</x:v>
      </x:c>
      <x:c r="BK9" s="4" t="s">
        <x:v>2626</x:v>
      </x:c>
      <x:c r="BL9" s="4" t="s">
        <x:v>169</x:v>
      </x:c>
      <x:c r="BM9" s="4" t="s">
        <x:v>169</x:v>
      </x:c>
      <x:c r="BN9" s="4" t="s">
        <x:v>169</x:v>
      </x:c>
      <x:c r="BO9" s="4" t="s">
        <x:v>169</x:v>
      </x:c>
      <x:c r="BP9" s="4" t="s">
        <x:v>169</x:v>
      </x:c>
      <x:c r="BQ9" s="4" t="s">
        <x:v>169</x:v>
      </x:c>
      <x:c r="BR9" s="4" t="s">
        <x:v>169</x:v>
      </x:c>
      <x:c r="BS9" s="4" t="s">
        <x:v>169</x:v>
      </x:c>
      <x:c r="BT9" s="4" t="s">
        <x:v>1978</x:v>
      </x:c>
      <x:c r="BU9" s="4" t="s">
        <x:v>172</x:v>
      </x:c>
      <x:c r="BV9" s="4" t="s">
        <x:v>2641</x:v>
      </x:c>
      <x:c r="BW9" s="4" t="s">
        <x:v>1381</x:v>
      </x:c>
      <x:c r="BX9" s="4" t="s">
        <x:v>1691</x:v>
      </x:c>
      <x:c r="BY9" s="4" t="s">
        <x:v>1487</x:v>
      </x:c>
      <x:c r="BZ9" s="4" t="s">
        <x:v>171</x:v>
      </x:c>
      <x:c r="CA9" s="4" t="s">
        <x:v>2628</x:v>
      </x:c>
      <x:c r="CB9" s="4" t="s">
        <x:v>166</x:v>
      </x:c>
      <x:c r="CC9" s="4" t="s">
        <x:v>166</x:v>
      </x:c>
      <x:c r="CD9" s="4" t="s">
        <x:v>166</x:v>
      </x:c>
      <x:c r="CE9" s="4" t="s">
        <x:v>166</x:v>
      </x:c>
      <x:c r="CF9" s="4" t="s">
        <x:v>166</x:v>
      </x:c>
      <x:c r="CG9" s="4" t="s">
        <x:v>166</x:v>
      </x:c>
      <x:c r="CH9" s="4" t="s">
        <x:v>166</x:v>
      </x:c>
      <x:c r="CI9" s="4" t="s">
        <x:v>166</x:v>
      </x:c>
      <x:c r="CJ9" s="4" t="s">
        <x:v>2629</x:v>
      </x:c>
      <x:c r="CK9" s="4" t="s">
        <x:v>2743</x:v>
      </x:c>
      <x:c r="CL9" s="4" t="s">
        <x:v>2631</x:v>
      </x:c>
    </x:row>
    <x:row r="10">
      <x:c r="A10" s="4" t="s">
        <x:v>72</x:v>
      </x:c>
      <x:c r="B10" s="4" t="s">
        <x:v>1336</x:v>
      </x:c>
      <x:c r="C10" s="4" t="s">
        <x:v>1337</x:v>
      </x:c>
      <x:c r="D10" s="4" t="s">
        <x:v>172</x:v>
      </x:c>
      <x:c r="E10" s="4" t="s">
        <x:v>404</x:v>
      </x:c>
      <x:c r="F10" s="4" t="s">
        <x:v>449</x:v>
      </x:c>
      <x:c r="G10" s="4" t="s">
        <x:v>1479</x:v>
      </x:c>
      <x:c r="H10" s="4" t="s">
        <x:v>1480</x:v>
      </x:c>
      <x:c r="I10" s="4" t="s">
        <x:v>2608</x:v>
      </x:c>
      <x:c r="J10" s="4" t="s">
        <x:v>2744</x:v>
      </x:c>
      <x:c r="K10" s="4" t="s">
        <x:v>1723</x:v>
      </x:c>
      <x:c r="L10" s="4" t="s">
        <x:v>1723</x:v>
      </x:c>
      <x:c r="M10" s="4" t="s">
        <x:v>1723</x:v>
      </x:c>
      <x:c r="N10" s="4" t="s">
        <x:v>172</x:v>
      </x:c>
      <x:c r="O10" s="4" t="s">
        <x:v>2610</x:v>
      </x:c>
      <x:c r="P10" s="4" t="s">
        <x:v>1725</x:v>
      </x:c>
      <x:c r="Q10" s="4" t="s">
        <x:v>2745</x:v>
      </x:c>
      <x:c r="R10" s="4" t="s">
        <x:v>2610</x:v>
      </x:c>
      <x:c r="S10" s="4" t="s">
        <x:v>410</x:v>
      </x:c>
      <x:c r="T10" s="4" t="s">
        <x:v>1727</x:v>
      </x:c>
      <x:c r="U10" s="4" t="s">
        <x:v>169</x:v>
      </x:c>
      <x:c r="V10" s="4" t="s">
        <x:v>2746</x:v>
      </x:c>
      <x:c r="W10" s="4" t="s">
        <x:v>169</x:v>
      </x:c>
      <x:c r="X10" s="4" t="s">
        <x:v>2747</x:v>
      </x:c>
      <x:c r="Y10" s="4" t="s">
        <x:v>2610</x:v>
      </x:c>
      <x:c r="Z10" s="4" t="s">
        <x:v>1709</x:v>
      </x:c>
      <x:c r="AA10" s="4" t="s">
        <x:v>1710</x:v>
      </x:c>
      <x:c r="AB10" s="4" t="s">
        <x:v>169</x:v>
      </x:c>
      <x:c r="AC10" s="4" t="s">
        <x:v>169</x:v>
      </x:c>
      <x:c r="AD10" s="4" t="s">
        <x:v>1711</x:v>
      </x:c>
      <x:c r="AE10" s="4" t="s">
        <x:v>169</x:v>
      </x:c>
      <x:c r="AF10" s="4" t="s">
        <x:v>2614</x:v>
      </x:c>
      <x:c r="AG10" s="4" t="s">
        <x:v>1729</x:v>
      </x:c>
      <x:c r="AH10" s="4" t="s">
        <x:v>1736</x:v>
      </x:c>
      <x:c r="AI10" s="4" t="s">
        <x:v>1736</x:v>
      </x:c>
      <x:c r="AJ10" s="4" t="s">
        <x:v>169</x:v>
      </x:c>
      <x:c r="AK10" s="4" t="s">
        <x:v>1731</x:v>
      </x:c>
      <x:c r="AL10" s="4" t="s">
        <x:v>2610</x:v>
      </x:c>
      <x:c r="AM10" s="4" t="s">
        <x:v>1733</x:v>
      </x:c>
      <x:c r="AN10" s="4" t="s">
        <x:v>1734</x:v>
      </x:c>
      <x:c r="AO10" s="4" t="s">
        <x:v>2608</x:v>
      </x:c>
      <x:c r="AP10" s="4" t="s">
        <x:v>2748</x:v>
      </x:c>
      <x:c r="AQ10" s="4" t="s">
        <x:v>2749</x:v>
      </x:c>
      <x:c r="AR10" s="4" t="s">
        <x:v>2750</x:v>
      </x:c>
      <x:c r="AS10" s="4" t="s">
        <x:v>2751</x:v>
      </x:c>
      <x:c r="AT10" s="4" t="s">
        <x:v>2752</x:v>
      </x:c>
      <x:c r="AU10" s="4" t="s">
        <x:v>2753</x:v>
      </x:c>
      <x:c r="AV10" s="4" t="s">
        <x:v>2752</x:v>
      </x:c>
      <x:c r="AW10" s="4" t="s">
        <x:v>2621</x:v>
      </x:c>
      <x:c r="AX10" s="4" t="s">
        <x:v>314</x:v>
      </x:c>
      <x:c r="AY10" s="4" t="s">
        <x:v>405</x:v>
      </x:c>
      <x:c r="AZ10" s="4" t="s">
        <x:v>1741</x:v>
      </x:c>
      <x:c r="BA10" s="4" t="s">
        <x:v>229</x:v>
      </x:c>
      <x:c r="BB10" s="4" t="s">
        <x:v>1717</x:v>
      </x:c>
      <x:c r="BC10" s="4" t="s">
        <x:v>1745</x:v>
      </x:c>
      <x:c r="BD10" s="4" t="s">
        <x:v>1743</x:v>
      </x:c>
      <x:c r="BE10" s="4" t="s">
        <x:v>1747</x:v>
      </x:c>
      <x:c r="BF10" s="4" t="s">
        <x:v>1738</x:v>
      </x:c>
      <x:c r="BG10" s="4" t="s">
        <x:v>2754</x:v>
      </x:c>
      <x:c r="BH10" s="4" t="s">
        <x:v>2755</x:v>
      </x:c>
      <x:c r="BI10" s="4" t="s">
        <x:v>2756</x:v>
      </x:c>
      <x:c r="BJ10" s="4" t="s">
        <x:v>2757</x:v>
      </x:c>
      <x:c r="BK10" s="4" t="s">
        <x:v>2626</x:v>
      </x:c>
      <x:c r="BL10" s="4" t="s">
        <x:v>169</x:v>
      </x:c>
      <x:c r="BM10" s="4" t="s">
        <x:v>169</x:v>
      </x:c>
      <x:c r="BN10" s="4" t="s">
        <x:v>169</x:v>
      </x:c>
      <x:c r="BO10" s="4" t="s">
        <x:v>169</x:v>
      </x:c>
      <x:c r="BP10" s="4" t="s">
        <x:v>169</x:v>
      </x:c>
      <x:c r="BQ10" s="4" t="s">
        <x:v>169</x:v>
      </x:c>
      <x:c r="BR10" s="4" t="s">
        <x:v>169</x:v>
      </x:c>
      <x:c r="BS10" s="4" t="s">
        <x:v>169</x:v>
      </x:c>
      <x:c r="BT10" s="4" t="s">
        <x:v>1721</x:v>
      </x:c>
      <x:c r="BU10" s="4" t="s">
        <x:v>172</x:v>
      </x:c>
      <x:c r="BV10" s="4" t="s">
        <x:v>2627</x:v>
      </x:c>
      <x:c r="BW10" s="4" t="s">
        <x:v>1381</x:v>
      </x:c>
      <x:c r="BX10" s="4" t="s">
        <x:v>1383</x:v>
      </x:c>
      <x:c r="BY10" s="4" t="s">
        <x:v>1487</x:v>
      </x:c>
      <x:c r="BZ10" s="4" t="s">
        <x:v>171</x:v>
      </x:c>
      <x:c r="CA10" s="4" t="s">
        <x:v>2628</x:v>
      </x:c>
      <x:c r="CB10" s="4" t="s">
        <x:v>166</x:v>
      </x:c>
      <x:c r="CC10" s="4" t="s">
        <x:v>166</x:v>
      </x:c>
      <x:c r="CD10" s="4" t="s">
        <x:v>166</x:v>
      </x:c>
      <x:c r="CE10" s="4" t="s">
        <x:v>166</x:v>
      </x:c>
      <x:c r="CF10" s="4" t="s">
        <x:v>166</x:v>
      </x:c>
      <x:c r="CG10" s="4" t="s">
        <x:v>166</x:v>
      </x:c>
      <x:c r="CH10" s="4" t="s">
        <x:v>166</x:v>
      </x:c>
      <x:c r="CI10" s="4" t="s">
        <x:v>166</x:v>
      </x:c>
      <x:c r="CJ10" s="4" t="s">
        <x:v>2629</x:v>
      </x:c>
      <x:c r="CK10" s="4" t="s">
        <x:v>2758</x:v>
      </x:c>
      <x:c r="CL10" s="4" t="s">
        <x:v>2631</x:v>
      </x:c>
    </x:row>
    <x:row r="11">
      <x:c r="A11" s="4" t="s">
        <x:v>68</x:v>
      </x:c>
      <x:c r="B11" s="4" t="s">
        <x:v>1336</x:v>
      </x:c>
      <x:c r="C11" s="4" t="s">
        <x:v>1337</x:v>
      </x:c>
      <x:c r="D11" s="4" t="s">
        <x:v>172</x:v>
      </x:c>
      <x:c r="E11" s="4" t="s">
        <x:v>197</x:v>
      </x:c>
      <x:c r="F11" s="4" t="s">
        <x:v>207</x:v>
      </x:c>
      <x:c r="G11" s="4" t="s">
        <x:v>1768</x:v>
      </x:c>
      <x:c r="H11" s="4" t="s">
        <x:v>1769</x:v>
      </x:c>
      <x:c r="I11" s="4" t="s">
        <x:v>2608</x:v>
      </x:c>
      <x:c r="J11" s="4" t="s">
        <x:v>2759</x:v>
      </x:c>
      <x:c r="K11" s="4" t="s">
        <x:v>1771</x:v>
      </x:c>
      <x:c r="L11" s="4" t="s">
        <x:v>1771</x:v>
      </x:c>
      <x:c r="M11" s="4" t="s">
        <x:v>1771</x:v>
      </x:c>
      <x:c r="N11" s="4" t="s">
        <x:v>172</x:v>
      </x:c>
      <x:c r="O11" s="4" t="s">
        <x:v>2610</x:v>
      </x:c>
      <x:c r="P11" s="4" t="s">
        <x:v>1773</x:v>
      </x:c>
      <x:c r="Q11" s="4" t="s">
        <x:v>2760</x:v>
      </x:c>
      <x:c r="R11" s="4" t="s">
        <x:v>2610</x:v>
      </x:c>
      <x:c r="S11" s="4" t="s">
        <x:v>197</x:v>
      </x:c>
      <x:c r="T11" s="4" t="s">
        <x:v>1773</x:v>
      </x:c>
      <x:c r="U11" s="4" t="s">
        <x:v>169</x:v>
      </x:c>
      <x:c r="V11" s="4" t="s">
        <x:v>2760</x:v>
      </x:c>
      <x:c r="W11" s="4" t="s">
        <x:v>169</x:v>
      </x:c>
      <x:c r="X11" s="4" t="s">
        <x:v>169</x:v>
      </x:c>
      <x:c r="Y11" s="4" t="s">
        <x:v>2610</x:v>
      </x:c>
      <x:c r="Z11" s="4" t="s">
        <x:v>1757</x:v>
      </x:c>
      <x:c r="AA11" s="4" t="s">
        <x:v>1758</x:v>
      </x:c>
      <x:c r="AB11" s="4" t="s">
        <x:v>1759</x:v>
      </x:c>
      <x:c r="AC11" s="4" t="s">
        <x:v>169</x:v>
      </x:c>
      <x:c r="AD11" s="4" t="s">
        <x:v>1760</x:v>
      </x:c>
      <x:c r="AE11" s="4" t="s">
        <x:v>169</x:v>
      </x:c>
      <x:c r="AF11" s="4" t="s">
        <x:v>2614</x:v>
      </x:c>
      <x:c r="AG11" s="4" t="s">
        <x:v>1775</x:v>
      </x:c>
      <x:c r="AH11" s="4" t="s">
        <x:v>1779</x:v>
      </x:c>
      <x:c r="AI11" s="4" t="s">
        <x:v>1779</x:v>
      </x:c>
      <x:c r="AJ11" s="4" t="s">
        <x:v>169</x:v>
      </x:c>
      <x:c r="AK11" s="4" t="s">
        <x:v>1777</x:v>
      </x:c>
      <x:c r="AL11" s="4" t="s">
        <x:v>2610</x:v>
      </x:c>
      <x:c r="AM11" s="4" t="s">
        <x:v>1374</x:v>
      </x:c>
      <x:c r="AN11" s="4" t="s">
        <x:v>1375</x:v>
      </x:c>
      <x:c r="AO11" s="4" t="s">
        <x:v>2608</x:v>
      </x:c>
      <x:c r="AP11" s="4" t="s">
        <x:v>2761</x:v>
      </x:c>
      <x:c r="AQ11" s="4" t="s">
        <x:v>2762</x:v>
      </x:c>
      <x:c r="AR11" s="4" t="s">
        <x:v>2763</x:v>
      </x:c>
      <x:c r="AS11" s="4" t="s">
        <x:v>2764</x:v>
      </x:c>
      <x:c r="AT11" s="4" t="s">
        <x:v>2765</x:v>
      </x:c>
      <x:c r="AU11" s="4" t="s">
        <x:v>2766</x:v>
      </x:c>
      <x:c r="AV11" s="4" t="s">
        <x:v>2765</x:v>
      </x:c>
      <x:c r="AW11" s="4" t="s">
        <x:v>2621</x:v>
      </x:c>
      <x:c r="AX11" s="4" t="s">
        <x:v>200</x:v>
      </x:c>
      <x:c r="AY11" s="4" t="s">
        <x:v>192</x:v>
      </x:c>
      <x:c r="AZ11" s="4" t="s">
        <x:v>192</x:v>
      </x:c>
      <x:c r="BA11" s="4" t="s">
        <x:v>200</x:v>
      </x:c>
      <x:c r="BB11" s="4" t="s">
        <x:v>192</x:v>
      </x:c>
      <x:c r="BC11" s="4" t="s">
        <x:v>192</x:v>
      </x:c>
      <x:c r="BD11" s="4" t="s">
        <x:v>1784</x:v>
      </x:c>
      <x:c r="BE11" s="4" t="s">
        <x:v>1784</x:v>
      </x:c>
      <x:c r="BF11" s="4" t="s">
        <x:v>1781</x:v>
      </x:c>
      <x:c r="BG11" s="4" t="s">
        <x:v>2767</x:v>
      </x:c>
      <x:c r="BH11" s="4" t="s">
        <x:v>2768</x:v>
      </x:c>
      <x:c r="BI11" s="4" t="s">
        <x:v>2769</x:v>
      </x:c>
      <x:c r="BJ11" s="4" t="s">
        <x:v>2770</x:v>
      </x:c>
      <x:c r="BK11" s="4" t="s">
        <x:v>2626</x:v>
      </x:c>
      <x:c r="BL11" s="4" t="s">
        <x:v>169</x:v>
      </x:c>
      <x:c r="BM11" s="4" t="s">
        <x:v>169</x:v>
      </x:c>
      <x:c r="BN11" s="4" t="s">
        <x:v>169</x:v>
      </x:c>
      <x:c r="BO11" s="4" t="s">
        <x:v>169</x:v>
      </x:c>
      <x:c r="BP11" s="4" t="s">
        <x:v>169</x:v>
      </x:c>
      <x:c r="BQ11" s="4" t="s">
        <x:v>169</x:v>
      </x:c>
      <x:c r="BR11" s="4" t="s">
        <x:v>169</x:v>
      </x:c>
      <x:c r="BS11" s="4" t="s">
        <x:v>169</x:v>
      </x:c>
      <x:c r="BT11" s="4" t="s">
        <x:v>200</x:v>
      </x:c>
      <x:c r="BU11" s="4" t="s">
        <x:v>172</x:v>
      </x:c>
      <x:c r="BV11" s="4" t="s">
        <x:v>2627</x:v>
      </x:c>
      <x:c r="BW11" s="4" t="s">
        <x:v>1381</x:v>
      </x:c>
      <x:c r="BX11" s="4" t="s">
        <x:v>1383</x:v>
      </x:c>
      <x:c r="BY11" s="4" t="s">
        <x:v>1384</x:v>
      </x:c>
      <x:c r="BZ11" s="4" t="s">
        <x:v>171</x:v>
      </x:c>
      <x:c r="CA11" s="4" t="s">
        <x:v>2628</x:v>
      </x:c>
      <x:c r="CB11" s="4" t="s">
        <x:v>166</x:v>
      </x:c>
      <x:c r="CC11" s="4" t="s">
        <x:v>166</x:v>
      </x:c>
      <x:c r="CD11" s="4" t="s">
        <x:v>166</x:v>
      </x:c>
      <x:c r="CE11" s="4" t="s">
        <x:v>166</x:v>
      </x:c>
      <x:c r="CF11" s="4" t="s">
        <x:v>166</x:v>
      </x:c>
      <x:c r="CG11" s="4" t="s">
        <x:v>166</x:v>
      </x:c>
      <x:c r="CH11" s="4" t="s">
        <x:v>166</x:v>
      </x:c>
      <x:c r="CI11" s="4" t="s">
        <x:v>166</x:v>
      </x:c>
      <x:c r="CJ11" s="4" t="s">
        <x:v>2629</x:v>
      </x:c>
      <x:c r="CK11" s="4" t="s">
        <x:v>2771</x:v>
      </x:c>
      <x:c r="CL11" s="4" t="s">
        <x:v>2631</x:v>
      </x:c>
    </x:row>
  </x:sheetData>
  <x:pageMargins left="0.7" right="0.7" top="0.75" bottom="0.75" header="0.3" footer="0.3"/>
</x:worksheet>
</file>

<file path=xl/worksheets/sheet13.xml><?xml version="1.0" encoding="utf-8"?>
<x:worksheet xmlns:x="http://schemas.openxmlformats.org/spreadsheetml/2006/main">
  <x:sheetFormatPr defaultColWidth="9" defaultRowHeight="16.799999237060547"/>
  <x:sheetData>
    <x:row r="1">
      <x:c r="A1" s="3" t="s">
        <x:v>2772</x:v>
      </x:c>
      <x:c r="B1" s="3" t="s">
        <x:v>2773</x:v>
      </x:c>
      <x:c r="C1" s="3" t="s">
        <x:v>2774</x:v>
      </x:c>
      <x:c r="D1" s="3" t="s">
        <x:v>2775</x:v>
      </x:c>
      <x:c r="E1" s="3" t="s">
        <x:v>2776</x:v>
      </x:c>
      <x:c r="F1" s="3" t="s">
        <x:v>2777</x:v>
      </x:c>
      <x:c r="G1" s="3" t="s">
        <x:v>2778</x:v>
      </x:c>
      <x:c r="H1" s="3" t="s">
        <x:v>2779</x:v>
      </x:c>
      <x:c r="I1" s="3" t="s">
        <x:v>2780</x:v>
      </x:c>
      <x:c r="J1" s="3" t="s">
        <x:v>2781</x:v>
      </x:c>
      <x:c r="K1" s="3" t="s">
        <x:v>2782</x:v>
      </x:c>
      <x:c r="L1" s="3" t="s">
        <x:v>2783</x:v>
      </x:c>
      <x:c r="M1" s="3" t="s">
        <x:v>2784</x:v>
      </x:c>
      <x:c r="N1" s="3" t="s">
        <x:v>2785</x:v>
      </x:c>
      <x:c r="O1" s="3" t="s">
        <x:v>2786</x:v>
      </x:c>
      <x:c r="P1" s="3" t="s">
        <x:v>2787</x:v>
      </x:c>
    </x:row>
    <x:row r="2">
      <x:c r="A2" s="4" t="s">
        <x:v>2788</x:v>
      </x:c>
      <x:c r="B2" s="4" t="s">
        <x:v>23</x:v>
      </x:c>
      <x:c r="C2" s="4" t="s">
        <x:v>2789</x:v>
      </x:c>
      <x:c r="D2" s="4" t="s">
        <x:v>107</x:v>
      </x:c>
      <x:c r="E2" s="4" t="s">
        <x:v>107</x:v>
      </x:c>
      <x:c r="F2" s="4" t="s">
        <x:v>107</x:v>
      </x:c>
      <x:c r="G2" s="4" t="s">
        <x:v>2790</x:v>
      </x:c>
      <x:c r="H2" s="4" t="s">
        <x:v>171</x:v>
      </x:c>
      <x:c r="I2" s="4" t="s">
        <x:v>172</x:v>
      </x:c>
      <x:c r="J2" s="4" t="s">
        <x:v>2791</x:v>
      </x:c>
      <x:c r="K2" s="4" t="s">
        <x:v>107</x:v>
      </x:c>
      <x:c r="L2" s="4" t="s">
        <x:v>2792</x:v>
      </x:c>
      <x:c r="M2" s="4" t="s">
        <x:v>2793</x:v>
      </x:c>
      <x:c r="N2" s="4" t="s">
        <x:v>2794</x:v>
      </x:c>
      <x:c r="O2" s="4" t="s">
        <x:v>2795</x:v>
      </x:c>
      <x:c r="P2" s="4" t="s">
        <x:v>2796</x:v>
      </x:c>
    </x:row>
    <x:row r="3">
      <x:c r="A3" s="4" t="s">
        <x:v>2797</x:v>
      </x:c>
      <x:c r="B3" s="4" t="s">
        <x:v>24</x:v>
      </x:c>
      <x:c r="C3" s="4" t="s">
        <x:v>2789</x:v>
      </x:c>
      <x:c r="D3" s="4" t="s">
        <x:v>107</x:v>
      </x:c>
      <x:c r="E3" s="4" t="s">
        <x:v>107</x:v>
      </x:c>
      <x:c r="F3" s="4" t="s">
        <x:v>107</x:v>
      </x:c>
      <x:c r="G3" s="4" t="s">
        <x:v>2790</x:v>
      </x:c>
      <x:c r="H3" s="4" t="s">
        <x:v>171</x:v>
      </x:c>
      <x:c r="I3" s="4" t="s">
        <x:v>172</x:v>
      </x:c>
      <x:c r="J3" s="4" t="s">
        <x:v>2791</x:v>
      </x:c>
      <x:c r="K3" s="4" t="s">
        <x:v>107</x:v>
      </x:c>
      <x:c r="L3" s="4" t="s">
        <x:v>2792</x:v>
      </x:c>
      <x:c r="M3" s="4" t="s">
        <x:v>2793</x:v>
      </x:c>
      <x:c r="N3" s="4" t="s">
        <x:v>2794</x:v>
      </x:c>
      <x:c r="O3" s="4" t="s">
        <x:v>2795</x:v>
      </x:c>
      <x:c r="P3" s="4" t="s">
        <x:v>2796</x:v>
      </x:c>
    </x:row>
    <x:row r="4">
      <x:c r="A4" s="4" t="s">
        <x:v>2798</x:v>
      </x:c>
      <x:c r="B4" s="4" t="s">
        <x:v>25</x:v>
      </x:c>
      <x:c r="C4" s="4" t="s">
        <x:v>2789</x:v>
      </x:c>
      <x:c r="D4" s="4" t="s">
        <x:v>107</x:v>
      </x:c>
      <x:c r="E4" s="4" t="s">
        <x:v>107</x:v>
      </x:c>
      <x:c r="F4" s="4" t="s">
        <x:v>107</x:v>
      </x:c>
      <x:c r="G4" s="4" t="s">
        <x:v>2790</x:v>
      </x:c>
      <x:c r="H4" s="4" t="s">
        <x:v>171</x:v>
      </x:c>
      <x:c r="I4" s="4" t="s">
        <x:v>172</x:v>
      </x:c>
      <x:c r="J4" s="4" t="s">
        <x:v>2791</x:v>
      </x:c>
      <x:c r="K4" s="4" t="s">
        <x:v>107</x:v>
      </x:c>
      <x:c r="L4" s="4" t="s">
        <x:v>2792</x:v>
      </x:c>
      <x:c r="M4" s="4" t="s">
        <x:v>2793</x:v>
      </x:c>
      <x:c r="N4" s="4" t="s">
        <x:v>2794</x:v>
      </x:c>
      <x:c r="O4" s="4" t="s">
        <x:v>2795</x:v>
      </x:c>
      <x:c r="P4" s="4" t="s">
        <x:v>2796</x:v>
      </x:c>
    </x:row>
    <x:row r="5">
      <x:c r="A5" s="4" t="s">
        <x:v>2799</x:v>
      </x:c>
      <x:c r="B5" s="4" t="s">
        <x:v>1202</x:v>
      </x:c>
      <x:c r="C5" s="4" t="s">
        <x:v>2789</x:v>
      </x:c>
      <x:c r="D5" s="4" t="s">
        <x:v>107</x:v>
      </x:c>
      <x:c r="E5" s="4" t="s">
        <x:v>107</x:v>
      </x:c>
      <x:c r="F5" s="4" t="s">
        <x:v>107</x:v>
      </x:c>
      <x:c r="G5" s="4" t="s">
        <x:v>2790</x:v>
      </x:c>
      <x:c r="H5" s="4" t="s">
        <x:v>171</x:v>
      </x:c>
      <x:c r="I5" s="4" t="s">
        <x:v>172</x:v>
      </x:c>
      <x:c r="J5" s="4" t="s">
        <x:v>2791</x:v>
      </x:c>
      <x:c r="K5" s="4" t="s">
        <x:v>107</x:v>
      </x:c>
      <x:c r="L5" s="4" t="s">
        <x:v>2792</x:v>
      </x:c>
      <x:c r="M5" s="4" t="s">
        <x:v>2793</x:v>
      </x:c>
      <x:c r="N5" s="4" t="s">
        <x:v>2794</x:v>
      </x:c>
      <x:c r="O5" s="4" t="s">
        <x:v>2795</x:v>
      </x:c>
      <x:c r="P5" s="4" t="s">
        <x:v>2796</x:v>
      </x:c>
    </x:row>
    <x:row r="6">
      <x:c r="A6" s="4" t="s">
        <x:v>2800</x:v>
      </x:c>
      <x:c r="B6" s="4" t="s">
        <x:v>1203</x:v>
      </x:c>
      <x:c r="C6" s="4" t="s">
        <x:v>2789</x:v>
      </x:c>
      <x:c r="D6" s="4" t="s">
        <x:v>107</x:v>
      </x:c>
      <x:c r="E6" s="4" t="s">
        <x:v>107</x:v>
      </x:c>
      <x:c r="F6" s="4" t="s">
        <x:v>107</x:v>
      </x:c>
      <x:c r="G6" s="4" t="s">
        <x:v>2790</x:v>
      </x:c>
      <x:c r="H6" s="4" t="s">
        <x:v>171</x:v>
      </x:c>
      <x:c r="I6" s="4" t="s">
        <x:v>172</x:v>
      </x:c>
      <x:c r="J6" s="4" t="s">
        <x:v>2791</x:v>
      </x:c>
      <x:c r="K6" s="4" t="s">
        <x:v>107</x:v>
      </x:c>
      <x:c r="L6" s="4" t="s">
        <x:v>2792</x:v>
      </x:c>
      <x:c r="M6" s="4" t="s">
        <x:v>2793</x:v>
      </x:c>
      <x:c r="N6" s="4" t="s">
        <x:v>2794</x:v>
      </x:c>
      <x:c r="O6" s="4" t="s">
        <x:v>2795</x:v>
      </x:c>
      <x:c r="P6" s="4" t="s">
        <x:v>2796</x:v>
      </x:c>
    </x:row>
    <x:row r="7">
      <x:c r="A7" s="4" t="s">
        <x:v>2801</x:v>
      </x:c>
      <x:c r="B7" s="4" t="s">
        <x:v>1204</x:v>
      </x:c>
      <x:c r="C7" s="4" t="s">
        <x:v>2789</x:v>
      </x:c>
      <x:c r="D7" s="4" t="s">
        <x:v>107</x:v>
      </x:c>
      <x:c r="E7" s="4" t="s">
        <x:v>107</x:v>
      </x:c>
      <x:c r="F7" s="4" t="s">
        <x:v>107</x:v>
      </x:c>
      <x:c r="G7" s="4" t="s">
        <x:v>2790</x:v>
      </x:c>
      <x:c r="H7" s="4" t="s">
        <x:v>171</x:v>
      </x:c>
      <x:c r="I7" s="4" t="s">
        <x:v>172</x:v>
      </x:c>
      <x:c r="J7" s="4" t="s">
        <x:v>2791</x:v>
      </x:c>
      <x:c r="K7" s="4" t="s">
        <x:v>107</x:v>
      </x:c>
      <x:c r="L7" s="4" t="s">
        <x:v>2802</x:v>
      </x:c>
      <x:c r="M7" s="4" t="s">
        <x:v>2803</x:v>
      </x:c>
      <x:c r="N7" s="4" t="s">
        <x:v>2794</x:v>
      </x:c>
      <x:c r="O7" s="4" t="s">
        <x:v>2795</x:v>
      </x:c>
      <x:c r="P7" s="4" t="s">
        <x:v>2796</x:v>
      </x:c>
    </x:row>
    <x:row r="8">
      <x:c r="A8" s="4" t="s">
        <x:v>2804</x:v>
      </x:c>
      <x:c r="B8" s="4" t="s">
        <x:v>28</x:v>
      </x:c>
      <x:c r="C8" s="4" t="s">
        <x:v>2789</x:v>
      </x:c>
      <x:c r="D8" s="4" t="s">
        <x:v>107</x:v>
      </x:c>
      <x:c r="E8" s="4" t="s">
        <x:v>107</x:v>
      </x:c>
      <x:c r="F8" s="4" t="s">
        <x:v>107</x:v>
      </x:c>
      <x:c r="G8" s="4" t="s">
        <x:v>2790</x:v>
      </x:c>
      <x:c r="H8" s="4" t="s">
        <x:v>171</x:v>
      </x:c>
      <x:c r="I8" s="4" t="s">
        <x:v>172</x:v>
      </x:c>
      <x:c r="J8" s="4" t="s">
        <x:v>2791</x:v>
      </x:c>
      <x:c r="K8" s="4" t="s">
        <x:v>107</x:v>
      </x:c>
      <x:c r="L8" s="4" t="s">
        <x:v>2802</x:v>
      </x:c>
      <x:c r="M8" s="4" t="s">
        <x:v>2803</x:v>
      </x:c>
      <x:c r="N8" s="4" t="s">
        <x:v>2794</x:v>
      </x:c>
      <x:c r="O8" s="4" t="s">
        <x:v>2795</x:v>
      </x:c>
      <x:c r="P8" s="4" t="s">
        <x:v>2796</x:v>
      </x:c>
    </x:row>
    <x:row r="9">
      <x:c r="A9" s="4" t="s">
        <x:v>2805</x:v>
      </x:c>
      <x:c r="B9" s="4" t="s">
        <x:v>29</x:v>
      </x:c>
      <x:c r="C9" s="4" t="s">
        <x:v>2789</x:v>
      </x:c>
      <x:c r="D9" s="4" t="s">
        <x:v>107</x:v>
      </x:c>
      <x:c r="E9" s="4" t="s">
        <x:v>107</x:v>
      </x:c>
      <x:c r="F9" s="4" t="s">
        <x:v>107</x:v>
      </x:c>
      <x:c r="G9" s="4" t="s">
        <x:v>2790</x:v>
      </x:c>
      <x:c r="H9" s="4" t="s">
        <x:v>171</x:v>
      </x:c>
      <x:c r="I9" s="4" t="s">
        <x:v>172</x:v>
      </x:c>
      <x:c r="J9" s="4" t="s">
        <x:v>2791</x:v>
      </x:c>
      <x:c r="K9" s="4" t="s">
        <x:v>107</x:v>
      </x:c>
      <x:c r="L9" s="4" t="s">
        <x:v>2792</x:v>
      </x:c>
      <x:c r="M9" s="4" t="s">
        <x:v>2793</x:v>
      </x:c>
      <x:c r="N9" s="4" t="s">
        <x:v>2794</x:v>
      </x:c>
      <x:c r="O9" s="4" t="s">
        <x:v>2795</x:v>
      </x:c>
      <x:c r="P9" s="4" t="s">
        <x:v>2796</x:v>
      </x:c>
    </x:row>
    <x:row r="10">
      <x:c r="A10" s="4" t="s">
        <x:v>2806</x:v>
      </x:c>
      <x:c r="B10" s="4" t="s">
        <x:v>1205</x:v>
      </x:c>
      <x:c r="C10" s="4" t="s">
        <x:v>2789</x:v>
      </x:c>
      <x:c r="D10" s="4" t="s">
        <x:v>107</x:v>
      </x:c>
      <x:c r="E10" s="4" t="s">
        <x:v>107</x:v>
      </x:c>
      <x:c r="F10" s="4" t="s">
        <x:v>107</x:v>
      </x:c>
      <x:c r="G10" s="4" t="s">
        <x:v>2790</x:v>
      </x:c>
      <x:c r="H10" s="4" t="s">
        <x:v>171</x:v>
      </x:c>
      <x:c r="I10" s="4" t="s">
        <x:v>172</x:v>
      </x:c>
      <x:c r="J10" s="4" t="s">
        <x:v>2791</x:v>
      </x:c>
      <x:c r="K10" s="4" t="s">
        <x:v>107</x:v>
      </x:c>
      <x:c r="L10" s="4" t="s">
        <x:v>2792</x:v>
      </x:c>
      <x:c r="M10" s="4" t="s">
        <x:v>2793</x:v>
      </x:c>
      <x:c r="N10" s="4" t="s">
        <x:v>2794</x:v>
      </x:c>
      <x:c r="O10" s="4" t="s">
        <x:v>2795</x:v>
      </x:c>
      <x:c r="P10" s="4" t="s">
        <x:v>2796</x:v>
      </x:c>
    </x:row>
    <x:row r="11">
      <x:c r="A11" s="4" t="s">
        <x:v>2807</x:v>
      </x:c>
      <x:c r="B11" s="4" t="s">
        <x:v>1206</x:v>
      </x:c>
      <x:c r="C11" s="4" t="s">
        <x:v>2789</x:v>
      </x:c>
      <x:c r="D11" s="4" t="s">
        <x:v>107</x:v>
      </x:c>
      <x:c r="E11" s="4" t="s">
        <x:v>107</x:v>
      </x:c>
      <x:c r="F11" s="4" t="s">
        <x:v>107</x:v>
      </x:c>
      <x:c r="G11" s="4" t="s">
        <x:v>2790</x:v>
      </x:c>
      <x:c r="H11" s="4" t="s">
        <x:v>171</x:v>
      </x:c>
      <x:c r="I11" s="4" t="s">
        <x:v>172</x:v>
      </x:c>
      <x:c r="J11" s="4" t="s">
        <x:v>2791</x:v>
      </x:c>
      <x:c r="K11" s="4" t="s">
        <x:v>107</x:v>
      </x:c>
      <x:c r="L11" s="4" t="s">
        <x:v>2792</x:v>
      </x:c>
      <x:c r="M11" s="4" t="s">
        <x:v>2793</x:v>
      </x:c>
      <x:c r="N11" s="4" t="s">
        <x:v>2794</x:v>
      </x:c>
      <x:c r="O11" s="4" t="s">
        <x:v>2795</x:v>
      </x:c>
      <x:c r="P11" s="4" t="s">
        <x:v>2796</x:v>
      </x:c>
    </x:row>
    <x:row r="12">
      <x:c r="A12" s="4" t="s">
        <x:v>2808</x:v>
      </x:c>
      <x:c r="B12" s="4" t="s">
        <x:v>1207</x:v>
      </x:c>
      <x:c r="C12" s="4" t="s">
        <x:v>2789</x:v>
      </x:c>
      <x:c r="D12" s="4" t="s">
        <x:v>107</x:v>
      </x:c>
      <x:c r="E12" s="4" t="s">
        <x:v>107</x:v>
      </x:c>
      <x:c r="F12" s="4" t="s">
        <x:v>107</x:v>
      </x:c>
      <x:c r="G12" s="4" t="s">
        <x:v>2790</x:v>
      </x:c>
      <x:c r="H12" s="4" t="s">
        <x:v>171</x:v>
      </x:c>
      <x:c r="I12" s="4" t="s">
        <x:v>172</x:v>
      </x:c>
      <x:c r="J12" s="4" t="s">
        <x:v>2791</x:v>
      </x:c>
      <x:c r="K12" s="4" t="s">
        <x:v>107</x:v>
      </x:c>
      <x:c r="L12" s="4" t="s">
        <x:v>2792</x:v>
      </x:c>
      <x:c r="M12" s="4" t="s">
        <x:v>2793</x:v>
      </x:c>
      <x:c r="N12" s="4" t="s">
        <x:v>2794</x:v>
      </x:c>
      <x:c r="O12" s="4" t="s">
        <x:v>2795</x:v>
      </x:c>
      <x:c r="P12" s="4" t="s">
        <x:v>2796</x:v>
      </x:c>
    </x:row>
    <x:row r="13">
      <x:c r="A13" s="4" t="s">
        <x:v>2809</x:v>
      </x:c>
      <x:c r="B13" s="4" t="s">
        <x:v>1208</x:v>
      </x:c>
      <x:c r="C13" s="4" t="s">
        <x:v>2810</x:v>
      </x:c>
      <x:c r="D13" s="4" t="s">
        <x:v>107</x:v>
      </x:c>
      <x:c r="E13" s="4" t="s">
        <x:v>107</x:v>
      </x:c>
      <x:c r="F13" s="4" t="s">
        <x:v>107</x:v>
      </x:c>
      <x:c r="G13" s="4" t="s">
        <x:v>2790</x:v>
      </x:c>
      <x:c r="H13" s="4" t="s">
        <x:v>171</x:v>
      </x:c>
      <x:c r="I13" s="4" t="s">
        <x:v>172</x:v>
      </x:c>
      <x:c r="J13" s="4" t="s">
        <x:v>2791</x:v>
      </x:c>
      <x:c r="K13" s="4" t="s">
        <x:v>107</x:v>
      </x:c>
      <x:c r="L13" s="4" t="s">
        <x:v>2792</x:v>
      </x:c>
      <x:c r="M13" s="4" t="s">
        <x:v>2793</x:v>
      </x:c>
      <x:c r="N13" s="4" t="s">
        <x:v>2794</x:v>
      </x:c>
      <x:c r="O13" s="4" t="s">
        <x:v>2795</x:v>
      </x:c>
      <x:c r="P13" s="4" t="s">
        <x:v>2796</x:v>
      </x:c>
    </x:row>
    <x:row r="14">
      <x:c r="A14" s="4" t="s">
        <x:v>2811</x:v>
      </x:c>
      <x:c r="B14" s="4" t="s">
        <x:v>1209</x:v>
      </x:c>
      <x:c r="C14" s="4" t="s">
        <x:v>2812</x:v>
      </x:c>
      <x:c r="D14" s="4" t="s">
        <x:v>107</x:v>
      </x:c>
      <x:c r="E14" s="4" t="s">
        <x:v>107</x:v>
      </x:c>
      <x:c r="F14" s="4" t="s">
        <x:v>107</x:v>
      </x:c>
      <x:c r="G14" s="4" t="s">
        <x:v>2790</x:v>
      </x:c>
      <x:c r="H14" s="4" t="s">
        <x:v>171</x:v>
      </x:c>
      <x:c r="I14" s="4" t="s">
        <x:v>172</x:v>
      </x:c>
      <x:c r="J14" s="4" t="s">
        <x:v>2791</x:v>
      </x:c>
      <x:c r="K14" s="4" t="s">
        <x:v>107</x:v>
      </x:c>
      <x:c r="L14" s="4" t="s">
        <x:v>2813</x:v>
      </x:c>
      <x:c r="M14" s="4" t="s">
        <x:v>2814</x:v>
      </x:c>
      <x:c r="N14" s="4" t="s">
        <x:v>2794</x:v>
      </x:c>
      <x:c r="O14" s="4" t="s">
        <x:v>2795</x:v>
      </x:c>
      <x:c r="P14" s="4" t="s">
        <x:v>2796</x:v>
      </x:c>
    </x:row>
    <x:row r="15">
      <x:c r="A15" s="4" t="s">
        <x:v>2815</x:v>
      </x:c>
      <x:c r="B15" s="4" t="s">
        <x:v>1210</x:v>
      </x:c>
      <x:c r="C15" s="4" t="s">
        <x:v>2812</x:v>
      </x:c>
      <x:c r="D15" s="4" t="s">
        <x:v>107</x:v>
      </x:c>
      <x:c r="E15" s="4" t="s">
        <x:v>107</x:v>
      </x:c>
      <x:c r="F15" s="4" t="s">
        <x:v>107</x:v>
      </x:c>
      <x:c r="G15" s="4" t="s">
        <x:v>2790</x:v>
      </x:c>
      <x:c r="H15" s="4" t="s">
        <x:v>171</x:v>
      </x:c>
      <x:c r="I15" s="4" t="s">
        <x:v>172</x:v>
      </x:c>
      <x:c r="J15" s="4" t="s">
        <x:v>2791</x:v>
      </x:c>
      <x:c r="K15" s="4" t="s">
        <x:v>107</x:v>
      </x:c>
      <x:c r="L15" s="4" t="s">
        <x:v>2813</x:v>
      </x:c>
      <x:c r="M15" s="4" t="s">
        <x:v>2814</x:v>
      </x:c>
      <x:c r="N15" s="4" t="s">
        <x:v>2794</x:v>
      </x:c>
      <x:c r="O15" s="4" t="s">
        <x:v>2795</x:v>
      </x:c>
      <x:c r="P15" s="4" t="s">
        <x:v>2796</x:v>
      </x:c>
    </x:row>
    <x:row r="16">
      <x:c r="A16" s="4" t="s">
        <x:v>2816</x:v>
      </x:c>
      <x:c r="B16" s="4" t="s">
        <x:v>1211</x:v>
      </x:c>
      <x:c r="C16" s="4" t="s">
        <x:v>2812</x:v>
      </x:c>
      <x:c r="D16" s="4" t="s">
        <x:v>107</x:v>
      </x:c>
      <x:c r="E16" s="4" t="s">
        <x:v>107</x:v>
      </x:c>
      <x:c r="F16" s="4" t="s">
        <x:v>107</x:v>
      </x:c>
      <x:c r="G16" s="4" t="s">
        <x:v>2790</x:v>
      </x:c>
      <x:c r="H16" s="4" t="s">
        <x:v>171</x:v>
      </x:c>
      <x:c r="I16" s="4" t="s">
        <x:v>172</x:v>
      </x:c>
      <x:c r="J16" s="4" t="s">
        <x:v>2791</x:v>
      </x:c>
      <x:c r="K16" s="4" t="s">
        <x:v>107</x:v>
      </x:c>
      <x:c r="L16" s="4" t="s">
        <x:v>2813</x:v>
      </x:c>
      <x:c r="M16" s="4" t="s">
        <x:v>2814</x:v>
      </x:c>
      <x:c r="N16" s="4" t="s">
        <x:v>2794</x:v>
      </x:c>
      <x:c r="O16" s="4" t="s">
        <x:v>2795</x:v>
      </x:c>
      <x:c r="P16" s="4" t="s">
        <x:v>2796</x:v>
      </x:c>
    </x:row>
    <x:row r="17">
      <x:c r="A17" s="4" t="s">
        <x:v>2817</x:v>
      </x:c>
      <x:c r="B17" s="4" t="s">
        <x:v>1212</x:v>
      </x:c>
      <x:c r="C17" s="4" t="s">
        <x:v>2812</x:v>
      </x:c>
      <x:c r="D17" s="4" t="s">
        <x:v>107</x:v>
      </x:c>
      <x:c r="E17" s="4" t="s">
        <x:v>107</x:v>
      </x:c>
      <x:c r="F17" s="4" t="s">
        <x:v>107</x:v>
      </x:c>
      <x:c r="G17" s="4" t="s">
        <x:v>2790</x:v>
      </x:c>
      <x:c r="H17" s="4" t="s">
        <x:v>171</x:v>
      </x:c>
      <x:c r="I17" s="4" t="s">
        <x:v>172</x:v>
      </x:c>
      <x:c r="J17" s="4" t="s">
        <x:v>2791</x:v>
      </x:c>
      <x:c r="K17" s="4" t="s">
        <x:v>107</x:v>
      </x:c>
      <x:c r="L17" s="4" t="s">
        <x:v>2813</x:v>
      </x:c>
      <x:c r="M17" s="4" t="s">
        <x:v>2814</x:v>
      </x:c>
      <x:c r="N17" s="4" t="s">
        <x:v>2794</x:v>
      </x:c>
      <x:c r="O17" s="4" t="s">
        <x:v>2795</x:v>
      </x:c>
      <x:c r="P17" s="4" t="s">
        <x:v>2796</x:v>
      </x:c>
    </x:row>
    <x:row r="18">
      <x:c r="A18" s="4" t="s">
        <x:v>2818</x:v>
      </x:c>
      <x:c r="B18" s="4" t="s">
        <x:v>1213</x:v>
      </x:c>
      <x:c r="C18" s="4" t="s">
        <x:v>2819</x:v>
      </x:c>
      <x:c r="D18" s="4" t="s">
        <x:v>107</x:v>
      </x:c>
      <x:c r="E18" s="4" t="s">
        <x:v>107</x:v>
      </x:c>
      <x:c r="F18" s="4" t="s">
        <x:v>107</x:v>
      </x:c>
      <x:c r="G18" s="4" t="s">
        <x:v>2790</x:v>
      </x:c>
      <x:c r="H18" s="4" t="s">
        <x:v>171</x:v>
      </x:c>
      <x:c r="I18" s="4" t="s">
        <x:v>172</x:v>
      </x:c>
      <x:c r="J18" s="4" t="s">
        <x:v>2791</x:v>
      </x:c>
      <x:c r="K18" s="4" t="s">
        <x:v>107</x:v>
      </x:c>
      <x:c r="L18" s="4" t="s">
        <x:v>2820</x:v>
      </x:c>
      <x:c r="M18" s="4" t="s">
        <x:v>2821</x:v>
      </x:c>
      <x:c r="N18" s="4" t="s">
        <x:v>2794</x:v>
      </x:c>
      <x:c r="O18" s="4" t="s">
        <x:v>2795</x:v>
      </x:c>
      <x:c r="P18" s="4" t="s">
        <x:v>2796</x:v>
      </x:c>
    </x:row>
    <x:row r="19">
      <x:c r="A19" s="4" t="s">
        <x:v>2822</x:v>
      </x:c>
      <x:c r="B19" s="4" t="s">
        <x:v>1214</x:v>
      </x:c>
      <x:c r="C19" s="4" t="s">
        <x:v>2819</x:v>
      </x:c>
      <x:c r="D19" s="4" t="s">
        <x:v>107</x:v>
      </x:c>
      <x:c r="E19" s="4" t="s">
        <x:v>107</x:v>
      </x:c>
      <x:c r="F19" s="4" t="s">
        <x:v>107</x:v>
      </x:c>
      <x:c r="G19" s="4" t="s">
        <x:v>2790</x:v>
      </x:c>
      <x:c r="H19" s="4" t="s">
        <x:v>171</x:v>
      </x:c>
      <x:c r="I19" s="4" t="s">
        <x:v>172</x:v>
      </x:c>
      <x:c r="J19" s="4" t="s">
        <x:v>2791</x:v>
      </x:c>
      <x:c r="K19" s="4" t="s">
        <x:v>107</x:v>
      </x:c>
      <x:c r="L19" s="4" t="s">
        <x:v>2792</x:v>
      </x:c>
      <x:c r="M19" s="4" t="s">
        <x:v>2793</x:v>
      </x:c>
      <x:c r="N19" s="4" t="s">
        <x:v>2794</x:v>
      </x:c>
      <x:c r="O19" s="4" t="s">
        <x:v>2795</x:v>
      </x:c>
      <x:c r="P19" s="4" t="s">
        <x:v>2796</x:v>
      </x:c>
    </x:row>
    <x:row r="20">
      <x:c r="A20" s="4" t="s">
        <x:v>2823</x:v>
      </x:c>
      <x:c r="B20" s="4" t="s">
        <x:v>1215</x:v>
      </x:c>
      <x:c r="C20" s="4" t="s">
        <x:v>2789</x:v>
      </x:c>
      <x:c r="D20" s="4" t="s">
        <x:v>107</x:v>
      </x:c>
      <x:c r="E20" s="4" t="s">
        <x:v>107</x:v>
      </x:c>
      <x:c r="F20" s="4" t="s">
        <x:v>107</x:v>
      </x:c>
      <x:c r="G20" s="4" t="s">
        <x:v>2824</x:v>
      </x:c>
      <x:c r="H20" s="4" t="s">
        <x:v>171</x:v>
      </x:c>
      <x:c r="I20" s="4" t="s">
        <x:v>172</x:v>
      </x:c>
      <x:c r="J20" s="4" t="s">
        <x:v>2791</x:v>
      </x:c>
      <x:c r="K20" s="4" t="s">
        <x:v>107</x:v>
      </x:c>
      <x:c r="L20" s="4" t="s">
        <x:v>169</x:v>
      </x:c>
      <x:c r="M20" s="4" t="s">
        <x:v>2825</x:v>
      </x:c>
      <x:c r="N20" s="4" t="s">
        <x:v>2794</x:v>
      </x:c>
      <x:c r="O20" s="4" t="s">
        <x:v>2795</x:v>
      </x:c>
      <x:c r="P20" s="4" t="s">
        <x:v>2826</x:v>
      </x:c>
    </x:row>
    <x:row r="21">
      <x:c r="A21" s="4" t="s">
        <x:v>2827</x:v>
      </x:c>
      <x:c r="B21" s="4" t="s">
        <x:v>1216</x:v>
      </x:c>
      <x:c r="C21" s="4" t="s">
        <x:v>2789</x:v>
      </x:c>
      <x:c r="D21" s="4" t="s">
        <x:v>107</x:v>
      </x:c>
      <x:c r="E21" s="4" t="s">
        <x:v>107</x:v>
      </x:c>
      <x:c r="F21" s="4" t="s">
        <x:v>107</x:v>
      </x:c>
      <x:c r="G21" s="4" t="s">
        <x:v>2824</x:v>
      </x:c>
      <x:c r="H21" s="4" t="s">
        <x:v>171</x:v>
      </x:c>
      <x:c r="I21" s="4" t="s">
        <x:v>172</x:v>
      </x:c>
      <x:c r="J21" s="4" t="s">
        <x:v>2791</x:v>
      </x:c>
      <x:c r="K21" s="4" t="s">
        <x:v>107</x:v>
      </x:c>
      <x:c r="L21" s="4" t="s">
        <x:v>169</x:v>
      </x:c>
      <x:c r="M21" s="4" t="s">
        <x:v>2825</x:v>
      </x:c>
      <x:c r="N21" s="4" t="s">
        <x:v>2794</x:v>
      </x:c>
      <x:c r="O21" s="4" t="s">
        <x:v>2795</x:v>
      </x:c>
      <x:c r="P21" s="4" t="s">
        <x:v>2796</x:v>
      </x:c>
    </x:row>
    <x:row r="22">
      <x:c r="A22" s="4" t="s">
        <x:v>2828</x:v>
      </x:c>
      <x:c r="B22" s="4" t="s">
        <x:v>1217</x:v>
      </x:c>
      <x:c r="C22" s="4" t="s">
        <x:v>2789</x:v>
      </x:c>
      <x:c r="D22" s="4" t="s">
        <x:v>107</x:v>
      </x:c>
      <x:c r="E22" s="4" t="s">
        <x:v>107</x:v>
      </x:c>
      <x:c r="F22" s="4" t="s">
        <x:v>107</x:v>
      </x:c>
      <x:c r="G22" s="4" t="s">
        <x:v>2824</x:v>
      </x:c>
      <x:c r="H22" s="4" t="s">
        <x:v>171</x:v>
      </x:c>
      <x:c r="I22" s="4" t="s">
        <x:v>172</x:v>
      </x:c>
      <x:c r="J22" s="4" t="s">
        <x:v>2791</x:v>
      </x:c>
      <x:c r="K22" s="4" t="s">
        <x:v>107</x:v>
      </x:c>
      <x:c r="L22" s="4" t="s">
        <x:v>169</x:v>
      </x:c>
      <x:c r="M22" s="4" t="s">
        <x:v>2825</x:v>
      </x:c>
      <x:c r="N22" s="4" t="s">
        <x:v>2794</x:v>
      </x:c>
      <x:c r="O22" s="4" t="s">
        <x:v>2795</x:v>
      </x:c>
      <x:c r="P22" s="4" t="s">
        <x:v>2796</x:v>
      </x:c>
    </x:row>
    <x:row r="23">
      <x:c r="A23" s="4" t="s">
        <x:v>2829</x:v>
      </x:c>
      <x:c r="B23" s="4" t="s">
        <x:v>1218</x:v>
      </x:c>
      <x:c r="C23" s="4" t="s">
        <x:v>2789</x:v>
      </x:c>
      <x:c r="D23" s="4" t="s">
        <x:v>107</x:v>
      </x:c>
      <x:c r="E23" s="4" t="s">
        <x:v>107</x:v>
      </x:c>
      <x:c r="F23" s="4" t="s">
        <x:v>107</x:v>
      </x:c>
      <x:c r="G23" s="4" t="s">
        <x:v>2824</x:v>
      </x:c>
      <x:c r="H23" s="4" t="s">
        <x:v>171</x:v>
      </x:c>
      <x:c r="I23" s="4" t="s">
        <x:v>172</x:v>
      </x:c>
      <x:c r="J23" s="4" t="s">
        <x:v>2791</x:v>
      </x:c>
      <x:c r="K23" s="4" t="s">
        <x:v>107</x:v>
      </x:c>
      <x:c r="L23" s="4" t="s">
        <x:v>169</x:v>
      </x:c>
      <x:c r="M23" s="4" t="s">
        <x:v>2825</x:v>
      </x:c>
      <x:c r="N23" s="4" t="s">
        <x:v>2794</x:v>
      </x:c>
      <x:c r="O23" s="4" t="s">
        <x:v>2795</x:v>
      </x:c>
      <x:c r="P23" s="4" t="s">
        <x:v>2796</x:v>
      </x:c>
    </x:row>
    <x:row r="24">
      <x:c r="A24" s="4" t="s">
        <x:v>2830</x:v>
      </x:c>
      <x:c r="B24" s="4" t="s">
        <x:v>1219</x:v>
      </x:c>
      <x:c r="C24" s="4" t="s">
        <x:v>189</x:v>
      </x:c>
      <x:c r="D24" s="4" t="s">
        <x:v>107</x:v>
      </x:c>
      <x:c r="E24" s="4" t="s">
        <x:v>107</x:v>
      </x:c>
      <x:c r="F24" s="4" t="s">
        <x:v>107</x:v>
      </x:c>
      <x:c r="G24" s="4" t="s">
        <x:v>2824</x:v>
      </x:c>
      <x:c r="H24" s="4" t="s">
        <x:v>171</x:v>
      </x:c>
      <x:c r="I24" s="4" t="s">
        <x:v>172</x:v>
      </x:c>
      <x:c r="J24" s="4" t="s">
        <x:v>2791</x:v>
      </x:c>
      <x:c r="K24" s="4" t="s">
        <x:v>107</x:v>
      </x:c>
      <x:c r="L24" s="4" t="s">
        <x:v>169</x:v>
      </x:c>
      <x:c r="M24" s="4" t="s">
        <x:v>2825</x:v>
      </x:c>
      <x:c r="N24" s="4" t="s">
        <x:v>2794</x:v>
      </x:c>
      <x:c r="O24" s="4" t="s">
        <x:v>2795</x:v>
      </x:c>
      <x:c r="P24" s="4" t="s">
        <x:v>2796</x:v>
      </x:c>
    </x:row>
    <x:row r="25">
      <x:c r="A25" s="4" t="s">
        <x:v>2831</x:v>
      </x:c>
      <x:c r="B25" s="4" t="s">
        <x:v>1220</x:v>
      </x:c>
      <x:c r="C25" s="4" t="s">
        <x:v>2789</x:v>
      </x:c>
      <x:c r="D25" s="4" t="s">
        <x:v>107</x:v>
      </x:c>
      <x:c r="E25" s="4" t="s">
        <x:v>107</x:v>
      </x:c>
      <x:c r="F25" s="4" t="s">
        <x:v>107</x:v>
      </x:c>
      <x:c r="G25" s="4" t="s">
        <x:v>2824</x:v>
      </x:c>
      <x:c r="H25" s="4" t="s">
        <x:v>171</x:v>
      </x:c>
      <x:c r="I25" s="4" t="s">
        <x:v>172</x:v>
      </x:c>
      <x:c r="J25" s="4" t="s">
        <x:v>2791</x:v>
      </x:c>
      <x:c r="K25" s="4" t="s">
        <x:v>107</x:v>
      </x:c>
      <x:c r="L25" s="4" t="s">
        <x:v>2802</x:v>
      </x:c>
      <x:c r="M25" s="4" t="s">
        <x:v>2803</x:v>
      </x:c>
      <x:c r="N25" s="4" t="s">
        <x:v>2794</x:v>
      </x:c>
      <x:c r="O25" s="4" t="s">
        <x:v>2795</x:v>
      </x:c>
      <x:c r="P25" s="4" t="s">
        <x:v>2796</x:v>
      </x:c>
    </x:row>
    <x:row r="26">
      <x:c r="A26" s="4" t="s">
        <x:v>2832</x:v>
      </x:c>
      <x:c r="B26" s="4" t="s">
        <x:v>1221</x:v>
      </x:c>
      <x:c r="C26" s="4" t="s">
        <x:v>2789</x:v>
      </x:c>
      <x:c r="D26" s="4" t="s">
        <x:v>107</x:v>
      </x:c>
      <x:c r="E26" s="4" t="s">
        <x:v>107</x:v>
      </x:c>
      <x:c r="F26" s="4" t="s">
        <x:v>107</x:v>
      </x:c>
      <x:c r="G26" s="4" t="s">
        <x:v>2824</x:v>
      </x:c>
      <x:c r="H26" s="4" t="s">
        <x:v>171</x:v>
      </x:c>
      <x:c r="I26" s="4" t="s">
        <x:v>172</x:v>
      </x:c>
      <x:c r="J26" s="4" t="s">
        <x:v>2791</x:v>
      </x:c>
      <x:c r="K26" s="4" t="s">
        <x:v>107</x:v>
      </x:c>
      <x:c r="L26" s="4" t="s">
        <x:v>2792</x:v>
      </x:c>
      <x:c r="M26" s="4" t="s">
        <x:v>2793</x:v>
      </x:c>
      <x:c r="N26" s="4" t="s">
        <x:v>2794</x:v>
      </x:c>
      <x:c r="O26" s="4" t="s">
        <x:v>2795</x:v>
      </x:c>
      <x:c r="P26" s="4" t="s">
        <x:v>2796</x:v>
      </x:c>
    </x:row>
    <x:row r="27">
      <x:c r="A27" s="4" t="s">
        <x:v>2833</x:v>
      </x:c>
      <x:c r="B27" s="4" t="s">
        <x:v>1222</x:v>
      </x:c>
      <x:c r="C27" s="4" t="s">
        <x:v>2789</x:v>
      </x:c>
      <x:c r="D27" s="4" t="s">
        <x:v>107</x:v>
      </x:c>
      <x:c r="E27" s="4" t="s">
        <x:v>107</x:v>
      </x:c>
      <x:c r="F27" s="4" t="s">
        <x:v>107</x:v>
      </x:c>
      <x:c r="G27" s="4" t="s">
        <x:v>2824</x:v>
      </x:c>
      <x:c r="H27" s="4" t="s">
        <x:v>171</x:v>
      </x:c>
      <x:c r="I27" s="4" t="s">
        <x:v>172</x:v>
      </x:c>
      <x:c r="J27" s="4" t="s">
        <x:v>2791</x:v>
      </x:c>
      <x:c r="K27" s="4" t="s">
        <x:v>107</x:v>
      </x:c>
      <x:c r="L27" s="4" t="s">
        <x:v>2792</x:v>
      </x:c>
      <x:c r="M27" s="4" t="s">
        <x:v>2793</x:v>
      </x:c>
      <x:c r="N27" s="4" t="s">
        <x:v>2794</x:v>
      </x:c>
      <x:c r="O27" s="4" t="s">
        <x:v>2795</x:v>
      </x:c>
      <x:c r="P27" s="4" t="s">
        <x:v>2796</x:v>
      </x:c>
    </x:row>
    <x:row r="28">
      <x:c r="A28" s="4" t="s">
        <x:v>2834</x:v>
      </x:c>
      <x:c r="B28" s="4" t="s">
        <x:v>1223</x:v>
      </x:c>
      <x:c r="C28" s="4" t="s">
        <x:v>2812</x:v>
      </x:c>
      <x:c r="D28" s="4" t="s">
        <x:v>107</x:v>
      </x:c>
      <x:c r="E28" s="4" t="s">
        <x:v>107</x:v>
      </x:c>
      <x:c r="F28" s="4" t="s">
        <x:v>107</x:v>
      </x:c>
      <x:c r="G28" s="4" t="s">
        <x:v>2824</x:v>
      </x:c>
      <x:c r="H28" s="4" t="s">
        <x:v>171</x:v>
      </x:c>
      <x:c r="I28" s="4" t="s">
        <x:v>172</x:v>
      </x:c>
      <x:c r="J28" s="4" t="s">
        <x:v>2791</x:v>
      </x:c>
      <x:c r="K28" s="4" t="s">
        <x:v>107</x:v>
      </x:c>
      <x:c r="L28" s="4" t="s">
        <x:v>2813</x:v>
      </x:c>
      <x:c r="M28" s="4" t="s">
        <x:v>2814</x:v>
      </x:c>
      <x:c r="N28" s="4" t="s">
        <x:v>2794</x:v>
      </x:c>
      <x:c r="O28" s="4" t="s">
        <x:v>2795</x:v>
      </x:c>
      <x:c r="P28" s="4" t="s">
        <x:v>2796</x:v>
      </x:c>
    </x:row>
    <x:row r="29">
      <x:c r="A29" s="4" t="s">
        <x:v>2835</x:v>
      </x:c>
      <x:c r="B29" s="4" t="s">
        <x:v>1224</x:v>
      </x:c>
      <x:c r="C29" s="4" t="s">
        <x:v>2812</x:v>
      </x:c>
      <x:c r="D29" s="4" t="s">
        <x:v>107</x:v>
      </x:c>
      <x:c r="E29" s="4" t="s">
        <x:v>107</x:v>
      </x:c>
      <x:c r="F29" s="4" t="s">
        <x:v>107</x:v>
      </x:c>
      <x:c r="G29" s="4" t="s">
        <x:v>2824</x:v>
      </x:c>
      <x:c r="H29" s="4" t="s">
        <x:v>171</x:v>
      </x:c>
      <x:c r="I29" s="4" t="s">
        <x:v>172</x:v>
      </x:c>
      <x:c r="J29" s="4" t="s">
        <x:v>2791</x:v>
      </x:c>
      <x:c r="K29" s="4" t="s">
        <x:v>107</x:v>
      </x:c>
      <x:c r="L29" s="4" t="s">
        <x:v>2813</x:v>
      </x:c>
      <x:c r="M29" s="4" t="s">
        <x:v>2814</x:v>
      </x:c>
      <x:c r="N29" s="4" t="s">
        <x:v>2794</x:v>
      </x:c>
      <x:c r="O29" s="4" t="s">
        <x:v>2795</x:v>
      </x:c>
      <x:c r="P29" s="4" t="s">
        <x:v>2796</x:v>
      </x:c>
    </x:row>
    <x:row r="30">
      <x:c r="A30" s="4" t="s">
        <x:v>2836</x:v>
      </x:c>
      <x:c r="B30" s="4" t="s">
        <x:v>1225</x:v>
      </x:c>
      <x:c r="C30" s="4" t="s">
        <x:v>2819</x:v>
      </x:c>
      <x:c r="D30" s="4" t="s">
        <x:v>107</x:v>
      </x:c>
      <x:c r="E30" s="4" t="s">
        <x:v>107</x:v>
      </x:c>
      <x:c r="F30" s="4" t="s">
        <x:v>107</x:v>
      </x:c>
      <x:c r="G30" s="4" t="s">
        <x:v>2824</x:v>
      </x:c>
      <x:c r="H30" s="4" t="s">
        <x:v>171</x:v>
      </x:c>
      <x:c r="I30" s="4" t="s">
        <x:v>172</x:v>
      </x:c>
      <x:c r="J30" s="4" t="s">
        <x:v>2791</x:v>
      </x:c>
      <x:c r="K30" s="4" t="s">
        <x:v>107</x:v>
      </x:c>
      <x:c r="L30" s="4" t="s">
        <x:v>2820</x:v>
      </x:c>
      <x:c r="M30" s="4" t="s">
        <x:v>2821</x:v>
      </x:c>
      <x:c r="N30" s="4" t="s">
        <x:v>2794</x:v>
      </x:c>
      <x:c r="O30" s="4" t="s">
        <x:v>2795</x:v>
      </x:c>
      <x:c r="P30" s="4" t="s">
        <x:v>2796</x:v>
      </x:c>
    </x:row>
    <x:row r="31">
      <x:c r="A31" s="4" t="s">
        <x:v>2837</x:v>
      </x:c>
      <x:c r="B31" s="4" t="s">
        <x:v>1226</x:v>
      </x:c>
      <x:c r="C31" s="4" t="s">
        <x:v>2789</x:v>
      </x:c>
      <x:c r="D31" s="4" t="s">
        <x:v>107</x:v>
      </x:c>
      <x:c r="E31" s="4" t="s">
        <x:v>107</x:v>
      </x:c>
      <x:c r="F31" s="4" t="s">
        <x:v>107</x:v>
      </x:c>
      <x:c r="G31" s="4" t="s">
        <x:v>2824</x:v>
      </x:c>
      <x:c r="H31" s="4" t="s">
        <x:v>171</x:v>
      </x:c>
      <x:c r="I31" s="4" t="s">
        <x:v>172</x:v>
      </x:c>
      <x:c r="J31" s="4" t="s">
        <x:v>2791</x:v>
      </x:c>
      <x:c r="K31" s="4" t="s">
        <x:v>107</x:v>
      </x:c>
      <x:c r="L31" s="4" t="s">
        <x:v>2792</x:v>
      </x:c>
      <x:c r="M31" s="4" t="s">
        <x:v>2793</x:v>
      </x:c>
      <x:c r="N31" s="4" t="s">
        <x:v>2794</x:v>
      </x:c>
      <x:c r="O31" s="4" t="s">
        <x:v>2795</x:v>
      </x:c>
      <x:c r="P31" s="4" t="s">
        <x:v>2796</x:v>
      </x:c>
    </x:row>
    <x:row r="32">
      <x:c r="A32" s="4" t="s">
        <x:v>2838</x:v>
      </x:c>
      <x:c r="B32" s="4" t="s">
        <x:v>1227</x:v>
      </x:c>
      <x:c r="C32" s="4" t="s">
        <x:v>2819</x:v>
      </x:c>
      <x:c r="D32" s="4" t="s">
        <x:v>107</x:v>
      </x:c>
      <x:c r="E32" s="4" t="s">
        <x:v>107</x:v>
      </x:c>
      <x:c r="F32" s="4" t="s">
        <x:v>107</x:v>
      </x:c>
      <x:c r="G32" s="4" t="s">
        <x:v>2824</x:v>
      </x:c>
      <x:c r="H32" s="4" t="s">
        <x:v>171</x:v>
      </x:c>
      <x:c r="I32" s="4" t="s">
        <x:v>172</x:v>
      </x:c>
      <x:c r="J32" s="4" t="s">
        <x:v>2791</x:v>
      </x:c>
      <x:c r="K32" s="4" t="s">
        <x:v>107</x:v>
      </x:c>
      <x:c r="L32" s="4" t="s">
        <x:v>2792</x:v>
      </x:c>
      <x:c r="M32" s="4" t="s">
        <x:v>2793</x:v>
      </x:c>
      <x:c r="N32" s="4" t="s">
        <x:v>2794</x:v>
      </x:c>
      <x:c r="O32" s="4" t="s">
        <x:v>2795</x:v>
      </x:c>
      <x:c r="P32" s="4" t="s">
        <x:v>2796</x:v>
      </x:c>
    </x:row>
    <x:row r="33">
      <x:c r="A33" s="4" t="s">
        <x:v>2839</x:v>
      </x:c>
      <x:c r="B33" s="4" t="s">
        <x:v>1228</x:v>
      </x:c>
      <x:c r="C33" s="4" t="s">
        <x:v>2810</x:v>
      </x:c>
      <x:c r="D33" s="4" t="s">
        <x:v>107</x:v>
      </x:c>
      <x:c r="E33" s="4" t="s">
        <x:v>107</x:v>
      </x:c>
      <x:c r="F33" s="4" t="s">
        <x:v>107</x:v>
      </x:c>
      <x:c r="G33" s="4" t="s">
        <x:v>2824</x:v>
      </x:c>
      <x:c r="H33" s="4" t="s">
        <x:v>171</x:v>
      </x:c>
      <x:c r="I33" s="4" t="s">
        <x:v>172</x:v>
      </x:c>
      <x:c r="J33" s="4" t="s">
        <x:v>2791</x:v>
      </x:c>
      <x:c r="K33" s="4" t="s">
        <x:v>107</x:v>
      </x:c>
      <x:c r="L33" s="4" t="s">
        <x:v>2792</x:v>
      </x:c>
      <x:c r="M33" s="4" t="s">
        <x:v>2793</x:v>
      </x:c>
      <x:c r="N33" s="4" t="s">
        <x:v>2794</x:v>
      </x:c>
      <x:c r="O33" s="4" t="s">
        <x:v>2795</x:v>
      </x:c>
      <x:c r="P33" s="4" t="s">
        <x:v>2796</x:v>
      </x:c>
    </x:row>
    <x:row r="34">
      <x:c r="A34" s="4" t="s">
        <x:v>2840</x:v>
      </x:c>
      <x:c r="B34" s="4" t="s">
        <x:v>1229</x:v>
      </x:c>
      <x:c r="C34" s="4" t="s">
        <x:v>2789</x:v>
      </x:c>
      <x:c r="D34" s="4" t="s">
        <x:v>107</x:v>
      </x:c>
      <x:c r="E34" s="4" t="s">
        <x:v>107</x:v>
      </x:c>
      <x:c r="F34" s="4" t="s">
        <x:v>107</x:v>
      </x:c>
      <x:c r="G34" s="4" t="s">
        <x:v>2841</x:v>
      </x:c>
      <x:c r="H34" s="4" t="s">
        <x:v>171</x:v>
      </x:c>
      <x:c r="I34" s="4" t="s">
        <x:v>172</x:v>
      </x:c>
      <x:c r="J34" s="4" t="s">
        <x:v>2791</x:v>
      </x:c>
      <x:c r="K34" s="4" t="s">
        <x:v>107</x:v>
      </x:c>
      <x:c r="L34" s="4" t="s">
        <x:v>169</x:v>
      </x:c>
      <x:c r="M34" s="4" t="s">
        <x:v>2825</x:v>
      </x:c>
      <x:c r="N34" s="4" t="s">
        <x:v>2794</x:v>
      </x:c>
      <x:c r="O34" s="4" t="s">
        <x:v>2795</x:v>
      </x:c>
      <x:c r="P34" s="4" t="s">
        <x:v>2796</x:v>
      </x:c>
    </x:row>
    <x:row r="35">
      <x:c r="A35" s="4" t="s">
        <x:v>2842</x:v>
      </x:c>
      <x:c r="B35" s="4" t="s">
        <x:v>1230</x:v>
      </x:c>
      <x:c r="C35" s="4" t="s">
        <x:v>2789</x:v>
      </x:c>
      <x:c r="D35" s="4" t="s">
        <x:v>107</x:v>
      </x:c>
      <x:c r="E35" s="4" t="s">
        <x:v>107</x:v>
      </x:c>
      <x:c r="F35" s="4" t="s">
        <x:v>107</x:v>
      </x:c>
      <x:c r="G35" s="4" t="s">
        <x:v>2841</x:v>
      </x:c>
      <x:c r="H35" s="4" t="s">
        <x:v>171</x:v>
      </x:c>
      <x:c r="I35" s="4" t="s">
        <x:v>172</x:v>
      </x:c>
      <x:c r="J35" s="4" t="s">
        <x:v>2791</x:v>
      </x:c>
      <x:c r="K35" s="4" t="s">
        <x:v>107</x:v>
      </x:c>
      <x:c r="L35" s="4" t="s">
        <x:v>169</x:v>
      </x:c>
      <x:c r="M35" s="4" t="s">
        <x:v>2825</x:v>
      </x:c>
      <x:c r="N35" s="4" t="s">
        <x:v>2794</x:v>
      </x:c>
      <x:c r="O35" s="4" t="s">
        <x:v>2795</x:v>
      </x:c>
      <x:c r="P35" s="4" t="s">
        <x:v>2796</x:v>
      </x:c>
    </x:row>
    <x:row r="36">
      <x:c r="A36" s="4" t="s">
        <x:v>2843</x:v>
      </x:c>
      <x:c r="B36" s="4" t="s">
        <x:v>1231</x:v>
      </x:c>
      <x:c r="C36" s="4" t="s">
        <x:v>2789</x:v>
      </x:c>
      <x:c r="D36" s="4" t="s">
        <x:v>107</x:v>
      </x:c>
      <x:c r="E36" s="4" t="s">
        <x:v>107</x:v>
      </x:c>
      <x:c r="F36" s="4" t="s">
        <x:v>107</x:v>
      </x:c>
      <x:c r="G36" s="4" t="s">
        <x:v>2841</x:v>
      </x:c>
      <x:c r="H36" s="4" t="s">
        <x:v>171</x:v>
      </x:c>
      <x:c r="I36" s="4" t="s">
        <x:v>172</x:v>
      </x:c>
      <x:c r="J36" s="4" t="s">
        <x:v>2791</x:v>
      </x:c>
      <x:c r="K36" s="4" t="s">
        <x:v>107</x:v>
      </x:c>
      <x:c r="L36" s="4" t="s">
        <x:v>169</x:v>
      </x:c>
      <x:c r="M36" s="4" t="s">
        <x:v>2825</x:v>
      </x:c>
      <x:c r="N36" s="4" t="s">
        <x:v>2794</x:v>
      </x:c>
      <x:c r="O36" s="4" t="s">
        <x:v>2795</x:v>
      </x:c>
      <x:c r="P36" s="4" t="s">
        <x:v>2796</x:v>
      </x:c>
    </x:row>
    <x:row r="37">
      <x:c r="A37" s="4" t="s">
        <x:v>2844</x:v>
      </x:c>
      <x:c r="B37" s="4" t="s">
        <x:v>1232</x:v>
      </x:c>
      <x:c r="C37" s="4" t="s">
        <x:v>2789</x:v>
      </x:c>
      <x:c r="D37" s="4" t="s">
        <x:v>107</x:v>
      </x:c>
      <x:c r="E37" s="4" t="s">
        <x:v>107</x:v>
      </x:c>
      <x:c r="F37" s="4" t="s">
        <x:v>107</x:v>
      </x:c>
      <x:c r="G37" s="4" t="s">
        <x:v>2841</x:v>
      </x:c>
      <x:c r="H37" s="4" t="s">
        <x:v>171</x:v>
      </x:c>
      <x:c r="I37" s="4" t="s">
        <x:v>172</x:v>
      </x:c>
      <x:c r="J37" s="4" t="s">
        <x:v>2791</x:v>
      </x:c>
      <x:c r="K37" s="4" t="s">
        <x:v>107</x:v>
      </x:c>
      <x:c r="L37" s="4" t="s">
        <x:v>169</x:v>
      </x:c>
      <x:c r="M37" s="4" t="s">
        <x:v>2825</x:v>
      </x:c>
      <x:c r="N37" s="4" t="s">
        <x:v>2794</x:v>
      </x:c>
      <x:c r="O37" s="4" t="s">
        <x:v>2795</x:v>
      </x:c>
      <x:c r="P37" s="4" t="s">
        <x:v>2796</x:v>
      </x:c>
    </x:row>
    <x:row r="38">
      <x:c r="A38" s="4" t="s">
        <x:v>2845</x:v>
      </x:c>
      <x:c r="B38" s="4" t="s">
        <x:v>1233</x:v>
      </x:c>
      <x:c r="C38" s="4" t="s">
        <x:v>189</x:v>
      </x:c>
      <x:c r="D38" s="4" t="s">
        <x:v>107</x:v>
      </x:c>
      <x:c r="E38" s="4" t="s">
        <x:v>107</x:v>
      </x:c>
      <x:c r="F38" s="4" t="s">
        <x:v>107</x:v>
      </x:c>
      <x:c r="G38" s="4" t="s">
        <x:v>2841</x:v>
      </x:c>
      <x:c r="H38" s="4" t="s">
        <x:v>171</x:v>
      </x:c>
      <x:c r="I38" s="4" t="s">
        <x:v>172</x:v>
      </x:c>
      <x:c r="J38" s="4" t="s">
        <x:v>2791</x:v>
      </x:c>
      <x:c r="K38" s="4" t="s">
        <x:v>107</x:v>
      </x:c>
      <x:c r="L38" s="4" t="s">
        <x:v>169</x:v>
      </x:c>
      <x:c r="M38" s="4" t="s">
        <x:v>2825</x:v>
      </x:c>
      <x:c r="N38" s="4" t="s">
        <x:v>2794</x:v>
      </x:c>
      <x:c r="O38" s="4" t="s">
        <x:v>2795</x:v>
      </x:c>
      <x:c r="P38" s="4" t="s">
        <x:v>2796</x:v>
      </x:c>
    </x:row>
    <x:row r="39">
      <x:c r="A39" s="4" t="s">
        <x:v>2846</x:v>
      </x:c>
      <x:c r="B39" s="4" t="s">
        <x:v>1234</x:v>
      </x:c>
      <x:c r="C39" s="4" t="s">
        <x:v>2789</x:v>
      </x:c>
      <x:c r="D39" s="4" t="s">
        <x:v>107</x:v>
      </x:c>
      <x:c r="E39" s="4" t="s">
        <x:v>107</x:v>
      </x:c>
      <x:c r="F39" s="4" t="s">
        <x:v>107</x:v>
      </x:c>
      <x:c r="G39" s="4" t="s">
        <x:v>2841</x:v>
      </x:c>
      <x:c r="H39" s="4" t="s">
        <x:v>171</x:v>
      </x:c>
      <x:c r="I39" s="4" t="s">
        <x:v>172</x:v>
      </x:c>
      <x:c r="J39" s="4" t="s">
        <x:v>2791</x:v>
      </x:c>
      <x:c r="K39" s="4" t="s">
        <x:v>107</x:v>
      </x:c>
      <x:c r="L39" s="4" t="s">
        <x:v>169</x:v>
      </x:c>
      <x:c r="M39" s="4" t="s">
        <x:v>2825</x:v>
      </x:c>
      <x:c r="N39" s="4" t="s">
        <x:v>2794</x:v>
      </x:c>
      <x:c r="O39" s="4" t="s">
        <x:v>2795</x:v>
      </x:c>
      <x:c r="P39" s="4" t="s">
        <x:v>2796</x:v>
      </x:c>
    </x:row>
    <x:row r="40">
      <x:c r="A40" s="4" t="s">
        <x:v>2847</x:v>
      </x:c>
      <x:c r="B40" s="4" t="s">
        <x:v>1235</x:v>
      </x:c>
      <x:c r="C40" s="4" t="s">
        <x:v>2789</x:v>
      </x:c>
      <x:c r="D40" s="4" t="s">
        <x:v>107</x:v>
      </x:c>
      <x:c r="E40" s="4" t="s">
        <x:v>107</x:v>
      </x:c>
      <x:c r="F40" s="4" t="s">
        <x:v>107</x:v>
      </x:c>
      <x:c r="G40" s="4" t="s">
        <x:v>2841</x:v>
      </x:c>
      <x:c r="H40" s="4" t="s">
        <x:v>171</x:v>
      </x:c>
      <x:c r="I40" s="4" t="s">
        <x:v>172</x:v>
      </x:c>
      <x:c r="J40" s="4" t="s">
        <x:v>2791</x:v>
      </x:c>
      <x:c r="K40" s="4" t="s">
        <x:v>107</x:v>
      </x:c>
      <x:c r="L40" s="4" t="s">
        <x:v>169</x:v>
      </x:c>
      <x:c r="M40" s="4" t="s">
        <x:v>2825</x:v>
      </x:c>
      <x:c r="N40" s="4" t="s">
        <x:v>2794</x:v>
      </x:c>
      <x:c r="O40" s="4" t="s">
        <x:v>2795</x:v>
      </x:c>
      <x:c r="P40" s="4" t="s">
        <x:v>2796</x:v>
      </x:c>
    </x:row>
    <x:row r="41">
      <x:c r="A41" s="4" t="s">
        <x:v>2848</x:v>
      </x:c>
      <x:c r="B41" s="4" t="s">
        <x:v>1236</x:v>
      </x:c>
      <x:c r="C41" s="4" t="s">
        <x:v>2789</x:v>
      </x:c>
      <x:c r="D41" s="4" t="s">
        <x:v>107</x:v>
      </x:c>
      <x:c r="E41" s="4" t="s">
        <x:v>107</x:v>
      </x:c>
      <x:c r="F41" s="4" t="s">
        <x:v>107</x:v>
      </x:c>
      <x:c r="G41" s="4" t="s">
        <x:v>2841</x:v>
      </x:c>
      <x:c r="H41" s="4" t="s">
        <x:v>171</x:v>
      </x:c>
      <x:c r="I41" s="4" t="s">
        <x:v>172</x:v>
      </x:c>
      <x:c r="J41" s="4" t="s">
        <x:v>2791</x:v>
      </x:c>
      <x:c r="K41" s="4" t="s">
        <x:v>107</x:v>
      </x:c>
      <x:c r="L41" s="4" t="s">
        <x:v>169</x:v>
      </x:c>
      <x:c r="M41" s="4" t="s">
        <x:v>2825</x:v>
      </x:c>
      <x:c r="N41" s="4" t="s">
        <x:v>2794</x:v>
      </x:c>
      <x:c r="O41" s="4" t="s">
        <x:v>2795</x:v>
      </x:c>
      <x:c r="P41" s="4" t="s">
        <x:v>2796</x:v>
      </x:c>
    </x:row>
    <x:row r="42">
      <x:c r="A42" s="4" t="s">
        <x:v>2849</x:v>
      </x:c>
      <x:c r="B42" s="4" t="s">
        <x:v>1237</x:v>
      </x:c>
      <x:c r="C42" s="4" t="s">
        <x:v>2812</x:v>
      </x:c>
      <x:c r="D42" s="4" t="s">
        <x:v>107</x:v>
      </x:c>
      <x:c r="E42" s="4" t="s">
        <x:v>107</x:v>
      </x:c>
      <x:c r="F42" s="4" t="s">
        <x:v>107</x:v>
      </x:c>
      <x:c r="G42" s="4" t="s">
        <x:v>2841</x:v>
      </x:c>
      <x:c r="H42" s="4" t="s">
        <x:v>171</x:v>
      </x:c>
      <x:c r="I42" s="4" t="s">
        <x:v>172</x:v>
      </x:c>
      <x:c r="J42" s="4" t="s">
        <x:v>2791</x:v>
      </x:c>
      <x:c r="K42" s="4" t="s">
        <x:v>107</x:v>
      </x:c>
      <x:c r="L42" s="4" t="s">
        <x:v>2813</x:v>
      </x:c>
      <x:c r="M42" s="4" t="s">
        <x:v>2814</x:v>
      </x:c>
      <x:c r="N42" s="4" t="s">
        <x:v>2794</x:v>
      </x:c>
      <x:c r="O42" s="4" t="s">
        <x:v>2795</x:v>
      </x:c>
      <x:c r="P42" s="4" t="s">
        <x:v>2796</x:v>
      </x:c>
    </x:row>
    <x:row r="43">
      <x:c r="A43" s="4" t="s">
        <x:v>2850</x:v>
      </x:c>
      <x:c r="B43" s="4" t="s">
        <x:v>1238</x:v>
      </x:c>
      <x:c r="C43" s="4" t="s">
        <x:v>2812</x:v>
      </x:c>
      <x:c r="D43" s="4" t="s">
        <x:v>107</x:v>
      </x:c>
      <x:c r="E43" s="4" t="s">
        <x:v>107</x:v>
      </x:c>
      <x:c r="F43" s="4" t="s">
        <x:v>107</x:v>
      </x:c>
      <x:c r="G43" s="4" t="s">
        <x:v>2841</x:v>
      </x:c>
      <x:c r="H43" s="4" t="s">
        <x:v>171</x:v>
      </x:c>
      <x:c r="I43" s="4" t="s">
        <x:v>172</x:v>
      </x:c>
      <x:c r="J43" s="4" t="s">
        <x:v>2791</x:v>
      </x:c>
      <x:c r="K43" s="4" t="s">
        <x:v>107</x:v>
      </x:c>
      <x:c r="L43" s="4" t="s">
        <x:v>2813</x:v>
      </x:c>
      <x:c r="M43" s="4" t="s">
        <x:v>2814</x:v>
      </x:c>
      <x:c r="N43" s="4" t="s">
        <x:v>2794</x:v>
      </x:c>
      <x:c r="O43" s="4" t="s">
        <x:v>2795</x:v>
      </x:c>
      <x:c r="P43" s="4" t="s">
        <x:v>2796</x:v>
      </x:c>
    </x:row>
    <x:row r="44">
      <x:c r="A44" s="4" t="s">
        <x:v>2851</x:v>
      </x:c>
      <x:c r="B44" s="4" t="s">
        <x:v>1239</x:v>
      </x:c>
      <x:c r="C44" s="4" t="s">
        <x:v>2819</x:v>
      </x:c>
      <x:c r="D44" s="4" t="s">
        <x:v>107</x:v>
      </x:c>
      <x:c r="E44" s="4" t="s">
        <x:v>107</x:v>
      </x:c>
      <x:c r="F44" s="4" t="s">
        <x:v>107</x:v>
      </x:c>
      <x:c r="G44" s="4" t="s">
        <x:v>2841</x:v>
      </x:c>
      <x:c r="H44" s="4" t="s">
        <x:v>171</x:v>
      </x:c>
      <x:c r="I44" s="4" t="s">
        <x:v>172</x:v>
      </x:c>
      <x:c r="J44" s="4" t="s">
        <x:v>2791</x:v>
      </x:c>
      <x:c r="K44" s="4" t="s">
        <x:v>107</x:v>
      </x:c>
      <x:c r="L44" s="4" t="s">
        <x:v>2820</x:v>
      </x:c>
      <x:c r="M44" s="4" t="s">
        <x:v>2821</x:v>
      </x:c>
      <x:c r="N44" s="4" t="s">
        <x:v>2794</x:v>
      </x:c>
      <x:c r="O44" s="4" t="s">
        <x:v>2795</x:v>
      </x:c>
      <x:c r="P44" s="4" t="s">
        <x:v>2796</x:v>
      </x:c>
    </x:row>
    <x:row r="45">
      <x:c r="A45" s="4" t="s">
        <x:v>2852</x:v>
      </x:c>
      <x:c r="B45" s="4" t="s">
        <x:v>1240</x:v>
      </x:c>
      <x:c r="C45" s="4" t="s">
        <x:v>2819</x:v>
      </x:c>
      <x:c r="D45" s="4" t="s">
        <x:v>107</x:v>
      </x:c>
      <x:c r="E45" s="4" t="s">
        <x:v>107</x:v>
      </x:c>
      <x:c r="F45" s="4" t="s">
        <x:v>107</x:v>
      </x:c>
      <x:c r="G45" s="4" t="s">
        <x:v>2841</x:v>
      </x:c>
      <x:c r="H45" s="4" t="s">
        <x:v>171</x:v>
      </x:c>
      <x:c r="I45" s="4" t="s">
        <x:v>172</x:v>
      </x:c>
      <x:c r="J45" s="4" t="s">
        <x:v>2791</x:v>
      </x:c>
      <x:c r="K45" s="4" t="s">
        <x:v>107</x:v>
      </x:c>
      <x:c r="L45" s="4" t="s">
        <x:v>2792</x:v>
      </x:c>
      <x:c r="M45" s="4" t="s">
        <x:v>2793</x:v>
      </x:c>
      <x:c r="N45" s="4" t="s">
        <x:v>2794</x:v>
      </x:c>
      <x:c r="O45" s="4" t="s">
        <x:v>2795</x:v>
      </x:c>
      <x:c r="P45" s="4" t="s">
        <x:v>2796</x:v>
      </x:c>
    </x:row>
    <x:row r="46">
      <x:c r="A46" s="4" t="s">
        <x:v>2853</x:v>
      </x:c>
      <x:c r="B46" s="4" t="s">
        <x:v>1241</x:v>
      </x:c>
      <x:c r="C46" s="4" t="s">
        <x:v>2810</x:v>
      </x:c>
      <x:c r="D46" s="4" t="s">
        <x:v>107</x:v>
      </x:c>
      <x:c r="E46" s="4" t="s">
        <x:v>107</x:v>
      </x:c>
      <x:c r="F46" s="4" t="s">
        <x:v>107</x:v>
      </x:c>
      <x:c r="G46" s="4" t="s">
        <x:v>2841</x:v>
      </x:c>
      <x:c r="H46" s="4" t="s">
        <x:v>171</x:v>
      </x:c>
      <x:c r="I46" s="4" t="s">
        <x:v>172</x:v>
      </x:c>
      <x:c r="J46" s="4" t="s">
        <x:v>2791</x:v>
      </x:c>
      <x:c r="K46" s="4" t="s">
        <x:v>107</x:v>
      </x:c>
      <x:c r="L46" s="4" t="s">
        <x:v>2792</x:v>
      </x:c>
      <x:c r="M46" s="4" t="s">
        <x:v>2793</x:v>
      </x:c>
      <x:c r="N46" s="4" t="s">
        <x:v>2794</x:v>
      </x:c>
      <x:c r="O46" s="4" t="s">
        <x:v>2795</x:v>
      </x:c>
      <x:c r="P46" s="4" t="s">
        <x:v>2796</x:v>
      </x:c>
    </x:row>
    <x:row r="47">
      <x:c r="A47" s="4" t="s">
        <x:v>2854</x:v>
      </x:c>
      <x:c r="B47" s="4" t="s">
        <x:v>1242</x:v>
      </x:c>
      <x:c r="C47" s="4" t="s">
        <x:v>2789</x:v>
      </x:c>
      <x:c r="D47" s="4" t="s">
        <x:v>107</x:v>
      </x:c>
      <x:c r="E47" s="4" t="s">
        <x:v>107</x:v>
      </x:c>
      <x:c r="F47" s="4" t="s">
        <x:v>107</x:v>
      </x:c>
      <x:c r="G47" s="4" t="s">
        <x:v>2855</x:v>
      </x:c>
      <x:c r="H47" s="4" t="s">
        <x:v>171</x:v>
      </x:c>
      <x:c r="I47" s="4" t="s">
        <x:v>172</x:v>
      </x:c>
      <x:c r="J47" s="4" t="s">
        <x:v>2791</x:v>
      </x:c>
      <x:c r="K47" s="4" t="s">
        <x:v>107</x:v>
      </x:c>
      <x:c r="L47" s="4" t="s">
        <x:v>169</x:v>
      </x:c>
      <x:c r="M47" s="4" t="s">
        <x:v>2825</x:v>
      </x:c>
      <x:c r="N47" s="4" t="s">
        <x:v>2794</x:v>
      </x:c>
      <x:c r="O47" s="4" t="s">
        <x:v>2795</x:v>
      </x:c>
      <x:c r="P47" s="4" t="s">
        <x:v>2796</x:v>
      </x:c>
    </x:row>
    <x:row r="48">
      <x:c r="A48" s="4" t="s">
        <x:v>2856</x:v>
      </x:c>
      <x:c r="B48" s="4" t="s">
        <x:v>1243</x:v>
      </x:c>
      <x:c r="C48" s="4" t="s">
        <x:v>2789</x:v>
      </x:c>
      <x:c r="D48" s="4" t="s">
        <x:v>107</x:v>
      </x:c>
      <x:c r="E48" s="4" t="s">
        <x:v>107</x:v>
      </x:c>
      <x:c r="F48" s="4" t="s">
        <x:v>107</x:v>
      </x:c>
      <x:c r="G48" s="4" t="s">
        <x:v>2855</x:v>
      </x:c>
      <x:c r="H48" s="4" t="s">
        <x:v>171</x:v>
      </x:c>
      <x:c r="I48" s="4" t="s">
        <x:v>172</x:v>
      </x:c>
      <x:c r="J48" s="4" t="s">
        <x:v>2791</x:v>
      </x:c>
      <x:c r="K48" s="4" t="s">
        <x:v>107</x:v>
      </x:c>
      <x:c r="L48" s="4" t="s">
        <x:v>169</x:v>
      </x:c>
      <x:c r="M48" s="4" t="s">
        <x:v>2825</x:v>
      </x:c>
      <x:c r="N48" s="4" t="s">
        <x:v>2794</x:v>
      </x:c>
      <x:c r="O48" s="4" t="s">
        <x:v>2795</x:v>
      </x:c>
      <x:c r="P48" s="4" t="s">
        <x:v>2796</x:v>
      </x:c>
    </x:row>
    <x:row r="49">
      <x:c r="A49" s="4" t="s">
        <x:v>2857</x:v>
      </x:c>
      <x:c r="B49" s="4" t="s">
        <x:v>1244</x:v>
      </x:c>
      <x:c r="C49" s="4" t="s">
        <x:v>2789</x:v>
      </x:c>
      <x:c r="D49" s="4" t="s">
        <x:v>107</x:v>
      </x:c>
      <x:c r="E49" s="4" t="s">
        <x:v>107</x:v>
      </x:c>
      <x:c r="F49" s="4" t="s">
        <x:v>107</x:v>
      </x:c>
      <x:c r="G49" s="4" t="s">
        <x:v>2855</x:v>
      </x:c>
      <x:c r="H49" s="4" t="s">
        <x:v>171</x:v>
      </x:c>
      <x:c r="I49" s="4" t="s">
        <x:v>172</x:v>
      </x:c>
      <x:c r="J49" s="4" t="s">
        <x:v>2791</x:v>
      </x:c>
      <x:c r="K49" s="4" t="s">
        <x:v>107</x:v>
      </x:c>
      <x:c r="L49" s="4" t="s">
        <x:v>169</x:v>
      </x:c>
      <x:c r="M49" s="4" t="s">
        <x:v>2825</x:v>
      </x:c>
      <x:c r="N49" s="4" t="s">
        <x:v>2794</x:v>
      </x:c>
      <x:c r="O49" s="4" t="s">
        <x:v>2795</x:v>
      </x:c>
      <x:c r="P49" s="4" t="s">
        <x:v>2796</x:v>
      </x:c>
    </x:row>
    <x:row r="50">
      <x:c r="A50" s="4" t="s">
        <x:v>2858</x:v>
      </x:c>
      <x:c r="B50" s="4" t="s">
        <x:v>1245</x:v>
      </x:c>
      <x:c r="C50" s="4" t="s">
        <x:v>189</x:v>
      </x:c>
      <x:c r="D50" s="4" t="s">
        <x:v>107</x:v>
      </x:c>
      <x:c r="E50" s="4" t="s">
        <x:v>107</x:v>
      </x:c>
      <x:c r="F50" s="4" t="s">
        <x:v>107</x:v>
      </x:c>
      <x:c r="G50" s="4" t="s">
        <x:v>2855</x:v>
      </x:c>
      <x:c r="H50" s="4" t="s">
        <x:v>171</x:v>
      </x:c>
      <x:c r="I50" s="4" t="s">
        <x:v>172</x:v>
      </x:c>
      <x:c r="J50" s="4" t="s">
        <x:v>2791</x:v>
      </x:c>
      <x:c r="K50" s="4" t="s">
        <x:v>107</x:v>
      </x:c>
      <x:c r="L50" s="4" t="s">
        <x:v>169</x:v>
      </x:c>
      <x:c r="M50" s="4" t="s">
        <x:v>2825</x:v>
      </x:c>
      <x:c r="N50" s="4" t="s">
        <x:v>2794</x:v>
      </x:c>
      <x:c r="O50" s="4" t="s">
        <x:v>2795</x:v>
      </x:c>
      <x:c r="P50" s="4" t="s">
        <x:v>2796</x:v>
      </x:c>
    </x:row>
    <x:row r="51">
      <x:c r="A51" s="4" t="s">
        <x:v>2859</x:v>
      </x:c>
      <x:c r="B51" s="4" t="s">
        <x:v>1246</x:v>
      </x:c>
      <x:c r="C51" s="4" t="s">
        <x:v>2789</x:v>
      </x:c>
      <x:c r="D51" s="4" t="s">
        <x:v>107</x:v>
      </x:c>
      <x:c r="E51" s="4" t="s">
        <x:v>107</x:v>
      </x:c>
      <x:c r="F51" s="4" t="s">
        <x:v>107</x:v>
      </x:c>
      <x:c r="G51" s="4" t="s">
        <x:v>2855</x:v>
      </x:c>
      <x:c r="H51" s="4" t="s">
        <x:v>171</x:v>
      </x:c>
      <x:c r="I51" s="4" t="s">
        <x:v>172</x:v>
      </x:c>
      <x:c r="J51" s="4" t="s">
        <x:v>2791</x:v>
      </x:c>
      <x:c r="K51" s="4" t="s">
        <x:v>107</x:v>
      </x:c>
      <x:c r="L51" s="4" t="s">
        <x:v>169</x:v>
      </x:c>
      <x:c r="M51" s="4" t="s">
        <x:v>2825</x:v>
      </x:c>
      <x:c r="N51" s="4" t="s">
        <x:v>2794</x:v>
      </x:c>
      <x:c r="O51" s="4" t="s">
        <x:v>2795</x:v>
      </x:c>
      <x:c r="P51" s="4" t="s">
        <x:v>2796</x:v>
      </x:c>
    </x:row>
    <x:row r="52">
      <x:c r="A52" s="4" t="s">
        <x:v>2860</x:v>
      </x:c>
      <x:c r="B52" s="4" t="s">
        <x:v>1247</x:v>
      </x:c>
      <x:c r="C52" s="4" t="s">
        <x:v>2789</x:v>
      </x:c>
      <x:c r="D52" s="4" t="s">
        <x:v>107</x:v>
      </x:c>
      <x:c r="E52" s="4" t="s">
        <x:v>107</x:v>
      </x:c>
      <x:c r="F52" s="4" t="s">
        <x:v>107</x:v>
      </x:c>
      <x:c r="G52" s="4" t="s">
        <x:v>2855</x:v>
      </x:c>
      <x:c r="H52" s="4" t="s">
        <x:v>171</x:v>
      </x:c>
      <x:c r="I52" s="4" t="s">
        <x:v>172</x:v>
      </x:c>
      <x:c r="J52" s="4" t="s">
        <x:v>2791</x:v>
      </x:c>
      <x:c r="K52" s="4" t="s">
        <x:v>107</x:v>
      </x:c>
      <x:c r="L52" s="4" t="s">
        <x:v>169</x:v>
      </x:c>
      <x:c r="M52" s="4" t="s">
        <x:v>2825</x:v>
      </x:c>
      <x:c r="N52" s="4" t="s">
        <x:v>2794</x:v>
      </x:c>
      <x:c r="O52" s="4" t="s">
        <x:v>2795</x:v>
      </x:c>
      <x:c r="P52" s="4" t="s">
        <x:v>2796</x:v>
      </x:c>
    </x:row>
    <x:row r="53">
      <x:c r="A53" s="4" t="s">
        <x:v>2861</x:v>
      </x:c>
      <x:c r="B53" s="4" t="s">
        <x:v>1248</x:v>
      </x:c>
      <x:c r="C53" s="4" t="s">
        <x:v>2789</x:v>
      </x:c>
      <x:c r="D53" s="4" t="s">
        <x:v>107</x:v>
      </x:c>
      <x:c r="E53" s="4" t="s">
        <x:v>107</x:v>
      </x:c>
      <x:c r="F53" s="4" t="s">
        <x:v>107</x:v>
      </x:c>
      <x:c r="G53" s="4" t="s">
        <x:v>2855</x:v>
      </x:c>
      <x:c r="H53" s="4" t="s">
        <x:v>171</x:v>
      </x:c>
      <x:c r="I53" s="4" t="s">
        <x:v>172</x:v>
      </x:c>
      <x:c r="J53" s="4" t="s">
        <x:v>2791</x:v>
      </x:c>
      <x:c r="K53" s="4" t="s">
        <x:v>107</x:v>
      </x:c>
      <x:c r="L53" s="4" t="s">
        <x:v>169</x:v>
      </x:c>
      <x:c r="M53" s="4" t="s">
        <x:v>2825</x:v>
      </x:c>
      <x:c r="N53" s="4" t="s">
        <x:v>2794</x:v>
      </x:c>
      <x:c r="O53" s="4" t="s">
        <x:v>2795</x:v>
      </x:c>
      <x:c r="P53" s="4" t="s">
        <x:v>2796</x:v>
      </x:c>
    </x:row>
    <x:row r="54">
      <x:c r="A54" s="4" t="s">
        <x:v>2862</x:v>
      </x:c>
      <x:c r="B54" s="4" t="s">
        <x:v>1249</x:v>
      </x:c>
      <x:c r="C54" s="4" t="s">
        <x:v>2789</x:v>
      </x:c>
      <x:c r="D54" s="4" t="s">
        <x:v>107</x:v>
      </x:c>
      <x:c r="E54" s="4" t="s">
        <x:v>107</x:v>
      </x:c>
      <x:c r="F54" s="4" t="s">
        <x:v>107</x:v>
      </x:c>
      <x:c r="G54" s="4" t="s">
        <x:v>2855</x:v>
      </x:c>
      <x:c r="H54" s="4" t="s">
        <x:v>171</x:v>
      </x:c>
      <x:c r="I54" s="4" t="s">
        <x:v>172</x:v>
      </x:c>
      <x:c r="J54" s="4" t="s">
        <x:v>2791</x:v>
      </x:c>
      <x:c r="K54" s="4" t="s">
        <x:v>107</x:v>
      </x:c>
      <x:c r="L54" s="4" t="s">
        <x:v>169</x:v>
      </x:c>
      <x:c r="M54" s="4" t="s">
        <x:v>2825</x:v>
      </x:c>
      <x:c r="N54" s="4" t="s">
        <x:v>2794</x:v>
      </x:c>
      <x:c r="O54" s="4" t="s">
        <x:v>2795</x:v>
      </x:c>
      <x:c r="P54" s="4" t="s">
        <x:v>2796</x:v>
      </x:c>
    </x:row>
    <x:row r="55">
      <x:c r="A55" s="4" t="s">
        <x:v>2863</x:v>
      </x:c>
      <x:c r="B55" s="4" t="s">
        <x:v>1250</x:v>
      </x:c>
      <x:c r="C55" s="4" t="s">
        <x:v>2789</x:v>
      </x:c>
      <x:c r="D55" s="4" t="s">
        <x:v>107</x:v>
      </x:c>
      <x:c r="E55" s="4" t="s">
        <x:v>107</x:v>
      </x:c>
      <x:c r="F55" s="4" t="s">
        <x:v>107</x:v>
      </x:c>
      <x:c r="G55" s="4" t="s">
        <x:v>2855</x:v>
      </x:c>
      <x:c r="H55" s="4" t="s">
        <x:v>171</x:v>
      </x:c>
      <x:c r="I55" s="4" t="s">
        <x:v>172</x:v>
      </x:c>
      <x:c r="J55" s="4" t="s">
        <x:v>2791</x:v>
      </x:c>
      <x:c r="K55" s="4" t="s">
        <x:v>107</x:v>
      </x:c>
      <x:c r="L55" s="4" t="s">
        <x:v>169</x:v>
      </x:c>
      <x:c r="M55" s="4" t="s">
        <x:v>2825</x:v>
      </x:c>
      <x:c r="N55" s="4" t="s">
        <x:v>2794</x:v>
      </x:c>
      <x:c r="O55" s="4" t="s">
        <x:v>2795</x:v>
      </x:c>
      <x:c r="P55" s="4" t="s">
        <x:v>2796</x:v>
      </x:c>
    </x:row>
    <x:row r="56">
      <x:c r="A56" s="4" t="s">
        <x:v>2864</x:v>
      </x:c>
      <x:c r="B56" s="4" t="s">
        <x:v>1251</x:v>
      </x:c>
      <x:c r="C56" s="4" t="s">
        <x:v>2789</x:v>
      </x:c>
      <x:c r="D56" s="4" t="s">
        <x:v>107</x:v>
      </x:c>
      <x:c r="E56" s="4" t="s">
        <x:v>107</x:v>
      </x:c>
      <x:c r="F56" s="4" t="s">
        <x:v>107</x:v>
      </x:c>
      <x:c r="G56" s="4" t="s">
        <x:v>2855</x:v>
      </x:c>
      <x:c r="H56" s="4" t="s">
        <x:v>171</x:v>
      </x:c>
      <x:c r="I56" s="4" t="s">
        <x:v>172</x:v>
      </x:c>
      <x:c r="J56" s="4" t="s">
        <x:v>2791</x:v>
      </x:c>
      <x:c r="K56" s="4" t="s">
        <x:v>107</x:v>
      </x:c>
      <x:c r="L56" s="4" t="s">
        <x:v>169</x:v>
      </x:c>
      <x:c r="M56" s="4" t="s">
        <x:v>2825</x:v>
      </x:c>
      <x:c r="N56" s="4" t="s">
        <x:v>2794</x:v>
      </x:c>
      <x:c r="O56" s="4" t="s">
        <x:v>2795</x:v>
      </x:c>
      <x:c r="P56" s="4" t="s">
        <x:v>2796</x:v>
      </x:c>
    </x:row>
    <x:row r="57">
      <x:c r="A57" s="4" t="s">
        <x:v>2865</x:v>
      </x:c>
      <x:c r="B57" s="4" t="s">
        <x:v>1252</x:v>
      </x:c>
      <x:c r="C57" s="4" t="s">
        <x:v>189</x:v>
      </x:c>
      <x:c r="D57" s="4" t="s">
        <x:v>107</x:v>
      </x:c>
      <x:c r="E57" s="4" t="s">
        <x:v>107</x:v>
      </x:c>
      <x:c r="F57" s="4" t="s">
        <x:v>107</x:v>
      </x:c>
      <x:c r="G57" s="4" t="s">
        <x:v>2855</x:v>
      </x:c>
      <x:c r="H57" s="4" t="s">
        <x:v>171</x:v>
      </x:c>
      <x:c r="I57" s="4" t="s">
        <x:v>172</x:v>
      </x:c>
      <x:c r="J57" s="4" t="s">
        <x:v>2791</x:v>
      </x:c>
      <x:c r="K57" s="4" t="s">
        <x:v>107</x:v>
      </x:c>
      <x:c r="L57" s="4" t="s">
        <x:v>169</x:v>
      </x:c>
      <x:c r="M57" s="4" t="s">
        <x:v>2825</x:v>
      </x:c>
      <x:c r="N57" s="4" t="s">
        <x:v>2794</x:v>
      </x:c>
      <x:c r="O57" s="4" t="s">
        <x:v>2795</x:v>
      </x:c>
      <x:c r="P57" s="4" t="s">
        <x:v>2796</x:v>
      </x:c>
    </x:row>
    <x:row r="58">
      <x:c r="A58" s="4" t="s">
        <x:v>2866</x:v>
      </x:c>
      <x:c r="B58" s="4" t="s">
        <x:v>1253</x:v>
      </x:c>
      <x:c r="C58" s="4" t="s">
        <x:v>2789</x:v>
      </x:c>
      <x:c r="D58" s="4" t="s">
        <x:v>107</x:v>
      </x:c>
      <x:c r="E58" s="4" t="s">
        <x:v>107</x:v>
      </x:c>
      <x:c r="F58" s="4" t="s">
        <x:v>107</x:v>
      </x:c>
      <x:c r="G58" s="4" t="s">
        <x:v>2855</x:v>
      </x:c>
      <x:c r="H58" s="4" t="s">
        <x:v>171</x:v>
      </x:c>
      <x:c r="I58" s="4" t="s">
        <x:v>172</x:v>
      </x:c>
      <x:c r="J58" s="4" t="s">
        <x:v>2791</x:v>
      </x:c>
      <x:c r="K58" s="4" t="s">
        <x:v>107</x:v>
      </x:c>
      <x:c r="L58" s="4" t="s">
        <x:v>169</x:v>
      </x:c>
      <x:c r="M58" s="4" t="s">
        <x:v>2825</x:v>
      </x:c>
      <x:c r="N58" s="4" t="s">
        <x:v>2794</x:v>
      </x:c>
      <x:c r="O58" s="4" t="s">
        <x:v>2795</x:v>
      </x:c>
      <x:c r="P58" s="4" t="s">
        <x:v>2796</x:v>
      </x:c>
    </x:row>
    <x:row r="59">
      <x:c r="A59" s="4" t="s">
        <x:v>2867</x:v>
      </x:c>
      <x:c r="B59" s="4" t="s">
        <x:v>1254</x:v>
      </x:c>
      <x:c r="C59" s="4" t="s">
        <x:v>2789</x:v>
      </x:c>
      <x:c r="D59" s="4" t="s">
        <x:v>107</x:v>
      </x:c>
      <x:c r="E59" s="4" t="s">
        <x:v>107</x:v>
      </x:c>
      <x:c r="F59" s="4" t="s">
        <x:v>107</x:v>
      </x:c>
      <x:c r="G59" s="4" t="s">
        <x:v>2855</x:v>
      </x:c>
      <x:c r="H59" s="4" t="s">
        <x:v>171</x:v>
      </x:c>
      <x:c r="I59" s="4" t="s">
        <x:v>172</x:v>
      </x:c>
      <x:c r="J59" s="4" t="s">
        <x:v>2791</x:v>
      </x:c>
      <x:c r="K59" s="4" t="s">
        <x:v>107</x:v>
      </x:c>
      <x:c r="L59" s="4" t="s">
        <x:v>169</x:v>
      </x:c>
      <x:c r="M59" s="4" t="s">
        <x:v>2825</x:v>
      </x:c>
      <x:c r="N59" s="4" t="s">
        <x:v>2794</x:v>
      </x:c>
      <x:c r="O59" s="4" t="s">
        <x:v>2795</x:v>
      </x:c>
      <x:c r="P59" s="4" t="s">
        <x:v>2796</x:v>
      </x:c>
    </x:row>
    <x:row r="60">
      <x:c r="A60" s="4" t="s">
        <x:v>2868</x:v>
      </x:c>
      <x:c r="B60" s="4" t="s">
        <x:v>1255</x:v>
      </x:c>
      <x:c r="C60" s="4" t="s">
        <x:v>2789</x:v>
      </x:c>
      <x:c r="D60" s="4" t="s">
        <x:v>107</x:v>
      </x:c>
      <x:c r="E60" s="4" t="s">
        <x:v>107</x:v>
      </x:c>
      <x:c r="F60" s="4" t="s">
        <x:v>107</x:v>
      </x:c>
      <x:c r="G60" s="4" t="s">
        <x:v>2855</x:v>
      </x:c>
      <x:c r="H60" s="4" t="s">
        <x:v>171</x:v>
      </x:c>
      <x:c r="I60" s="4" t="s">
        <x:v>172</x:v>
      </x:c>
      <x:c r="J60" s="4" t="s">
        <x:v>2791</x:v>
      </x:c>
      <x:c r="K60" s="4" t="s">
        <x:v>107</x:v>
      </x:c>
      <x:c r="L60" s="4" t="s">
        <x:v>169</x:v>
      </x:c>
      <x:c r="M60" s="4" t="s">
        <x:v>2825</x:v>
      </x:c>
      <x:c r="N60" s="4" t="s">
        <x:v>2794</x:v>
      </x:c>
      <x:c r="O60" s="4" t="s">
        <x:v>2795</x:v>
      </x:c>
      <x:c r="P60" s="4" t="s">
        <x:v>2796</x:v>
      </x:c>
    </x:row>
    <x:row r="61">
      <x:c r="A61" s="4" t="s">
        <x:v>2869</x:v>
      </x:c>
      <x:c r="B61" s="4" t="s">
        <x:v>1256</x:v>
      </x:c>
      <x:c r="C61" s="4" t="s">
        <x:v>2789</x:v>
      </x:c>
      <x:c r="D61" s="4" t="s">
        <x:v>107</x:v>
      </x:c>
      <x:c r="E61" s="4" t="s">
        <x:v>107</x:v>
      </x:c>
      <x:c r="F61" s="4" t="s">
        <x:v>107</x:v>
      </x:c>
      <x:c r="G61" s="4" t="s">
        <x:v>2855</x:v>
      </x:c>
      <x:c r="H61" s="4" t="s">
        <x:v>171</x:v>
      </x:c>
      <x:c r="I61" s="4" t="s">
        <x:v>172</x:v>
      </x:c>
      <x:c r="J61" s="4" t="s">
        <x:v>2791</x:v>
      </x:c>
      <x:c r="K61" s="4" t="s">
        <x:v>107</x:v>
      </x:c>
      <x:c r="L61" s="4" t="s">
        <x:v>2792</x:v>
      </x:c>
      <x:c r="M61" s="4" t="s">
        <x:v>2793</x:v>
      </x:c>
      <x:c r="N61" s="4" t="s">
        <x:v>2794</x:v>
      </x:c>
      <x:c r="O61" s="4" t="s">
        <x:v>2795</x:v>
      </x:c>
      <x:c r="P61" s="4" t="s">
        <x:v>2796</x:v>
      </x:c>
    </x:row>
    <x:row r="62">
      <x:c r="A62" s="4" t="s">
        <x:v>2870</x:v>
      </x:c>
      <x:c r="B62" s="4" t="s">
        <x:v>1257</x:v>
      </x:c>
      <x:c r="C62" s="4" t="s">
        <x:v>2871</x:v>
      </x:c>
      <x:c r="D62" s="4" t="s">
        <x:v>107</x:v>
      </x:c>
      <x:c r="E62" s="4" t="s">
        <x:v>107</x:v>
      </x:c>
      <x:c r="F62" s="4" t="s">
        <x:v>107</x:v>
      </x:c>
      <x:c r="G62" s="4" t="s">
        <x:v>2855</x:v>
      </x:c>
      <x:c r="H62" s="4" t="s">
        <x:v>171</x:v>
      </x:c>
      <x:c r="I62" s="4" t="s">
        <x:v>172</x:v>
      </x:c>
      <x:c r="J62" s="4" t="s">
        <x:v>2791</x:v>
      </x:c>
      <x:c r="K62" s="4" t="s">
        <x:v>107</x:v>
      </x:c>
      <x:c r="L62" s="4" t="s">
        <x:v>2792</x:v>
      </x:c>
      <x:c r="M62" s="4" t="s">
        <x:v>2793</x:v>
      </x:c>
      <x:c r="N62" s="4" t="s">
        <x:v>2794</x:v>
      </x:c>
      <x:c r="O62" s="4" t="s">
        <x:v>2795</x:v>
      </x:c>
      <x:c r="P62" s="4" t="s">
        <x:v>2796</x:v>
      </x:c>
    </x:row>
    <x:row r="63">
      <x:c r="A63" s="4" t="s">
        <x:v>2872</x:v>
      </x:c>
      <x:c r="B63" s="4" t="s">
        <x:v>1258</x:v>
      </x:c>
      <x:c r="C63" s="4" t="s">
        <x:v>2819</x:v>
      </x:c>
      <x:c r="D63" s="4" t="s">
        <x:v>107</x:v>
      </x:c>
      <x:c r="E63" s="4" t="s">
        <x:v>107</x:v>
      </x:c>
      <x:c r="F63" s="4" t="s">
        <x:v>107</x:v>
      </x:c>
      <x:c r="G63" s="4" t="s">
        <x:v>2855</x:v>
      </x:c>
      <x:c r="H63" s="4" t="s">
        <x:v>171</x:v>
      </x:c>
      <x:c r="I63" s="4" t="s">
        <x:v>172</x:v>
      </x:c>
      <x:c r="J63" s="4" t="s">
        <x:v>2791</x:v>
      </x:c>
      <x:c r="K63" s="4" t="s">
        <x:v>107</x:v>
      </x:c>
      <x:c r="L63" s="4" t="s">
        <x:v>2792</x:v>
      </x:c>
      <x:c r="M63" s="4" t="s">
        <x:v>2793</x:v>
      </x:c>
      <x:c r="N63" s="4" t="s">
        <x:v>2794</x:v>
      </x:c>
      <x:c r="O63" s="4" t="s">
        <x:v>2795</x:v>
      </x:c>
      <x:c r="P63" s="4" t="s">
        <x:v>2796</x:v>
      </x:c>
    </x:row>
    <x:row r="64">
      <x:c r="A64" s="4" t="s">
        <x:v>2873</x:v>
      </x:c>
      <x:c r="B64" s="4" t="s">
        <x:v>1259</x:v>
      </x:c>
      <x:c r="C64" s="4" t="s">
        <x:v>2810</x:v>
      </x:c>
      <x:c r="D64" s="4" t="s">
        <x:v>107</x:v>
      </x:c>
      <x:c r="E64" s="4" t="s">
        <x:v>107</x:v>
      </x:c>
      <x:c r="F64" s="4" t="s">
        <x:v>107</x:v>
      </x:c>
      <x:c r="G64" s="4" t="s">
        <x:v>2855</x:v>
      </x:c>
      <x:c r="H64" s="4" t="s">
        <x:v>171</x:v>
      </x:c>
      <x:c r="I64" s="4" t="s">
        <x:v>172</x:v>
      </x:c>
      <x:c r="J64" s="4" t="s">
        <x:v>2791</x:v>
      </x:c>
      <x:c r="K64" s="4" t="s">
        <x:v>107</x:v>
      </x:c>
      <x:c r="L64" s="4" t="s">
        <x:v>2792</x:v>
      </x:c>
      <x:c r="M64" s="4" t="s">
        <x:v>2793</x:v>
      </x:c>
      <x:c r="N64" s="4" t="s">
        <x:v>2794</x:v>
      </x:c>
      <x:c r="O64" s="4" t="s">
        <x:v>2795</x:v>
      </x:c>
      <x:c r="P64" s="4" t="s">
        <x:v>2796</x:v>
      </x:c>
    </x:row>
    <x:row r="65">
      <x:c r="A65" s="4" t="s">
        <x:v>2874</x:v>
      </x:c>
      <x:c r="B65" s="4" t="s">
        <x:v>1260</x:v>
      </x:c>
      <x:c r="C65" s="4" t="s">
        <x:v>2789</x:v>
      </x:c>
      <x:c r="D65" s="4" t="s">
        <x:v>107</x:v>
      </x:c>
      <x:c r="E65" s="4" t="s">
        <x:v>107</x:v>
      </x:c>
      <x:c r="F65" s="4" t="s">
        <x:v>107</x:v>
      </x:c>
      <x:c r="G65" s="4" t="s">
        <x:v>2875</x:v>
      </x:c>
      <x:c r="H65" s="4" t="s">
        <x:v>171</x:v>
      </x:c>
      <x:c r="I65" s="4" t="s">
        <x:v>172</x:v>
      </x:c>
      <x:c r="J65" s="4" t="s">
        <x:v>2791</x:v>
      </x:c>
      <x:c r="K65" s="4" t="s">
        <x:v>107</x:v>
      </x:c>
      <x:c r="L65" s="4" t="s">
        <x:v>2802</x:v>
      </x:c>
      <x:c r="M65" s="4" t="s">
        <x:v>2803</x:v>
      </x:c>
      <x:c r="N65" s="4" t="s">
        <x:v>2794</x:v>
      </x:c>
      <x:c r="O65" s="4" t="s">
        <x:v>2795</x:v>
      </x:c>
      <x:c r="P65" s="4" t="s">
        <x:v>2796</x:v>
      </x:c>
    </x:row>
    <x:row r="66">
      <x:c r="A66" s="4" t="s">
        <x:v>2876</x:v>
      </x:c>
      <x:c r="B66" s="4" t="s">
        <x:v>1261</x:v>
      </x:c>
      <x:c r="C66" s="4" t="s">
        <x:v>2812</x:v>
      </x:c>
      <x:c r="D66" s="4" t="s">
        <x:v>107</x:v>
      </x:c>
      <x:c r="E66" s="4" t="s">
        <x:v>107</x:v>
      </x:c>
      <x:c r="F66" s="4" t="s">
        <x:v>107</x:v>
      </x:c>
      <x:c r="G66" s="4" t="s">
        <x:v>2875</x:v>
      </x:c>
      <x:c r="H66" s="4" t="s">
        <x:v>171</x:v>
      </x:c>
      <x:c r="I66" s="4" t="s">
        <x:v>172</x:v>
      </x:c>
      <x:c r="J66" s="4" t="s">
        <x:v>2791</x:v>
      </x:c>
      <x:c r="K66" s="4" t="s">
        <x:v>107</x:v>
      </x:c>
      <x:c r="L66" s="4" t="s">
        <x:v>2813</x:v>
      </x:c>
      <x:c r="M66" s="4" t="s">
        <x:v>2814</x:v>
      </x:c>
      <x:c r="N66" s="4" t="s">
        <x:v>2794</x:v>
      </x:c>
      <x:c r="O66" s="4" t="s">
        <x:v>2795</x:v>
      </x:c>
      <x:c r="P66" s="4" t="s">
        <x:v>2796</x:v>
      </x:c>
    </x:row>
    <x:row r="67">
      <x:c r="A67" s="4" t="s">
        <x:v>2877</x:v>
      </x:c>
      <x:c r="B67" s="4" t="s">
        <x:v>1262</x:v>
      </x:c>
      <x:c r="C67" s="4" t="s">
        <x:v>2819</x:v>
      </x:c>
      <x:c r="D67" s="4" t="s">
        <x:v>107</x:v>
      </x:c>
      <x:c r="E67" s="4" t="s">
        <x:v>107</x:v>
      </x:c>
      <x:c r="F67" s="4" t="s">
        <x:v>107</x:v>
      </x:c>
      <x:c r="G67" s="4" t="s">
        <x:v>2875</x:v>
      </x:c>
      <x:c r="H67" s="4" t="s">
        <x:v>171</x:v>
      </x:c>
      <x:c r="I67" s="4" t="s">
        <x:v>172</x:v>
      </x:c>
      <x:c r="J67" s="4" t="s">
        <x:v>2791</x:v>
      </x:c>
      <x:c r="K67" s="4" t="s">
        <x:v>107</x:v>
      </x:c>
      <x:c r="L67" s="4" t="s">
        <x:v>2820</x:v>
      </x:c>
      <x:c r="M67" s="4" t="s">
        <x:v>2821</x:v>
      </x:c>
      <x:c r="N67" s="4" t="s">
        <x:v>2794</x:v>
      </x:c>
      <x:c r="O67" s="4" t="s">
        <x:v>2795</x:v>
      </x:c>
      <x:c r="P67" s="4" t="s">
        <x:v>2796</x:v>
      </x:c>
    </x:row>
    <x:row r="68">
      <x:c r="A68" s="4" t="s">
        <x:v>2878</x:v>
      </x:c>
      <x:c r="B68" s="4" t="s">
        <x:v>1263</x:v>
      </x:c>
      <x:c r="C68" s="4" t="s">
        <x:v>2871</x:v>
      </x:c>
      <x:c r="D68" s="4" t="s">
        <x:v>107</x:v>
      </x:c>
      <x:c r="E68" s="4" t="s">
        <x:v>107</x:v>
      </x:c>
      <x:c r="F68" s="4" t="s">
        <x:v>107</x:v>
      </x:c>
      <x:c r="G68" s="4" t="s">
        <x:v>2875</x:v>
      </x:c>
      <x:c r="H68" s="4" t="s">
        <x:v>171</x:v>
      </x:c>
      <x:c r="I68" s="4" t="s">
        <x:v>172</x:v>
      </x:c>
      <x:c r="J68" s="4" t="s">
        <x:v>2791</x:v>
      </x:c>
      <x:c r="K68" s="4" t="s">
        <x:v>107</x:v>
      </x:c>
      <x:c r="L68" s="4" t="s">
        <x:v>2813</x:v>
      </x:c>
      <x:c r="M68" s="4" t="s">
        <x:v>2814</x:v>
      </x:c>
      <x:c r="N68" s="4" t="s">
        <x:v>2794</x:v>
      </x:c>
      <x:c r="O68" s="4" t="s">
        <x:v>2795</x:v>
      </x:c>
      <x:c r="P68" s="4" t="s">
        <x:v>2796</x:v>
      </x:c>
    </x:row>
    <x:row r="69">
      <x:c r="A69" s="4" t="s">
        <x:v>2879</x:v>
      </x:c>
      <x:c r="B69" s="4" t="s">
        <x:v>1264</x:v>
      </x:c>
      <x:c r="C69" s="4" t="s">
        <x:v>2871</x:v>
      </x:c>
      <x:c r="D69" s="4" t="s">
        <x:v>107</x:v>
      </x:c>
      <x:c r="E69" s="4" t="s">
        <x:v>107</x:v>
      </x:c>
      <x:c r="F69" s="4" t="s">
        <x:v>107</x:v>
      </x:c>
      <x:c r="G69" s="4" t="s">
        <x:v>2875</x:v>
      </x:c>
      <x:c r="H69" s="4" t="s">
        <x:v>171</x:v>
      </x:c>
      <x:c r="I69" s="4" t="s">
        <x:v>172</x:v>
      </x:c>
      <x:c r="J69" s="4" t="s">
        <x:v>2791</x:v>
      </x:c>
      <x:c r="K69" s="4" t="s">
        <x:v>107</x:v>
      </x:c>
      <x:c r="L69" s="4" t="s">
        <x:v>2813</x:v>
      </x:c>
      <x:c r="M69" s="4" t="s">
        <x:v>2814</x:v>
      </x:c>
      <x:c r="N69" s="4" t="s">
        <x:v>2794</x:v>
      </x:c>
      <x:c r="O69" s="4" t="s">
        <x:v>2795</x:v>
      </x:c>
      <x:c r="P69" s="4" t="s">
        <x:v>2796</x:v>
      </x:c>
    </x:row>
    <x:row r="70">
      <x:c r="A70" s="4" t="s">
        <x:v>2880</x:v>
      </x:c>
      <x:c r="B70" s="4" t="s">
        <x:v>1265</x:v>
      </x:c>
      <x:c r="C70" s="4" t="s">
        <x:v>2871</x:v>
      </x:c>
      <x:c r="D70" s="4" t="s">
        <x:v>107</x:v>
      </x:c>
      <x:c r="E70" s="4" t="s">
        <x:v>107</x:v>
      </x:c>
      <x:c r="F70" s="4" t="s">
        <x:v>107</x:v>
      </x:c>
      <x:c r="G70" s="4" t="s">
        <x:v>2875</x:v>
      </x:c>
      <x:c r="H70" s="4" t="s">
        <x:v>171</x:v>
      </x:c>
      <x:c r="I70" s="4" t="s">
        <x:v>172</x:v>
      </x:c>
      <x:c r="J70" s="4" t="s">
        <x:v>2791</x:v>
      </x:c>
      <x:c r="K70" s="4" t="s">
        <x:v>107</x:v>
      </x:c>
      <x:c r="L70" s="4" t="s">
        <x:v>2813</x:v>
      </x:c>
      <x:c r="M70" s="4" t="s">
        <x:v>2814</x:v>
      </x:c>
      <x:c r="N70" s="4" t="s">
        <x:v>2794</x:v>
      </x:c>
      <x:c r="O70" s="4" t="s">
        <x:v>2795</x:v>
      </x:c>
      <x:c r="P70" s="4" t="s">
        <x:v>2796</x:v>
      </x:c>
    </x:row>
    <x:row r="71">
      <x:c r="A71" s="4" t="s">
        <x:v>2881</x:v>
      </x:c>
      <x:c r="B71" s="4" t="s">
        <x:v>1266</x:v>
      </x:c>
      <x:c r="C71" s="4" t="s">
        <x:v>2819</x:v>
      </x:c>
      <x:c r="D71" s="4" t="s">
        <x:v>107</x:v>
      </x:c>
      <x:c r="E71" s="4" t="s">
        <x:v>107</x:v>
      </x:c>
      <x:c r="F71" s="4" t="s">
        <x:v>107</x:v>
      </x:c>
      <x:c r="G71" s="4" t="s">
        <x:v>2875</x:v>
      </x:c>
      <x:c r="H71" s="4" t="s">
        <x:v>171</x:v>
      </x:c>
      <x:c r="I71" s="4" t="s">
        <x:v>172</x:v>
      </x:c>
      <x:c r="J71" s="4" t="s">
        <x:v>2791</x:v>
      </x:c>
      <x:c r="K71" s="4" t="s">
        <x:v>107</x:v>
      </x:c>
      <x:c r="L71" s="4" t="s">
        <x:v>2820</x:v>
      </x:c>
      <x:c r="M71" s="4" t="s">
        <x:v>2821</x:v>
      </x:c>
      <x:c r="N71" s="4" t="s">
        <x:v>2794</x:v>
      </x:c>
      <x:c r="O71" s="4" t="s">
        <x:v>2795</x:v>
      </x:c>
      <x:c r="P71" s="4" t="s">
        <x:v>2796</x:v>
      </x:c>
    </x:row>
    <x:row r="72">
      <x:c r="A72" s="4" t="s">
        <x:v>2882</x:v>
      </x:c>
      <x:c r="B72" s="4" t="s">
        <x:v>1267</x:v>
      </x:c>
      <x:c r="C72" s="4" t="s">
        <x:v>2871</x:v>
      </x:c>
      <x:c r="D72" s="4" t="s">
        <x:v>107</x:v>
      </x:c>
      <x:c r="E72" s="4" t="s">
        <x:v>107</x:v>
      </x:c>
      <x:c r="F72" s="4" t="s">
        <x:v>107</x:v>
      </x:c>
      <x:c r="G72" s="4" t="s">
        <x:v>2875</x:v>
      </x:c>
      <x:c r="H72" s="4" t="s">
        <x:v>171</x:v>
      </x:c>
      <x:c r="I72" s="4" t="s">
        <x:v>172</x:v>
      </x:c>
      <x:c r="J72" s="4" t="s">
        <x:v>2791</x:v>
      </x:c>
      <x:c r="K72" s="4" t="s">
        <x:v>107</x:v>
      </x:c>
      <x:c r="L72" s="4" t="s">
        <x:v>2813</x:v>
      </x:c>
      <x:c r="M72" s="4" t="s">
        <x:v>2814</x:v>
      </x:c>
      <x:c r="N72" s="4" t="s">
        <x:v>2794</x:v>
      </x:c>
      <x:c r="O72" s="4" t="s">
        <x:v>2795</x:v>
      </x:c>
      <x:c r="P72" s="4" t="s">
        <x:v>2796</x:v>
      </x:c>
    </x:row>
    <x:row r="73">
      <x:c r="A73" s="4" t="s">
        <x:v>2883</x:v>
      </x:c>
      <x:c r="B73" s="4" t="s">
        <x:v>1268</x:v>
      </x:c>
      <x:c r="C73" s="4" t="s">
        <x:v>2819</x:v>
      </x:c>
      <x:c r="D73" s="4" t="s">
        <x:v>107</x:v>
      </x:c>
      <x:c r="E73" s="4" t="s">
        <x:v>107</x:v>
      </x:c>
      <x:c r="F73" s="4" t="s">
        <x:v>107</x:v>
      </x:c>
      <x:c r="G73" s="4" t="s">
        <x:v>2875</x:v>
      </x:c>
      <x:c r="H73" s="4" t="s">
        <x:v>171</x:v>
      </x:c>
      <x:c r="I73" s="4" t="s">
        <x:v>172</x:v>
      </x:c>
      <x:c r="J73" s="4" t="s">
        <x:v>2791</x:v>
      </x:c>
      <x:c r="K73" s="4" t="s">
        <x:v>107</x:v>
      </x:c>
      <x:c r="L73" s="4" t="s">
        <x:v>2820</x:v>
      </x:c>
      <x:c r="M73" s="4" t="s">
        <x:v>2821</x:v>
      </x:c>
      <x:c r="N73" s="4" t="s">
        <x:v>2794</x:v>
      </x:c>
      <x:c r="O73" s="4" t="s">
        <x:v>2795</x:v>
      </x:c>
      <x:c r="P73" s="4" t="s">
        <x:v>2796</x:v>
      </x:c>
    </x:row>
    <x:row r="74">
      <x:c r="A74" s="4" t="s">
        <x:v>2884</x:v>
      </x:c>
      <x:c r="B74" s="4" t="s">
        <x:v>1269</x:v>
      </x:c>
      <x:c r="C74" s="4" t="s">
        <x:v>2871</x:v>
      </x:c>
      <x:c r="D74" s="4" t="s">
        <x:v>107</x:v>
      </x:c>
      <x:c r="E74" s="4" t="s">
        <x:v>107</x:v>
      </x:c>
      <x:c r="F74" s="4" t="s">
        <x:v>107</x:v>
      </x:c>
      <x:c r="G74" s="4" t="s">
        <x:v>2875</x:v>
      </x:c>
      <x:c r="H74" s="4" t="s">
        <x:v>171</x:v>
      </x:c>
      <x:c r="I74" s="4" t="s">
        <x:v>172</x:v>
      </x:c>
      <x:c r="J74" s="4" t="s">
        <x:v>2791</x:v>
      </x:c>
      <x:c r="K74" s="4" t="s">
        <x:v>107</x:v>
      </x:c>
      <x:c r="L74" s="4" t="s">
        <x:v>2813</x:v>
      </x:c>
      <x:c r="M74" s="4" t="s">
        <x:v>2814</x:v>
      </x:c>
      <x:c r="N74" s="4" t="s">
        <x:v>2794</x:v>
      </x:c>
      <x:c r="O74" s="4" t="s">
        <x:v>2795</x:v>
      </x:c>
      <x:c r="P74" s="4" t="s">
        <x:v>2796</x:v>
      </x:c>
    </x:row>
    <x:row r="75">
      <x:c r="A75" s="4" t="s">
        <x:v>2885</x:v>
      </x:c>
      <x:c r="B75" s="4" t="s">
        <x:v>1270</x:v>
      </x:c>
      <x:c r="C75" s="4" t="s">
        <x:v>2819</x:v>
      </x:c>
      <x:c r="D75" s="4" t="s">
        <x:v>107</x:v>
      </x:c>
      <x:c r="E75" s="4" t="s">
        <x:v>107</x:v>
      </x:c>
      <x:c r="F75" s="4" t="s">
        <x:v>107</x:v>
      </x:c>
      <x:c r="G75" s="4" t="s">
        <x:v>2875</x:v>
      </x:c>
      <x:c r="H75" s="4" t="s">
        <x:v>171</x:v>
      </x:c>
      <x:c r="I75" s="4" t="s">
        <x:v>172</x:v>
      </x:c>
      <x:c r="J75" s="4" t="s">
        <x:v>2791</x:v>
      </x:c>
      <x:c r="K75" s="4" t="s">
        <x:v>107</x:v>
      </x:c>
      <x:c r="L75" s="4" t="s">
        <x:v>2820</x:v>
      </x:c>
      <x:c r="M75" s="4" t="s">
        <x:v>2821</x:v>
      </x:c>
      <x:c r="N75" s="4" t="s">
        <x:v>2794</x:v>
      </x:c>
      <x:c r="O75" s="4" t="s">
        <x:v>2795</x:v>
      </x:c>
      <x:c r="P75" s="4" t="s">
        <x:v>2796</x:v>
      </x:c>
    </x:row>
    <x:row r="76">
      <x:c r="A76" s="4" t="s">
        <x:v>2886</x:v>
      </x:c>
      <x:c r="B76" s="4" t="s">
        <x:v>1271</x:v>
      </x:c>
      <x:c r="C76" s="4" t="s">
        <x:v>2812</x:v>
      </x:c>
      <x:c r="D76" s="4" t="s">
        <x:v>107</x:v>
      </x:c>
      <x:c r="E76" s="4" t="s">
        <x:v>107</x:v>
      </x:c>
      <x:c r="F76" s="4" t="s">
        <x:v>107</x:v>
      </x:c>
      <x:c r="G76" s="4" t="s">
        <x:v>2875</x:v>
      </x:c>
      <x:c r="H76" s="4" t="s">
        <x:v>171</x:v>
      </x:c>
      <x:c r="I76" s="4" t="s">
        <x:v>172</x:v>
      </x:c>
      <x:c r="J76" s="4" t="s">
        <x:v>2791</x:v>
      </x:c>
      <x:c r="K76" s="4" t="s">
        <x:v>107</x:v>
      </x:c>
      <x:c r="L76" s="4" t="s">
        <x:v>2813</x:v>
      </x:c>
      <x:c r="M76" s="4" t="s">
        <x:v>2814</x:v>
      </x:c>
      <x:c r="N76" s="4" t="s">
        <x:v>2794</x:v>
      </x:c>
      <x:c r="O76" s="4" t="s">
        <x:v>2795</x:v>
      </x:c>
      <x:c r="P76" s="4" t="s">
        <x:v>2796</x:v>
      </x:c>
    </x:row>
    <x:row r="77">
      <x:c r="A77" s="4" t="s">
        <x:v>2887</x:v>
      </x:c>
      <x:c r="B77" s="4" t="s">
        <x:v>1272</x:v>
      </x:c>
      <x:c r="C77" s="4" t="s">
        <x:v>2819</x:v>
      </x:c>
      <x:c r="D77" s="4" t="s">
        <x:v>107</x:v>
      </x:c>
      <x:c r="E77" s="4" t="s">
        <x:v>107</x:v>
      </x:c>
      <x:c r="F77" s="4" t="s">
        <x:v>107</x:v>
      </x:c>
      <x:c r="G77" s="4" t="s">
        <x:v>2875</x:v>
      </x:c>
      <x:c r="H77" s="4" t="s">
        <x:v>171</x:v>
      </x:c>
      <x:c r="I77" s="4" t="s">
        <x:v>172</x:v>
      </x:c>
      <x:c r="J77" s="4" t="s">
        <x:v>2791</x:v>
      </x:c>
      <x:c r="K77" s="4" t="s">
        <x:v>107</x:v>
      </x:c>
      <x:c r="L77" s="4" t="s">
        <x:v>2820</x:v>
      </x:c>
      <x:c r="M77" s="4" t="s">
        <x:v>2821</x:v>
      </x:c>
      <x:c r="N77" s="4" t="s">
        <x:v>2794</x:v>
      </x:c>
      <x:c r="O77" s="4" t="s">
        <x:v>2795</x:v>
      </x:c>
      <x:c r="P77" s="4" t="s">
        <x:v>2796</x:v>
      </x:c>
    </x:row>
    <x:row r="78">
      <x:c r="A78" s="4" t="s">
        <x:v>2888</x:v>
      </x:c>
      <x:c r="B78" s="4" t="s">
        <x:v>1273</x:v>
      </x:c>
      <x:c r="C78" s="4" t="s">
        <x:v>2871</x:v>
      </x:c>
      <x:c r="D78" s="4" t="s">
        <x:v>107</x:v>
      </x:c>
      <x:c r="E78" s="4" t="s">
        <x:v>107</x:v>
      </x:c>
      <x:c r="F78" s="4" t="s">
        <x:v>107</x:v>
      </x:c>
      <x:c r="G78" s="4" t="s">
        <x:v>2875</x:v>
      </x:c>
      <x:c r="H78" s="4" t="s">
        <x:v>171</x:v>
      </x:c>
      <x:c r="I78" s="4" t="s">
        <x:v>172</x:v>
      </x:c>
      <x:c r="J78" s="4" t="s">
        <x:v>2791</x:v>
      </x:c>
      <x:c r="K78" s="4" t="s">
        <x:v>107</x:v>
      </x:c>
      <x:c r="L78" s="4" t="s">
        <x:v>2813</x:v>
      </x:c>
      <x:c r="M78" s="4" t="s">
        <x:v>2814</x:v>
      </x:c>
      <x:c r="N78" s="4" t="s">
        <x:v>2794</x:v>
      </x:c>
      <x:c r="O78" s="4" t="s">
        <x:v>2795</x:v>
      </x:c>
      <x:c r="P78" s="4" t="s">
        <x:v>2796</x:v>
      </x:c>
    </x:row>
    <x:row r="79">
      <x:c r="A79" s="4" t="s">
        <x:v>2889</x:v>
      </x:c>
      <x:c r="B79" s="4" t="s">
        <x:v>1274</x:v>
      </x:c>
      <x:c r="C79" s="4" t="s">
        <x:v>2819</x:v>
      </x:c>
      <x:c r="D79" s="4" t="s">
        <x:v>107</x:v>
      </x:c>
      <x:c r="E79" s="4" t="s">
        <x:v>107</x:v>
      </x:c>
      <x:c r="F79" s="4" t="s">
        <x:v>107</x:v>
      </x:c>
      <x:c r="G79" s="4" t="s">
        <x:v>2875</x:v>
      </x:c>
      <x:c r="H79" s="4" t="s">
        <x:v>171</x:v>
      </x:c>
      <x:c r="I79" s="4" t="s">
        <x:v>172</x:v>
      </x:c>
      <x:c r="J79" s="4" t="s">
        <x:v>2791</x:v>
      </x:c>
      <x:c r="K79" s="4" t="s">
        <x:v>107</x:v>
      </x:c>
      <x:c r="L79" s="4" t="s">
        <x:v>2820</x:v>
      </x:c>
      <x:c r="M79" s="4" t="s">
        <x:v>2821</x:v>
      </x:c>
      <x:c r="N79" s="4" t="s">
        <x:v>2794</x:v>
      </x:c>
      <x:c r="O79" s="4" t="s">
        <x:v>2795</x:v>
      </x:c>
      <x:c r="P79" s="4" t="s">
        <x:v>2796</x:v>
      </x:c>
    </x:row>
    <x:row r="80">
      <x:c r="A80" s="4" t="s">
        <x:v>2890</x:v>
      </x:c>
      <x:c r="B80" s="4" t="s">
        <x:v>1275</x:v>
      </x:c>
      <x:c r="C80" s="4" t="s">
        <x:v>2789</x:v>
      </x:c>
      <x:c r="D80" s="4" t="s">
        <x:v>107</x:v>
      </x:c>
      <x:c r="E80" s="4" t="s">
        <x:v>107</x:v>
      </x:c>
      <x:c r="F80" s="4" t="s">
        <x:v>107</x:v>
      </x:c>
      <x:c r="G80" s="4" t="s">
        <x:v>2875</x:v>
      </x:c>
      <x:c r="H80" s="4" t="s">
        <x:v>171</x:v>
      </x:c>
      <x:c r="I80" s="4" t="s">
        <x:v>172</x:v>
      </x:c>
      <x:c r="J80" s="4" t="s">
        <x:v>2791</x:v>
      </x:c>
      <x:c r="K80" s="4" t="s">
        <x:v>107</x:v>
      </x:c>
      <x:c r="L80" s="4" t="s">
        <x:v>2802</x:v>
      </x:c>
      <x:c r="M80" s="4" t="s">
        <x:v>2803</x:v>
      </x:c>
      <x:c r="N80" s="4" t="s">
        <x:v>2794</x:v>
      </x:c>
      <x:c r="O80" s="4" t="s">
        <x:v>2795</x:v>
      </x:c>
      <x:c r="P80" s="4" t="s">
        <x:v>2796</x:v>
      </x:c>
    </x:row>
    <x:row r="81">
      <x:c r="A81" s="4" t="s">
        <x:v>2891</x:v>
      </x:c>
      <x:c r="B81" s="4" t="s">
        <x:v>1276</x:v>
      </x:c>
      <x:c r="C81" s="4" t="s">
        <x:v>2812</x:v>
      </x:c>
      <x:c r="D81" s="4" t="s">
        <x:v>107</x:v>
      </x:c>
      <x:c r="E81" s="4" t="s">
        <x:v>107</x:v>
      </x:c>
      <x:c r="F81" s="4" t="s">
        <x:v>107</x:v>
      </x:c>
      <x:c r="G81" s="4" t="s">
        <x:v>2875</x:v>
      </x:c>
      <x:c r="H81" s="4" t="s">
        <x:v>171</x:v>
      </x:c>
      <x:c r="I81" s="4" t="s">
        <x:v>172</x:v>
      </x:c>
      <x:c r="J81" s="4" t="s">
        <x:v>2791</x:v>
      </x:c>
      <x:c r="K81" s="4" t="s">
        <x:v>107</x:v>
      </x:c>
      <x:c r="L81" s="4" t="s">
        <x:v>2813</x:v>
      </x:c>
      <x:c r="M81" s="4" t="s">
        <x:v>2814</x:v>
      </x:c>
      <x:c r="N81" s="4" t="s">
        <x:v>2794</x:v>
      </x:c>
      <x:c r="O81" s="4" t="s">
        <x:v>2795</x:v>
      </x:c>
      <x:c r="P81" s="4" t="s">
        <x:v>2796</x:v>
      </x:c>
    </x:row>
    <x:row r="82">
      <x:c r="A82" s="4" t="s">
        <x:v>2892</x:v>
      </x:c>
      <x:c r="B82" s="4" t="s">
        <x:v>1277</x:v>
      </x:c>
      <x:c r="C82" s="4" t="s">
        <x:v>2819</x:v>
      </x:c>
      <x:c r="D82" s="4" t="s">
        <x:v>107</x:v>
      </x:c>
      <x:c r="E82" s="4" t="s">
        <x:v>107</x:v>
      </x:c>
      <x:c r="F82" s="4" t="s">
        <x:v>107</x:v>
      </x:c>
      <x:c r="G82" s="4" t="s">
        <x:v>2875</x:v>
      </x:c>
      <x:c r="H82" s="4" t="s">
        <x:v>171</x:v>
      </x:c>
      <x:c r="I82" s="4" t="s">
        <x:v>172</x:v>
      </x:c>
      <x:c r="J82" s="4" t="s">
        <x:v>2791</x:v>
      </x:c>
      <x:c r="K82" s="4" t="s">
        <x:v>107</x:v>
      </x:c>
      <x:c r="L82" s="4" t="s">
        <x:v>2820</x:v>
      </x:c>
      <x:c r="M82" s="4" t="s">
        <x:v>2821</x:v>
      </x:c>
      <x:c r="N82" s="4" t="s">
        <x:v>2794</x:v>
      </x:c>
      <x:c r="O82" s="4" t="s">
        <x:v>2795</x:v>
      </x:c>
      <x:c r="P82" s="4" t="s">
        <x:v>2796</x:v>
      </x:c>
    </x:row>
    <x:row r="83">
      <x:c r="A83" s="4" t="s">
        <x:v>2893</x:v>
      </x:c>
      <x:c r="B83" s="4" t="s">
        <x:v>1278</x:v>
      </x:c>
      <x:c r="C83" s="4" t="s">
        <x:v>2812</x:v>
      </x:c>
      <x:c r="D83" s="4" t="s">
        <x:v>107</x:v>
      </x:c>
      <x:c r="E83" s="4" t="s">
        <x:v>107</x:v>
      </x:c>
      <x:c r="F83" s="4" t="s">
        <x:v>107</x:v>
      </x:c>
      <x:c r="G83" s="4" t="s">
        <x:v>2875</x:v>
      </x:c>
      <x:c r="H83" s="4" t="s">
        <x:v>171</x:v>
      </x:c>
      <x:c r="I83" s="4" t="s">
        <x:v>172</x:v>
      </x:c>
      <x:c r="J83" s="4" t="s">
        <x:v>2791</x:v>
      </x:c>
      <x:c r="K83" s="4" t="s">
        <x:v>107</x:v>
      </x:c>
      <x:c r="L83" s="4" t="s">
        <x:v>2813</x:v>
      </x:c>
      <x:c r="M83" s="4" t="s">
        <x:v>2814</x:v>
      </x:c>
      <x:c r="N83" s="4" t="s">
        <x:v>2794</x:v>
      </x:c>
      <x:c r="O83" s="4" t="s">
        <x:v>2795</x:v>
      </x:c>
      <x:c r="P83" s="4" t="s">
        <x:v>2796</x:v>
      </x:c>
    </x:row>
    <x:row r="84">
      <x:c r="A84" s="4" t="s">
        <x:v>2894</x:v>
      </x:c>
      <x:c r="B84" s="4" t="s">
        <x:v>1279</x:v>
      </x:c>
      <x:c r="C84" s="4" t="s">
        <x:v>2819</x:v>
      </x:c>
      <x:c r="D84" s="4" t="s">
        <x:v>107</x:v>
      </x:c>
      <x:c r="E84" s="4" t="s">
        <x:v>107</x:v>
      </x:c>
      <x:c r="F84" s="4" t="s">
        <x:v>107</x:v>
      </x:c>
      <x:c r="G84" s="4" t="s">
        <x:v>2875</x:v>
      </x:c>
      <x:c r="H84" s="4" t="s">
        <x:v>171</x:v>
      </x:c>
      <x:c r="I84" s="4" t="s">
        <x:v>172</x:v>
      </x:c>
      <x:c r="J84" s="4" t="s">
        <x:v>2791</x:v>
      </x:c>
      <x:c r="K84" s="4" t="s">
        <x:v>107</x:v>
      </x:c>
      <x:c r="L84" s="4" t="s">
        <x:v>2820</x:v>
      </x:c>
      <x:c r="M84" s="4" t="s">
        <x:v>2821</x:v>
      </x:c>
      <x:c r="N84" s="4" t="s">
        <x:v>2794</x:v>
      </x:c>
      <x:c r="O84" s="4" t="s">
        <x:v>2795</x:v>
      </x:c>
      <x:c r="P84" s="4" t="s">
        <x:v>2796</x:v>
      </x:c>
    </x:row>
    <x:row r="85">
      <x:c r="A85" s="4" t="s">
        <x:v>2895</x:v>
      </x:c>
      <x:c r="B85" s="4" t="s">
        <x:v>1280</x:v>
      </x:c>
      <x:c r="C85" s="4" t="s">
        <x:v>2812</x:v>
      </x:c>
      <x:c r="D85" s="4" t="s">
        <x:v>107</x:v>
      </x:c>
      <x:c r="E85" s="4" t="s">
        <x:v>107</x:v>
      </x:c>
      <x:c r="F85" s="4" t="s">
        <x:v>107</x:v>
      </x:c>
      <x:c r="G85" s="4" t="s">
        <x:v>2875</x:v>
      </x:c>
      <x:c r="H85" s="4" t="s">
        <x:v>171</x:v>
      </x:c>
      <x:c r="I85" s="4" t="s">
        <x:v>172</x:v>
      </x:c>
      <x:c r="J85" s="4" t="s">
        <x:v>2791</x:v>
      </x:c>
      <x:c r="K85" s="4" t="s">
        <x:v>107</x:v>
      </x:c>
      <x:c r="L85" s="4" t="s">
        <x:v>2813</x:v>
      </x:c>
      <x:c r="M85" s="4" t="s">
        <x:v>2814</x:v>
      </x:c>
      <x:c r="N85" s="4" t="s">
        <x:v>2794</x:v>
      </x:c>
      <x:c r="O85" s="4" t="s">
        <x:v>2795</x:v>
      </x:c>
      <x:c r="P85" s="4" t="s">
        <x:v>2796</x:v>
      </x:c>
    </x:row>
    <x:row r="86">
      <x:c r="A86" s="4" t="s">
        <x:v>2896</x:v>
      </x:c>
      <x:c r="B86" s="4" t="s">
        <x:v>1281</x:v>
      </x:c>
      <x:c r="C86" s="4" t="s">
        <x:v>2819</x:v>
      </x:c>
      <x:c r="D86" s="4" t="s">
        <x:v>107</x:v>
      </x:c>
      <x:c r="E86" s="4" t="s">
        <x:v>107</x:v>
      </x:c>
      <x:c r="F86" s="4" t="s">
        <x:v>107</x:v>
      </x:c>
      <x:c r="G86" s="4" t="s">
        <x:v>2875</x:v>
      </x:c>
      <x:c r="H86" s="4" t="s">
        <x:v>171</x:v>
      </x:c>
      <x:c r="I86" s="4" t="s">
        <x:v>172</x:v>
      </x:c>
      <x:c r="J86" s="4" t="s">
        <x:v>2791</x:v>
      </x:c>
      <x:c r="K86" s="4" t="s">
        <x:v>107</x:v>
      </x:c>
      <x:c r="L86" s="4" t="s">
        <x:v>2820</x:v>
      </x:c>
      <x:c r="M86" s="4" t="s">
        <x:v>2821</x:v>
      </x:c>
      <x:c r="N86" s="4" t="s">
        <x:v>2794</x:v>
      </x:c>
      <x:c r="O86" s="4" t="s">
        <x:v>2795</x:v>
      </x:c>
      <x:c r="P86" s="4" t="s">
        <x:v>2796</x:v>
      </x:c>
    </x:row>
    <x:row r="87">
      <x:c r="A87" s="4" t="s">
        <x:v>2897</x:v>
      </x:c>
      <x:c r="B87" s="4" t="s">
        <x:v>1282</x:v>
      </x:c>
      <x:c r="C87" s="4" t="s">
        <x:v>2871</x:v>
      </x:c>
      <x:c r="D87" s="4" t="s">
        <x:v>107</x:v>
      </x:c>
      <x:c r="E87" s="4" t="s">
        <x:v>107</x:v>
      </x:c>
      <x:c r="F87" s="4" t="s">
        <x:v>107</x:v>
      </x:c>
      <x:c r="G87" s="4" t="s">
        <x:v>2875</x:v>
      </x:c>
      <x:c r="H87" s="4" t="s">
        <x:v>171</x:v>
      </x:c>
      <x:c r="I87" s="4" t="s">
        <x:v>172</x:v>
      </x:c>
      <x:c r="J87" s="4" t="s">
        <x:v>2791</x:v>
      </x:c>
      <x:c r="K87" s="4" t="s">
        <x:v>107</x:v>
      </x:c>
      <x:c r="L87" s="4" t="s">
        <x:v>2792</x:v>
      </x:c>
      <x:c r="M87" s="4" t="s">
        <x:v>2793</x:v>
      </x:c>
      <x:c r="N87" s="4" t="s">
        <x:v>2794</x:v>
      </x:c>
      <x:c r="O87" s="4" t="s">
        <x:v>2795</x:v>
      </x:c>
      <x:c r="P87" s="4" t="s">
        <x:v>2796</x:v>
      </x:c>
    </x:row>
    <x:row r="88">
      <x:c r="A88" s="4" t="s">
        <x:v>2898</x:v>
      </x:c>
      <x:c r="B88" s="4" t="s">
        <x:v>1283</x:v>
      </x:c>
      <x:c r="C88" s="4" t="s">
        <x:v>2819</x:v>
      </x:c>
      <x:c r="D88" s="4" t="s">
        <x:v>107</x:v>
      </x:c>
      <x:c r="E88" s="4" t="s">
        <x:v>107</x:v>
      </x:c>
      <x:c r="F88" s="4" t="s">
        <x:v>107</x:v>
      </x:c>
      <x:c r="G88" s="4" t="s">
        <x:v>2875</x:v>
      </x:c>
      <x:c r="H88" s="4" t="s">
        <x:v>171</x:v>
      </x:c>
      <x:c r="I88" s="4" t="s">
        <x:v>172</x:v>
      </x:c>
      <x:c r="J88" s="4" t="s">
        <x:v>2791</x:v>
      </x:c>
      <x:c r="K88" s="4" t="s">
        <x:v>107</x:v>
      </x:c>
      <x:c r="L88" s="4" t="s">
        <x:v>2820</x:v>
      </x:c>
      <x:c r="M88" s="4" t="s">
        <x:v>2821</x:v>
      </x:c>
      <x:c r="N88" s="4" t="s">
        <x:v>2794</x:v>
      </x:c>
      <x:c r="O88" s="4" t="s">
        <x:v>2795</x:v>
      </x:c>
      <x:c r="P88" s="4" t="s">
        <x:v>2796</x:v>
      </x:c>
    </x:row>
    <x:row r="89">
      <x:c r="A89" s="4" t="s">
        <x:v>2899</x:v>
      </x:c>
      <x:c r="B89" s="4" t="s">
        <x:v>1284</x:v>
      </x:c>
      <x:c r="C89" s="4" t="s">
        <x:v>2871</x:v>
      </x:c>
      <x:c r="D89" s="4" t="s">
        <x:v>107</x:v>
      </x:c>
      <x:c r="E89" s="4" t="s">
        <x:v>107</x:v>
      </x:c>
      <x:c r="F89" s="4" t="s">
        <x:v>107</x:v>
      </x:c>
      <x:c r="G89" s="4" t="s">
        <x:v>2875</x:v>
      </x:c>
      <x:c r="H89" s="4" t="s">
        <x:v>171</x:v>
      </x:c>
      <x:c r="I89" s="4" t="s">
        <x:v>172</x:v>
      </x:c>
      <x:c r="J89" s="4" t="s">
        <x:v>2791</x:v>
      </x:c>
      <x:c r="K89" s="4" t="s">
        <x:v>107</x:v>
      </x:c>
      <x:c r="L89" s="4" t="s">
        <x:v>2792</x:v>
      </x:c>
      <x:c r="M89" s="4" t="s">
        <x:v>2793</x:v>
      </x:c>
      <x:c r="N89" s="4" t="s">
        <x:v>2794</x:v>
      </x:c>
      <x:c r="O89" s="4" t="s">
        <x:v>2795</x:v>
      </x:c>
      <x:c r="P89" s="4" t="s">
        <x:v>2796</x:v>
      </x:c>
    </x:row>
    <x:row r="90">
      <x:c r="A90" s="4" t="s">
        <x:v>2900</x:v>
      </x:c>
      <x:c r="B90" s="4" t="s">
        <x:v>1285</x:v>
      </x:c>
      <x:c r="C90" s="4" t="s">
        <x:v>2789</x:v>
      </x:c>
      <x:c r="D90" s="4" t="s">
        <x:v>107</x:v>
      </x:c>
      <x:c r="E90" s="4" t="s">
        <x:v>107</x:v>
      </x:c>
      <x:c r="F90" s="4" t="s">
        <x:v>107</x:v>
      </x:c>
      <x:c r="G90" s="4" t="s">
        <x:v>2875</x:v>
      </x:c>
      <x:c r="H90" s="4" t="s">
        <x:v>171</x:v>
      </x:c>
      <x:c r="I90" s="4" t="s">
        <x:v>172</x:v>
      </x:c>
      <x:c r="J90" s="4" t="s">
        <x:v>2791</x:v>
      </x:c>
      <x:c r="K90" s="4" t="s">
        <x:v>107</x:v>
      </x:c>
      <x:c r="L90" s="4" t="s">
        <x:v>2792</x:v>
      </x:c>
      <x:c r="M90" s="4" t="s">
        <x:v>2793</x:v>
      </x:c>
      <x:c r="N90" s="4" t="s">
        <x:v>2794</x:v>
      </x:c>
      <x:c r="O90" s="4" t="s">
        <x:v>2795</x:v>
      </x:c>
      <x:c r="P90" s="4" t="s">
        <x:v>2796</x:v>
      </x:c>
    </x:row>
    <x:row r="91">
      <x:c r="A91" s="4" t="s">
        <x:v>2901</x:v>
      </x:c>
      <x:c r="B91" s="4" t="s">
        <x:v>1286</x:v>
      </x:c>
      <x:c r="C91" s="4" t="s">
        <x:v>2819</x:v>
      </x:c>
      <x:c r="D91" s="4" t="s">
        <x:v>107</x:v>
      </x:c>
      <x:c r="E91" s="4" t="s">
        <x:v>107</x:v>
      </x:c>
      <x:c r="F91" s="4" t="s">
        <x:v>107</x:v>
      </x:c>
      <x:c r="G91" s="4" t="s">
        <x:v>2875</x:v>
      </x:c>
      <x:c r="H91" s="4" t="s">
        <x:v>171</x:v>
      </x:c>
      <x:c r="I91" s="4" t="s">
        <x:v>172</x:v>
      </x:c>
      <x:c r="J91" s="4" t="s">
        <x:v>2791</x:v>
      </x:c>
      <x:c r="K91" s="4" t="s">
        <x:v>107</x:v>
      </x:c>
      <x:c r="L91" s="4" t="s">
        <x:v>2792</x:v>
      </x:c>
      <x:c r="M91" s="4" t="s">
        <x:v>2793</x:v>
      </x:c>
      <x:c r="N91" s="4" t="s">
        <x:v>2794</x:v>
      </x:c>
      <x:c r="O91" s="4" t="s">
        <x:v>2795</x:v>
      </x:c>
      <x:c r="P91" s="4" t="s">
        <x:v>2796</x:v>
      </x:c>
    </x:row>
    <x:row r="92">
      <x:c r="A92" s="4" t="s">
        <x:v>2902</x:v>
      </x:c>
      <x:c r="B92" s="4" t="s">
        <x:v>1287</x:v>
      </x:c>
      <x:c r="C92" s="4" t="s">
        <x:v>2810</x:v>
      </x:c>
      <x:c r="D92" s="4" t="s">
        <x:v>107</x:v>
      </x:c>
      <x:c r="E92" s="4" t="s">
        <x:v>107</x:v>
      </x:c>
      <x:c r="F92" s="4" t="s">
        <x:v>107</x:v>
      </x:c>
      <x:c r="G92" s="4" t="s">
        <x:v>2875</x:v>
      </x:c>
      <x:c r="H92" s="4" t="s">
        <x:v>171</x:v>
      </x:c>
      <x:c r="I92" s="4" t="s">
        <x:v>172</x:v>
      </x:c>
      <x:c r="J92" s="4" t="s">
        <x:v>2791</x:v>
      </x:c>
      <x:c r="K92" s="4" t="s">
        <x:v>107</x:v>
      </x:c>
      <x:c r="L92" s="4" t="s">
        <x:v>2792</x:v>
      </x:c>
      <x:c r="M92" s="4" t="s">
        <x:v>2793</x:v>
      </x:c>
      <x:c r="N92" s="4" t="s">
        <x:v>2794</x:v>
      </x:c>
      <x:c r="O92" s="4" t="s">
        <x:v>2795</x:v>
      </x:c>
      <x:c r="P92" s="4" t="s">
        <x:v>2796</x:v>
      </x:c>
    </x:row>
    <x:row r="93">
      <x:c r="A93" s="4" t="s">
        <x:v>2903</x:v>
      </x:c>
      <x:c r="B93" s="4" t="s">
        <x:v>1288</x:v>
      </x:c>
      <x:c r="C93" s="4" t="s">
        <x:v>2812</x:v>
      </x:c>
      <x:c r="D93" s="4" t="s">
        <x:v>107</x:v>
      </x:c>
      <x:c r="E93" s="4" t="s">
        <x:v>107</x:v>
      </x:c>
      <x:c r="F93" s="4" t="s">
        <x:v>107</x:v>
      </x:c>
      <x:c r="G93" s="4" t="s">
        <x:v>2904</x:v>
      </x:c>
      <x:c r="H93" s="4" t="s">
        <x:v>171</x:v>
      </x:c>
      <x:c r="I93" s="4" t="s">
        <x:v>172</x:v>
      </x:c>
      <x:c r="J93" s="4" t="s">
        <x:v>2791</x:v>
      </x:c>
      <x:c r="K93" s="4" t="s">
        <x:v>107</x:v>
      </x:c>
      <x:c r="L93" s="4" t="s">
        <x:v>2813</x:v>
      </x:c>
      <x:c r="M93" s="4" t="s">
        <x:v>2814</x:v>
      </x:c>
      <x:c r="N93" s="4" t="s">
        <x:v>2794</x:v>
      </x:c>
      <x:c r="O93" s="4" t="s">
        <x:v>2795</x:v>
      </x:c>
      <x:c r="P93" s="4" t="s">
        <x:v>2796</x:v>
      </x:c>
    </x:row>
    <x:row r="94">
      <x:c r="A94" s="4" t="s">
        <x:v>2905</x:v>
      </x:c>
      <x:c r="B94" s="4" t="s">
        <x:v>1289</x:v>
      </x:c>
      <x:c r="C94" s="4" t="s">
        <x:v>2812</x:v>
      </x:c>
      <x:c r="D94" s="4" t="s">
        <x:v>107</x:v>
      </x:c>
      <x:c r="E94" s="4" t="s">
        <x:v>107</x:v>
      </x:c>
      <x:c r="F94" s="4" t="s">
        <x:v>107</x:v>
      </x:c>
      <x:c r="G94" s="4" t="s">
        <x:v>2904</x:v>
      </x:c>
      <x:c r="H94" s="4" t="s">
        <x:v>171</x:v>
      </x:c>
      <x:c r="I94" s="4" t="s">
        <x:v>172</x:v>
      </x:c>
      <x:c r="J94" s="4" t="s">
        <x:v>2791</x:v>
      </x:c>
      <x:c r="K94" s="4" t="s">
        <x:v>107</x:v>
      </x:c>
      <x:c r="L94" s="4" t="s">
        <x:v>2813</x:v>
      </x:c>
      <x:c r="M94" s="4" t="s">
        <x:v>2814</x:v>
      </x:c>
      <x:c r="N94" s="4" t="s">
        <x:v>2794</x:v>
      </x:c>
      <x:c r="O94" s="4" t="s">
        <x:v>2795</x:v>
      </x:c>
      <x:c r="P94" s="4" t="s">
        <x:v>2796</x:v>
      </x:c>
    </x:row>
    <x:row r="95">
      <x:c r="A95" s="4" t="s">
        <x:v>2906</x:v>
      </x:c>
      <x:c r="B95" s="4" t="s">
        <x:v>1290</x:v>
      </x:c>
      <x:c r="C95" s="4" t="s">
        <x:v>2819</x:v>
      </x:c>
      <x:c r="D95" s="4" t="s">
        <x:v>107</x:v>
      </x:c>
      <x:c r="E95" s="4" t="s">
        <x:v>107</x:v>
      </x:c>
      <x:c r="F95" s="4" t="s">
        <x:v>107</x:v>
      </x:c>
      <x:c r="G95" s="4" t="s">
        <x:v>2904</x:v>
      </x:c>
      <x:c r="H95" s="4" t="s">
        <x:v>171</x:v>
      </x:c>
      <x:c r="I95" s="4" t="s">
        <x:v>172</x:v>
      </x:c>
      <x:c r="J95" s="4" t="s">
        <x:v>2791</x:v>
      </x:c>
      <x:c r="K95" s="4" t="s">
        <x:v>107</x:v>
      </x:c>
      <x:c r="L95" s="4" t="s">
        <x:v>2820</x:v>
      </x:c>
      <x:c r="M95" s="4" t="s">
        <x:v>2821</x:v>
      </x:c>
      <x:c r="N95" s="4" t="s">
        <x:v>2794</x:v>
      </x:c>
      <x:c r="O95" s="4" t="s">
        <x:v>2795</x:v>
      </x:c>
      <x:c r="P95" s="4" t="s">
        <x:v>2796</x:v>
      </x:c>
    </x:row>
    <x:row r="96">
      <x:c r="A96" s="4" t="s">
        <x:v>2907</x:v>
      </x:c>
      <x:c r="B96" s="4" t="s">
        <x:v>1291</x:v>
      </x:c>
      <x:c r="C96" s="4" t="s">
        <x:v>2812</x:v>
      </x:c>
      <x:c r="D96" s="4" t="s">
        <x:v>107</x:v>
      </x:c>
      <x:c r="E96" s="4" t="s">
        <x:v>107</x:v>
      </x:c>
      <x:c r="F96" s="4" t="s">
        <x:v>107</x:v>
      </x:c>
      <x:c r="G96" s="4" t="s">
        <x:v>2904</x:v>
      </x:c>
      <x:c r="H96" s="4" t="s">
        <x:v>171</x:v>
      </x:c>
      <x:c r="I96" s="4" t="s">
        <x:v>172</x:v>
      </x:c>
      <x:c r="J96" s="4" t="s">
        <x:v>2791</x:v>
      </x:c>
      <x:c r="K96" s="4" t="s">
        <x:v>107</x:v>
      </x:c>
      <x:c r="L96" s="4" t="s">
        <x:v>2813</x:v>
      </x:c>
      <x:c r="M96" s="4" t="s">
        <x:v>2814</x:v>
      </x:c>
      <x:c r="N96" s="4" t="s">
        <x:v>2794</x:v>
      </x:c>
      <x:c r="O96" s="4" t="s">
        <x:v>2795</x:v>
      </x:c>
      <x:c r="P96" s="4" t="s">
        <x:v>2796</x:v>
      </x:c>
    </x:row>
    <x:row r="97">
      <x:c r="A97" s="4" t="s">
        <x:v>2908</x:v>
      </x:c>
      <x:c r="B97" s="4" t="s">
        <x:v>1292</x:v>
      </x:c>
      <x:c r="C97" s="4" t="s">
        <x:v>2819</x:v>
      </x:c>
      <x:c r="D97" s="4" t="s">
        <x:v>107</x:v>
      </x:c>
      <x:c r="E97" s="4" t="s">
        <x:v>107</x:v>
      </x:c>
      <x:c r="F97" s="4" t="s">
        <x:v>107</x:v>
      </x:c>
      <x:c r="G97" s="4" t="s">
        <x:v>2904</x:v>
      </x:c>
      <x:c r="H97" s="4" t="s">
        <x:v>171</x:v>
      </x:c>
      <x:c r="I97" s="4" t="s">
        <x:v>172</x:v>
      </x:c>
      <x:c r="J97" s="4" t="s">
        <x:v>2791</x:v>
      </x:c>
      <x:c r="K97" s="4" t="s">
        <x:v>107</x:v>
      </x:c>
      <x:c r="L97" s="4" t="s">
        <x:v>2820</x:v>
      </x:c>
      <x:c r="M97" s="4" t="s">
        <x:v>2821</x:v>
      </x:c>
      <x:c r="N97" s="4" t="s">
        <x:v>2794</x:v>
      </x:c>
      <x:c r="O97" s="4" t="s">
        <x:v>2795</x:v>
      </x:c>
      <x:c r="P97" s="4" t="s">
        <x:v>2796</x:v>
      </x:c>
    </x:row>
    <x:row r="98">
      <x:c r="A98" s="4" t="s">
        <x:v>2909</x:v>
      </x:c>
      <x:c r="B98" s="4" t="s">
        <x:v>1293</x:v>
      </x:c>
      <x:c r="C98" s="4" t="s">
        <x:v>2812</x:v>
      </x:c>
      <x:c r="D98" s="4" t="s">
        <x:v>107</x:v>
      </x:c>
      <x:c r="E98" s="4" t="s">
        <x:v>107</x:v>
      </x:c>
      <x:c r="F98" s="4" t="s">
        <x:v>107</x:v>
      </x:c>
      <x:c r="G98" s="4" t="s">
        <x:v>2904</x:v>
      </x:c>
      <x:c r="H98" s="4" t="s">
        <x:v>171</x:v>
      </x:c>
      <x:c r="I98" s="4" t="s">
        <x:v>172</x:v>
      </x:c>
      <x:c r="J98" s="4" t="s">
        <x:v>2791</x:v>
      </x:c>
      <x:c r="K98" s="4" t="s">
        <x:v>107</x:v>
      </x:c>
      <x:c r="L98" s="4" t="s">
        <x:v>2813</x:v>
      </x:c>
      <x:c r="M98" s="4" t="s">
        <x:v>2814</x:v>
      </x:c>
      <x:c r="N98" s="4" t="s">
        <x:v>2794</x:v>
      </x:c>
      <x:c r="O98" s="4" t="s">
        <x:v>2795</x:v>
      </x:c>
      <x:c r="P98" s="4" t="s">
        <x:v>2796</x:v>
      </x:c>
    </x:row>
    <x:row r="99">
      <x:c r="A99" s="4" t="s">
        <x:v>2910</x:v>
      </x:c>
      <x:c r="B99" s="4" t="s">
        <x:v>1294</x:v>
      </x:c>
      <x:c r="C99" s="4" t="s">
        <x:v>2819</x:v>
      </x:c>
      <x:c r="D99" s="4" t="s">
        <x:v>107</x:v>
      </x:c>
      <x:c r="E99" s="4" t="s">
        <x:v>107</x:v>
      </x:c>
      <x:c r="F99" s="4" t="s">
        <x:v>107</x:v>
      </x:c>
      <x:c r="G99" s="4" t="s">
        <x:v>2904</x:v>
      </x:c>
      <x:c r="H99" s="4" t="s">
        <x:v>171</x:v>
      </x:c>
      <x:c r="I99" s="4" t="s">
        <x:v>172</x:v>
      </x:c>
      <x:c r="J99" s="4" t="s">
        <x:v>2791</x:v>
      </x:c>
      <x:c r="K99" s="4" t="s">
        <x:v>107</x:v>
      </x:c>
      <x:c r="L99" s="4" t="s">
        <x:v>2820</x:v>
      </x:c>
      <x:c r="M99" s="4" t="s">
        <x:v>2821</x:v>
      </x:c>
      <x:c r="N99" s="4" t="s">
        <x:v>2794</x:v>
      </x:c>
      <x:c r="O99" s="4" t="s">
        <x:v>2795</x:v>
      </x:c>
      <x:c r="P99" s="4" t="s">
        <x:v>2796</x:v>
      </x:c>
    </x:row>
    <x:row r="100">
      <x:c r="A100" s="4" t="s">
        <x:v>2911</x:v>
      </x:c>
      <x:c r="B100" s="4" t="s">
        <x:v>1295</x:v>
      </x:c>
      <x:c r="C100" s="4" t="s">
        <x:v>2789</x:v>
      </x:c>
      <x:c r="D100" s="4" t="s">
        <x:v>107</x:v>
      </x:c>
      <x:c r="E100" s="4" t="s">
        <x:v>107</x:v>
      </x:c>
      <x:c r="F100" s="4" t="s">
        <x:v>107</x:v>
      </x:c>
      <x:c r="G100" s="4" t="s">
        <x:v>2904</x:v>
      </x:c>
      <x:c r="H100" s="4" t="s">
        <x:v>171</x:v>
      </x:c>
      <x:c r="I100" s="4" t="s">
        <x:v>172</x:v>
      </x:c>
      <x:c r="J100" s="4" t="s">
        <x:v>2791</x:v>
      </x:c>
      <x:c r="K100" s="4" t="s">
        <x:v>107</x:v>
      </x:c>
      <x:c r="L100" s="4" t="s">
        <x:v>2792</x:v>
      </x:c>
      <x:c r="M100" s="4" t="s">
        <x:v>2793</x:v>
      </x:c>
      <x:c r="N100" s="4" t="s">
        <x:v>2794</x:v>
      </x:c>
      <x:c r="O100" s="4" t="s">
        <x:v>2795</x:v>
      </x:c>
      <x:c r="P100" s="4" t="s">
        <x:v>2796</x:v>
      </x:c>
    </x:row>
    <x:row r="101">
      <x:c r="A101" s="4" t="s">
        <x:v>2912</x:v>
      </x:c>
      <x:c r="B101" s="4" t="s">
        <x:v>1296</x:v>
      </x:c>
      <x:c r="C101" s="4" t="s">
        <x:v>2789</x:v>
      </x:c>
      <x:c r="D101" s="4" t="s">
        <x:v>107</x:v>
      </x:c>
      <x:c r="E101" s="4" t="s">
        <x:v>107</x:v>
      </x:c>
      <x:c r="F101" s="4" t="s">
        <x:v>107</x:v>
      </x:c>
      <x:c r="G101" s="4" t="s">
        <x:v>2904</x:v>
      </x:c>
      <x:c r="H101" s="4" t="s">
        <x:v>171</x:v>
      </x:c>
      <x:c r="I101" s="4" t="s">
        <x:v>172</x:v>
      </x:c>
      <x:c r="J101" s="4" t="s">
        <x:v>2791</x:v>
      </x:c>
      <x:c r="K101" s="4" t="s">
        <x:v>107</x:v>
      </x:c>
      <x:c r="L101" s="4" t="s">
        <x:v>2792</x:v>
      </x:c>
      <x:c r="M101" s="4" t="s">
        <x:v>2793</x:v>
      </x:c>
      <x:c r="N101" s="4" t="s">
        <x:v>2794</x:v>
      </x:c>
      <x:c r="O101" s="4" t="s">
        <x:v>2795</x:v>
      </x:c>
      <x:c r="P101" s="4" t="s">
        <x:v>2796</x:v>
      </x:c>
    </x:row>
    <x:row r="102">
      <x:c r="A102" s="4" t="s">
        <x:v>2913</x:v>
      </x:c>
      <x:c r="B102" s="4" t="s">
        <x:v>1297</x:v>
      </x:c>
      <x:c r="C102" s="4" t="s">
        <x:v>2819</x:v>
      </x:c>
      <x:c r="D102" s="4" t="s">
        <x:v>107</x:v>
      </x:c>
      <x:c r="E102" s="4" t="s">
        <x:v>107</x:v>
      </x:c>
      <x:c r="F102" s="4" t="s">
        <x:v>107</x:v>
      </x:c>
      <x:c r="G102" s="4" t="s">
        <x:v>2904</x:v>
      </x:c>
      <x:c r="H102" s="4" t="s">
        <x:v>171</x:v>
      </x:c>
      <x:c r="I102" s="4" t="s">
        <x:v>172</x:v>
      </x:c>
      <x:c r="J102" s="4" t="s">
        <x:v>2791</x:v>
      </x:c>
      <x:c r="K102" s="4" t="s">
        <x:v>107</x:v>
      </x:c>
      <x:c r="L102" s="4" t="s">
        <x:v>2820</x:v>
      </x:c>
      <x:c r="M102" s="4" t="s">
        <x:v>2821</x:v>
      </x:c>
      <x:c r="N102" s="4" t="s">
        <x:v>2794</x:v>
      </x:c>
      <x:c r="O102" s="4" t="s">
        <x:v>2795</x:v>
      </x:c>
      <x:c r="P102" s="4" t="s">
        <x:v>2796</x:v>
      </x:c>
    </x:row>
    <x:row r="103">
      <x:c r="A103" s="4" t="s">
        <x:v>2914</x:v>
      </x:c>
      <x:c r="B103" s="4" t="s">
        <x:v>1298</x:v>
      </x:c>
      <x:c r="C103" s="4" t="s">
        <x:v>2812</x:v>
      </x:c>
      <x:c r="D103" s="4" t="s">
        <x:v>107</x:v>
      </x:c>
      <x:c r="E103" s="4" t="s">
        <x:v>107</x:v>
      </x:c>
      <x:c r="F103" s="4" t="s">
        <x:v>107</x:v>
      </x:c>
      <x:c r="G103" s="4" t="s">
        <x:v>2904</x:v>
      </x:c>
      <x:c r="H103" s="4" t="s">
        <x:v>171</x:v>
      </x:c>
      <x:c r="I103" s="4" t="s">
        <x:v>172</x:v>
      </x:c>
      <x:c r="J103" s="4" t="s">
        <x:v>2791</x:v>
      </x:c>
      <x:c r="K103" s="4" t="s">
        <x:v>107</x:v>
      </x:c>
      <x:c r="L103" s="4" t="s">
        <x:v>2813</x:v>
      </x:c>
      <x:c r="M103" s="4" t="s">
        <x:v>2814</x:v>
      </x:c>
      <x:c r="N103" s="4" t="s">
        <x:v>2794</x:v>
      </x:c>
      <x:c r="O103" s="4" t="s">
        <x:v>2795</x:v>
      </x:c>
      <x:c r="P103" s="4" t="s">
        <x:v>2796</x:v>
      </x:c>
    </x:row>
    <x:row r="104">
      <x:c r="A104" s="4" t="s">
        <x:v>2915</x:v>
      </x:c>
      <x:c r="B104" s="4" t="s">
        <x:v>1299</x:v>
      </x:c>
      <x:c r="C104" s="4" t="s">
        <x:v>2819</x:v>
      </x:c>
      <x:c r="D104" s="4" t="s">
        <x:v>107</x:v>
      </x:c>
      <x:c r="E104" s="4" t="s">
        <x:v>107</x:v>
      </x:c>
      <x:c r="F104" s="4" t="s">
        <x:v>107</x:v>
      </x:c>
      <x:c r="G104" s="4" t="s">
        <x:v>2904</x:v>
      </x:c>
      <x:c r="H104" s="4" t="s">
        <x:v>171</x:v>
      </x:c>
      <x:c r="I104" s="4" t="s">
        <x:v>172</x:v>
      </x:c>
      <x:c r="J104" s="4" t="s">
        <x:v>2791</x:v>
      </x:c>
      <x:c r="K104" s="4" t="s">
        <x:v>107</x:v>
      </x:c>
      <x:c r="L104" s="4" t="s">
        <x:v>2820</x:v>
      </x:c>
      <x:c r="M104" s="4" t="s">
        <x:v>2821</x:v>
      </x:c>
      <x:c r="N104" s="4" t="s">
        <x:v>2794</x:v>
      </x:c>
      <x:c r="O104" s="4" t="s">
        <x:v>2795</x:v>
      </x:c>
      <x:c r="P104" s="4" t="s">
        <x:v>2796</x:v>
      </x:c>
    </x:row>
    <x:row r="105">
      <x:c r="A105" s="4" t="s">
        <x:v>2916</x:v>
      </x:c>
      <x:c r="B105" s="4" t="s">
        <x:v>1300</x:v>
      </x:c>
      <x:c r="C105" s="4" t="s">
        <x:v>2812</x:v>
      </x:c>
      <x:c r="D105" s="4" t="s">
        <x:v>107</x:v>
      </x:c>
      <x:c r="E105" s="4" t="s">
        <x:v>107</x:v>
      </x:c>
      <x:c r="F105" s="4" t="s">
        <x:v>107</x:v>
      </x:c>
      <x:c r="G105" s="4" t="s">
        <x:v>2904</x:v>
      </x:c>
      <x:c r="H105" s="4" t="s">
        <x:v>171</x:v>
      </x:c>
      <x:c r="I105" s="4" t="s">
        <x:v>172</x:v>
      </x:c>
      <x:c r="J105" s="4" t="s">
        <x:v>2791</x:v>
      </x:c>
      <x:c r="K105" s="4" t="s">
        <x:v>107</x:v>
      </x:c>
      <x:c r="L105" s="4" t="s">
        <x:v>2813</x:v>
      </x:c>
      <x:c r="M105" s="4" t="s">
        <x:v>2814</x:v>
      </x:c>
      <x:c r="N105" s="4" t="s">
        <x:v>2794</x:v>
      </x:c>
      <x:c r="O105" s="4" t="s">
        <x:v>2795</x:v>
      </x:c>
      <x:c r="P105" s="4" t="s">
        <x:v>2796</x:v>
      </x:c>
    </x:row>
    <x:row r="106">
      <x:c r="A106" s="4" t="s">
        <x:v>2917</x:v>
      </x:c>
      <x:c r="B106" s="4" t="s">
        <x:v>1301</x:v>
      </x:c>
      <x:c r="C106" s="4" t="s">
        <x:v>2819</x:v>
      </x:c>
      <x:c r="D106" s="4" t="s">
        <x:v>107</x:v>
      </x:c>
      <x:c r="E106" s="4" t="s">
        <x:v>107</x:v>
      </x:c>
      <x:c r="F106" s="4" t="s">
        <x:v>107</x:v>
      </x:c>
      <x:c r="G106" s="4" t="s">
        <x:v>2904</x:v>
      </x:c>
      <x:c r="H106" s="4" t="s">
        <x:v>171</x:v>
      </x:c>
      <x:c r="I106" s="4" t="s">
        <x:v>172</x:v>
      </x:c>
      <x:c r="J106" s="4" t="s">
        <x:v>2791</x:v>
      </x:c>
      <x:c r="K106" s="4" t="s">
        <x:v>107</x:v>
      </x:c>
      <x:c r="L106" s="4" t="s">
        <x:v>2820</x:v>
      </x:c>
      <x:c r="M106" s="4" t="s">
        <x:v>2821</x:v>
      </x:c>
      <x:c r="N106" s="4" t="s">
        <x:v>2794</x:v>
      </x:c>
      <x:c r="O106" s="4" t="s">
        <x:v>2795</x:v>
      </x:c>
      <x:c r="P106" s="4" t="s">
        <x:v>2796</x:v>
      </x:c>
    </x:row>
    <x:row r="107">
      <x:c r="A107" s="4" t="s">
        <x:v>2918</x:v>
      </x:c>
      <x:c r="B107" s="4" t="s">
        <x:v>1302</x:v>
      </x:c>
      <x:c r="C107" s="4" t="s">
        <x:v>2819</x:v>
      </x:c>
      <x:c r="D107" s="4" t="s">
        <x:v>107</x:v>
      </x:c>
      <x:c r="E107" s="4" t="s">
        <x:v>107</x:v>
      </x:c>
      <x:c r="F107" s="4" t="s">
        <x:v>107</x:v>
      </x:c>
      <x:c r="G107" s="4" t="s">
        <x:v>2904</x:v>
      </x:c>
      <x:c r="H107" s="4" t="s">
        <x:v>171</x:v>
      </x:c>
      <x:c r="I107" s="4" t="s">
        <x:v>172</x:v>
      </x:c>
      <x:c r="J107" s="4" t="s">
        <x:v>2791</x:v>
      </x:c>
      <x:c r="K107" s="4" t="s">
        <x:v>107</x:v>
      </x:c>
      <x:c r="L107" s="4" t="s">
        <x:v>2792</x:v>
      </x:c>
      <x:c r="M107" s="4" t="s">
        <x:v>2793</x:v>
      </x:c>
      <x:c r="N107" s="4" t="s">
        <x:v>2794</x:v>
      </x:c>
      <x:c r="O107" s="4" t="s">
        <x:v>2795</x:v>
      </x:c>
      <x:c r="P107" s="4" t="s">
        <x:v>2796</x:v>
      </x:c>
    </x:row>
    <x:row r="108">
      <x:c r="A108" s="4" t="s">
        <x:v>2919</x:v>
      </x:c>
      <x:c r="B108" s="4" t="s">
        <x:v>1303</x:v>
      </x:c>
      <x:c r="C108" s="4" t="s">
        <x:v>2810</x:v>
      </x:c>
      <x:c r="D108" s="4" t="s">
        <x:v>107</x:v>
      </x:c>
      <x:c r="E108" s="4" t="s">
        <x:v>107</x:v>
      </x:c>
      <x:c r="F108" s="4" t="s">
        <x:v>107</x:v>
      </x:c>
      <x:c r="G108" s="4" t="s">
        <x:v>2904</x:v>
      </x:c>
      <x:c r="H108" s="4" t="s">
        <x:v>171</x:v>
      </x:c>
      <x:c r="I108" s="4" t="s">
        <x:v>172</x:v>
      </x:c>
      <x:c r="J108" s="4" t="s">
        <x:v>2791</x:v>
      </x:c>
      <x:c r="K108" s="4" t="s">
        <x:v>107</x:v>
      </x:c>
      <x:c r="L108" s="4" t="s">
        <x:v>2792</x:v>
      </x:c>
      <x:c r="M108" s="4" t="s">
        <x:v>2793</x:v>
      </x:c>
      <x:c r="N108" s="4" t="s">
        <x:v>2794</x:v>
      </x:c>
      <x:c r="O108" s="4" t="s">
        <x:v>2795</x:v>
      </x:c>
      <x:c r="P108" s="4" t="s">
        <x:v>2796</x:v>
      </x:c>
    </x:row>
    <x:row r="109">
      <x:c r="A109" s="4" t="s">
        <x:v>2920</x:v>
      </x:c>
      <x:c r="B109" s="4" t="s">
        <x:v>1304</x:v>
      </x:c>
      <x:c r="C109" s="4" t="s">
        <x:v>166</x:v>
      </x:c>
      <x:c r="D109" s="4" t="s">
        <x:v>107</x:v>
      </x:c>
      <x:c r="E109" s="4" t="s">
        <x:v>107</x:v>
      </x:c>
      <x:c r="F109" s="4" t="s">
        <x:v>107</x:v>
      </x:c>
      <x:c r="G109" s="4" t="s">
        <x:v>2921</x:v>
      </x:c>
      <x:c r="H109" s="4" t="s">
        <x:v>2922</x:v>
      </x:c>
      <x:c r="I109" s="4" t="s">
        <x:v>172</x:v>
      </x:c>
      <x:c r="J109" s="4" t="s">
        <x:v>1397</x:v>
      </x:c>
      <x:c r="K109" s="4" t="s">
        <x:v>107</x:v>
      </x:c>
      <x:c r="L109" s="4" t="s">
        <x:v>2792</x:v>
      </x:c>
      <x:c r="M109" s="4" t="s">
        <x:v>2793</x:v>
      </x:c>
      <x:c r="N109" s="4" t="s">
        <x:v>172</x:v>
      </x:c>
      <x:c r="O109" s="4" t="s">
        <x:v>2923</x:v>
      </x:c>
      <x:c r="P109" s="4" t="s">
        <x:v>2924</x:v>
      </x:c>
    </x:row>
    <x:row r="110">
      <x:c r="A110" s="4" t="s">
        <x:v>2925</x:v>
      </x:c>
      <x:c r="B110" s="4" t="s">
        <x:v>1305</x:v>
      </x:c>
      <x:c r="C110" s="4" t="s">
        <x:v>1400</x:v>
      </x:c>
      <x:c r="D110" s="4" t="s">
        <x:v>2926</x:v>
      </x:c>
      <x:c r="E110" s="4" t="s">
        <x:v>2927</x:v>
      </x:c>
      <x:c r="F110" s="4" t="s">
        <x:v>107</x:v>
      </x:c>
      <x:c r="G110" s="4" t="s">
        <x:v>2921</x:v>
      </x:c>
      <x:c r="H110" s="4" t="s">
        <x:v>2922</x:v>
      </x:c>
      <x:c r="I110" s="4" t="s">
        <x:v>172</x:v>
      </x:c>
      <x:c r="J110" s="4" t="s">
        <x:v>1397</x:v>
      </x:c>
      <x:c r="K110" s="4" t="s">
        <x:v>107</x:v>
      </x:c>
      <x:c r="L110" s="4" t="s">
        <x:v>2792</x:v>
      </x:c>
      <x:c r="M110" s="4" t="s">
        <x:v>2793</x:v>
      </x:c>
      <x:c r="N110" s="4" t="s">
        <x:v>172</x:v>
      </x:c>
      <x:c r="O110" s="4" t="s">
        <x:v>2923</x:v>
      </x:c>
      <x:c r="P110" s="4" t="s">
        <x:v>2924</x:v>
      </x:c>
    </x:row>
    <x:row r="111">
      <x:c r="A111" s="4" t="s">
        <x:v>2928</x:v>
      </x:c>
      <x:c r="B111" s="4" t="s">
        <x:v>1306</x:v>
      </x:c>
      <x:c r="C111" s="4" t="s">
        <x:v>1400</x:v>
      </x:c>
      <x:c r="D111" s="4" t="s">
        <x:v>2929</x:v>
      </x:c>
      <x:c r="E111" s="4" t="s">
        <x:v>2930</x:v>
      </x:c>
      <x:c r="F111" s="4" t="s">
        <x:v>107</x:v>
      </x:c>
      <x:c r="G111" s="4" t="s">
        <x:v>2921</x:v>
      </x:c>
      <x:c r="H111" s="4" t="s">
        <x:v>2922</x:v>
      </x:c>
      <x:c r="I111" s="4" t="s">
        <x:v>172</x:v>
      </x:c>
      <x:c r="J111" s="4" t="s">
        <x:v>1397</x:v>
      </x:c>
      <x:c r="K111" s="4" t="s">
        <x:v>107</x:v>
      </x:c>
      <x:c r="L111" s="4" t="s">
        <x:v>2792</x:v>
      </x:c>
      <x:c r="M111" s="4" t="s">
        <x:v>2793</x:v>
      </x:c>
      <x:c r="N111" s="4" t="s">
        <x:v>172</x:v>
      </x:c>
      <x:c r="O111" s="4" t="s">
        <x:v>2923</x:v>
      </x:c>
      <x:c r="P111" s="4" t="s">
        <x:v>2924</x:v>
      </x:c>
    </x:row>
    <x:row r="112">
      <x:c r="A112" s="4" t="s">
        <x:v>2931</x:v>
      </x:c>
      <x:c r="B112" s="4" t="s">
        <x:v>1307</x:v>
      </x:c>
      <x:c r="C112" s="4" t="s">
        <x:v>166</x:v>
      </x:c>
      <x:c r="D112" s="4" t="s">
        <x:v>107</x:v>
      </x:c>
      <x:c r="E112" s="4" t="s">
        <x:v>107</x:v>
      </x:c>
      <x:c r="F112" s="4" t="s">
        <x:v>107</x:v>
      </x:c>
      <x:c r="G112" s="4" t="s">
        <x:v>2921</x:v>
      </x:c>
      <x:c r="H112" s="4" t="s">
        <x:v>2922</x:v>
      </x:c>
      <x:c r="I112" s="4" t="s">
        <x:v>172</x:v>
      </x:c>
      <x:c r="J112" s="4" t="s">
        <x:v>1397</x:v>
      </x:c>
      <x:c r="K112" s="4" t="s">
        <x:v>107</x:v>
      </x:c>
      <x:c r="L112" s="4" t="s">
        <x:v>2792</x:v>
      </x:c>
      <x:c r="M112" s="4" t="s">
        <x:v>2793</x:v>
      </x:c>
      <x:c r="N112" s="4" t="s">
        <x:v>172</x:v>
      </x:c>
      <x:c r="O112" s="4" t="s">
        <x:v>2923</x:v>
      </x:c>
      <x:c r="P112" s="4" t="s">
        <x:v>2924</x:v>
      </x:c>
    </x:row>
    <x:row r="113">
      <x:c r="A113" s="4" t="s">
        <x:v>2932</x:v>
      </x:c>
      <x:c r="B113" s="4" t="s">
        <x:v>1308</x:v>
      </x:c>
      <x:c r="C113" s="4" t="s">
        <x:v>1400</x:v>
      </x:c>
      <x:c r="D113" s="4" t="s">
        <x:v>2933</x:v>
      </x:c>
      <x:c r="E113" s="4" t="s">
        <x:v>2934</x:v>
      </x:c>
      <x:c r="F113" s="4" t="s">
        <x:v>107</x:v>
      </x:c>
      <x:c r="G113" s="4" t="s">
        <x:v>2921</x:v>
      </x:c>
      <x:c r="H113" s="4" t="s">
        <x:v>2922</x:v>
      </x:c>
      <x:c r="I113" s="4" t="s">
        <x:v>172</x:v>
      </x:c>
      <x:c r="J113" s="4" t="s">
        <x:v>1397</x:v>
      </x:c>
      <x:c r="K113" s="4" t="s">
        <x:v>107</x:v>
      </x:c>
      <x:c r="L113" s="4" t="s">
        <x:v>2792</x:v>
      </x:c>
      <x:c r="M113" s="4" t="s">
        <x:v>2793</x:v>
      </x:c>
      <x:c r="N113" s="4" t="s">
        <x:v>172</x:v>
      </x:c>
      <x:c r="O113" s="4" t="s">
        <x:v>2923</x:v>
      </x:c>
      <x:c r="P113" s="4" t="s">
        <x:v>2924</x:v>
      </x:c>
    </x:row>
    <x:row r="114">
      <x:c r="A114" s="4" t="s">
        <x:v>2935</x:v>
      </x:c>
      <x:c r="B114" s="4" t="s">
        <x:v>1309</x:v>
      </x:c>
      <x:c r="C114" s="4" t="s">
        <x:v>166</x:v>
      </x:c>
      <x:c r="D114" s="4" t="s">
        <x:v>107</x:v>
      </x:c>
      <x:c r="E114" s="4" t="s">
        <x:v>107</x:v>
      </x:c>
      <x:c r="F114" s="4" t="s">
        <x:v>107</x:v>
      </x:c>
      <x:c r="G114" s="4" t="s">
        <x:v>2921</x:v>
      </x:c>
      <x:c r="H114" s="4" t="s">
        <x:v>2922</x:v>
      </x:c>
      <x:c r="I114" s="4" t="s">
        <x:v>172</x:v>
      </x:c>
      <x:c r="J114" s="4" t="s">
        <x:v>1397</x:v>
      </x:c>
      <x:c r="K114" s="4" t="s">
        <x:v>107</x:v>
      </x:c>
      <x:c r="L114" s="4" t="s">
        <x:v>2792</x:v>
      </x:c>
      <x:c r="M114" s="4" t="s">
        <x:v>2793</x:v>
      </x:c>
      <x:c r="N114" s="4" t="s">
        <x:v>172</x:v>
      </x:c>
      <x:c r="O114" s="4" t="s">
        <x:v>2923</x:v>
      </x:c>
      <x:c r="P114" s="4" t="s">
        <x:v>2924</x:v>
      </x:c>
    </x:row>
    <x:row r="115">
      <x:c r="A115" s="4" t="s">
        <x:v>2936</x:v>
      </x:c>
      <x:c r="B115" s="4" t="s">
        <x:v>1310</x:v>
      </x:c>
      <x:c r="C115" s="4" t="s">
        <x:v>1400</x:v>
      </x:c>
      <x:c r="D115" s="4" t="s">
        <x:v>2937</x:v>
      </x:c>
      <x:c r="E115" s="4" t="s">
        <x:v>2938</x:v>
      </x:c>
      <x:c r="F115" s="4" t="s">
        <x:v>107</x:v>
      </x:c>
      <x:c r="G115" s="4" t="s">
        <x:v>2921</x:v>
      </x:c>
      <x:c r="H115" s="4" t="s">
        <x:v>2922</x:v>
      </x:c>
      <x:c r="I115" s="4" t="s">
        <x:v>172</x:v>
      </x:c>
      <x:c r="J115" s="4" t="s">
        <x:v>1397</x:v>
      </x:c>
      <x:c r="K115" s="4" t="s">
        <x:v>107</x:v>
      </x:c>
      <x:c r="L115" s="4" t="s">
        <x:v>2792</x:v>
      </x:c>
      <x:c r="M115" s="4" t="s">
        <x:v>2793</x:v>
      </x:c>
      <x:c r="N115" s="4" t="s">
        <x:v>172</x:v>
      </x:c>
      <x:c r="O115" s="4" t="s">
        <x:v>2923</x:v>
      </x:c>
      <x:c r="P115" s="4" t="s">
        <x:v>2924</x:v>
      </x:c>
    </x:row>
    <x:row r="116">
      <x:c r="A116" s="4" t="s">
        <x:v>2939</x:v>
      </x:c>
      <x:c r="B116" s="4" t="s">
        <x:v>1311</x:v>
      </x:c>
      <x:c r="C116" s="4" t="s">
        <x:v>1400</x:v>
      </x:c>
      <x:c r="D116" s="4" t="s">
        <x:v>2940</x:v>
      </x:c>
      <x:c r="E116" s="4" t="s">
        <x:v>2941</x:v>
      </x:c>
      <x:c r="F116" s="4" t="s">
        <x:v>107</x:v>
      </x:c>
      <x:c r="G116" s="4" t="s">
        <x:v>2921</x:v>
      </x:c>
      <x:c r="H116" s="4" t="s">
        <x:v>2922</x:v>
      </x:c>
      <x:c r="I116" s="4" t="s">
        <x:v>172</x:v>
      </x:c>
      <x:c r="J116" s="4" t="s">
        <x:v>1397</x:v>
      </x:c>
      <x:c r="K116" s="4" t="s">
        <x:v>107</x:v>
      </x:c>
      <x:c r="L116" s="4" t="s">
        <x:v>2792</x:v>
      </x:c>
      <x:c r="M116" s="4" t="s">
        <x:v>2793</x:v>
      </x:c>
      <x:c r="N116" s="4" t="s">
        <x:v>172</x:v>
      </x:c>
      <x:c r="O116" s="4" t="s">
        <x:v>2923</x:v>
      </x:c>
      <x:c r="P116" s="4" t="s">
        <x:v>2924</x:v>
      </x:c>
    </x:row>
    <x:row r="117">
      <x:c r="A117" s="4" t="s">
        <x:v>2942</x:v>
      </x:c>
      <x:c r="B117" s="4" t="s">
        <x:v>1312</x:v>
      </x:c>
      <x:c r="C117" s="4" t="s">
        <x:v>1400</x:v>
      </x:c>
      <x:c r="D117" s="4" t="s">
        <x:v>2943</x:v>
      </x:c>
      <x:c r="E117" s="4" t="s">
        <x:v>2944</x:v>
      </x:c>
      <x:c r="F117" s="4" t="s">
        <x:v>107</x:v>
      </x:c>
      <x:c r="G117" s="4" t="s">
        <x:v>2921</x:v>
      </x:c>
      <x:c r="H117" s="4" t="s">
        <x:v>2922</x:v>
      </x:c>
      <x:c r="I117" s="4" t="s">
        <x:v>172</x:v>
      </x:c>
      <x:c r="J117" s="4" t="s">
        <x:v>1397</x:v>
      </x:c>
      <x:c r="K117" s="4" t="s">
        <x:v>107</x:v>
      </x:c>
      <x:c r="L117" s="4" t="s">
        <x:v>2792</x:v>
      </x:c>
      <x:c r="M117" s="4" t="s">
        <x:v>2793</x:v>
      </x:c>
      <x:c r="N117" s="4" t="s">
        <x:v>172</x:v>
      </x:c>
      <x:c r="O117" s="4" t="s">
        <x:v>2923</x:v>
      </x:c>
      <x:c r="P117" s="4" t="s">
        <x:v>2924</x:v>
      </x:c>
    </x:row>
    <x:row r="118">
      <x:c r="A118" s="4" t="s">
        <x:v>2945</x:v>
      </x:c>
      <x:c r="B118" s="4" t="s">
        <x:v>1313</x:v>
      </x:c>
      <x:c r="C118" s="4" t="s">
        <x:v>1401</x:v>
      </x:c>
      <x:c r="D118" s="4" t="s">
        <x:v>107</x:v>
      </x:c>
      <x:c r="E118" s="4" t="s">
        <x:v>107</x:v>
      </x:c>
      <x:c r="F118" s="4" t="s">
        <x:v>2946</x:v>
      </x:c>
      <x:c r="G118" s="4" t="s">
        <x:v>2921</x:v>
      </x:c>
      <x:c r="H118" s="4" t="s">
        <x:v>2922</x:v>
      </x:c>
      <x:c r="I118" s="4" t="s">
        <x:v>172</x:v>
      </x:c>
      <x:c r="J118" s="4" t="s">
        <x:v>1397</x:v>
      </x:c>
      <x:c r="K118" s="4" t="s">
        <x:v>107</x:v>
      </x:c>
      <x:c r="L118" s="4" t="s">
        <x:v>2792</x:v>
      </x:c>
      <x:c r="M118" s="4" t="s">
        <x:v>2793</x:v>
      </x:c>
      <x:c r="N118" s="4" t="s">
        <x:v>172</x:v>
      </x:c>
      <x:c r="O118" s="4" t="s">
        <x:v>2947</x:v>
      </x:c>
      <x:c r="P118" s="4" t="s">
        <x:v>2948</x:v>
      </x:c>
    </x:row>
    <x:row r="119">
      <x:c r="A119" s="4" t="s">
        <x:v>2949</x:v>
      </x:c>
      <x:c r="B119" s="4" t="s">
        <x:v>1314</x:v>
      </x:c>
      <x:c r="C119" s="4" t="s">
        <x:v>2810</x:v>
      </x:c>
      <x:c r="D119" s="4" t="s">
        <x:v>107</x:v>
      </x:c>
      <x:c r="E119" s="4" t="s">
        <x:v>107</x:v>
      </x:c>
      <x:c r="F119" s="4" t="s">
        <x:v>107</x:v>
      </x:c>
      <x:c r="G119" s="4" t="s">
        <x:v>2921</x:v>
      </x:c>
      <x:c r="H119" s="4" t="s">
        <x:v>171</x:v>
      </x:c>
      <x:c r="I119" s="4" t="s">
        <x:v>172</x:v>
      </x:c>
      <x:c r="J119" s="4" t="s">
        <x:v>2791</x:v>
      </x:c>
      <x:c r="K119" s="4" t="s">
        <x:v>107</x:v>
      </x:c>
      <x:c r="L119" s="4" t="s">
        <x:v>2792</x:v>
      </x:c>
      <x:c r="M119" s="4" t="s">
        <x:v>2793</x:v>
      </x:c>
      <x:c r="N119" s="4" t="s">
        <x:v>2794</x:v>
      </x:c>
      <x:c r="O119" s="4" t="s">
        <x:v>2795</x:v>
      </x:c>
      <x:c r="P119" s="4" t="s">
        <x:v>2796</x:v>
      </x:c>
    </x:row>
    <x:row r="120">
      <x:c r="A120" s="4" t="s">
        <x:v>2950</x:v>
      </x:c>
      <x:c r="B120" s="4" t="s">
        <x:v>1315</x:v>
      </x:c>
      <x:c r="C120" s="4" t="s">
        <x:v>2810</x:v>
      </x:c>
      <x:c r="D120" s="4" t="s">
        <x:v>107</x:v>
      </x:c>
      <x:c r="E120" s="4" t="s">
        <x:v>107</x:v>
      </x:c>
      <x:c r="F120" s="4" t="s">
        <x:v>107</x:v>
      </x:c>
      <x:c r="G120" s="4" t="s">
        <x:v>2921</x:v>
      </x:c>
      <x:c r="H120" s="4" t="s">
        <x:v>171</x:v>
      </x:c>
      <x:c r="I120" s="4" t="s">
        <x:v>172</x:v>
      </x:c>
      <x:c r="J120" s="4" t="s">
        <x:v>2791</x:v>
      </x:c>
      <x:c r="K120" s="4" t="s">
        <x:v>107</x:v>
      </x:c>
      <x:c r="L120" s="4" t="s">
        <x:v>2792</x:v>
      </x:c>
      <x:c r="M120" s="4" t="s">
        <x:v>2793</x:v>
      </x:c>
      <x:c r="N120" s="4" t="s">
        <x:v>2794</x:v>
      </x:c>
      <x:c r="O120" s="4" t="s">
        <x:v>2795</x:v>
      </x:c>
      <x:c r="P120" s="4" t="s">
        <x:v>2796</x:v>
      </x:c>
    </x:row>
    <x:row r="121">
      <x:c r="A121" s="4" t="s">
        <x:v>2951</x:v>
      </x:c>
      <x:c r="B121" s="4" t="s">
        <x:v>1316</x:v>
      </x:c>
      <x:c r="C121" s="4" t="s">
        <x:v>2952</x:v>
      </x:c>
      <x:c r="D121" s="4" t="s">
        <x:v>107</x:v>
      </x:c>
      <x:c r="E121" s="4" t="s">
        <x:v>107</x:v>
      </x:c>
      <x:c r="F121" s="4" t="s">
        <x:v>107</x:v>
      </x:c>
      <x:c r="G121" s="4" t="s">
        <x:v>2953</x:v>
      </x:c>
      <x:c r="H121" s="4" t="s">
        <x:v>172</x:v>
      </x:c>
      <x:c r="I121" s="4" t="s">
        <x:v>171</x:v>
      </x:c>
      <x:c r="J121" s="4" t="s">
        <x:v>2954</x:v>
      </x:c>
      <x:c r="K121" s="4" t="s">
        <x:v>107</x:v>
      </x:c>
      <x:c r="L121" s="4" t="s">
        <x:v>2792</x:v>
      </x:c>
      <x:c r="M121" s="4" t="s">
        <x:v>2793</x:v>
      </x:c>
      <x:c r="N121" s="4" t="s">
        <x:v>171</x:v>
      </x:c>
      <x:c r="O121" s="4" t="s">
        <x:v>2955</x:v>
      </x:c>
      <x:c r="P121" s="4" t="s">
        <x:v>2956</x:v>
      </x:c>
    </x:row>
    <x:row r="122">
      <x:c r="A122" s="4" t="s">
        <x:v>2957</x:v>
      </x:c>
      <x:c r="B122" s="4" t="s">
        <x:v>1317</x:v>
      </x:c>
      <x:c r="C122" s="4" t="s">
        <x:v>2952</x:v>
      </x:c>
      <x:c r="D122" s="4" t="s">
        <x:v>107</x:v>
      </x:c>
      <x:c r="E122" s="4" t="s">
        <x:v>107</x:v>
      </x:c>
      <x:c r="F122" s="4" t="s">
        <x:v>107</x:v>
      </x:c>
      <x:c r="G122" s="4" t="s">
        <x:v>2953</x:v>
      </x:c>
      <x:c r="H122" s="4" t="s">
        <x:v>172</x:v>
      </x:c>
      <x:c r="I122" s="4" t="s">
        <x:v>171</x:v>
      </x:c>
      <x:c r="J122" s="4" t="s">
        <x:v>176</x:v>
      </x:c>
      <x:c r="K122" s="4" t="s">
        <x:v>107</x:v>
      </x:c>
      <x:c r="L122" s="4" t="s">
        <x:v>2792</x:v>
      </x:c>
      <x:c r="M122" s="4" t="s">
        <x:v>2793</x:v>
      </x:c>
      <x:c r="N122" s="4" t="s">
        <x:v>171</x:v>
      </x:c>
      <x:c r="O122" s="4" t="s">
        <x:v>2955</x:v>
      </x:c>
      <x:c r="P122" s="4" t="s">
        <x:v>2956</x:v>
      </x:c>
    </x:row>
    <x:row r="123">
      <x:c r="A123" s="4" t="s">
        <x:v>2958</x:v>
      </x:c>
      <x:c r="B123" s="4" t="s">
        <x:v>1318</x:v>
      </x:c>
      <x:c r="C123" s="4" t="s">
        <x:v>2952</x:v>
      </x:c>
      <x:c r="D123" s="4" t="s">
        <x:v>107</x:v>
      </x:c>
      <x:c r="E123" s="4" t="s">
        <x:v>107</x:v>
      </x:c>
      <x:c r="F123" s="4" t="s">
        <x:v>107</x:v>
      </x:c>
      <x:c r="G123" s="4" t="s">
        <x:v>2953</x:v>
      </x:c>
      <x:c r="H123" s="4" t="s">
        <x:v>172</x:v>
      </x:c>
      <x:c r="I123" s="4" t="s">
        <x:v>171</x:v>
      </x:c>
      <x:c r="J123" s="4" t="s">
        <x:v>176</x:v>
      </x:c>
      <x:c r="K123" s="4" t="s">
        <x:v>2959</x:v>
      </x:c>
      <x:c r="L123" s="4" t="s">
        <x:v>2792</x:v>
      </x:c>
      <x:c r="M123" s="4" t="s">
        <x:v>2793</x:v>
      </x:c>
      <x:c r="N123" s="4" t="s">
        <x:v>171</x:v>
      </x:c>
      <x:c r="O123" s="4" t="s">
        <x:v>2955</x:v>
      </x:c>
      <x:c r="P123" s="4" t="s">
        <x:v>2956</x:v>
      </x:c>
    </x:row>
    <x:row r="124">
      <x:c r="A124" s="4" t="s">
        <x:v>2960</x:v>
      </x:c>
      <x:c r="B124" s="4" t="s">
        <x:v>710</x:v>
      </x:c>
      <x:c r="C124" s="4" t="s">
        <x:v>2952</x:v>
      </x:c>
      <x:c r="D124" s="4" t="s">
        <x:v>107</x:v>
      </x:c>
      <x:c r="E124" s="4" t="s">
        <x:v>107</x:v>
      </x:c>
      <x:c r="F124" s="4" t="s">
        <x:v>107</x:v>
      </x:c>
      <x:c r="G124" s="4" t="s">
        <x:v>2953</x:v>
      </x:c>
      <x:c r="H124" s="4" t="s">
        <x:v>172</x:v>
      </x:c>
      <x:c r="I124" s="4" t="s">
        <x:v>171</x:v>
      </x:c>
      <x:c r="J124" s="4" t="s">
        <x:v>176</x:v>
      </x:c>
      <x:c r="K124" s="4" t="s">
        <x:v>107</x:v>
      </x:c>
      <x:c r="L124" s="4" t="s">
        <x:v>2792</x:v>
      </x:c>
      <x:c r="M124" s="4" t="s">
        <x:v>2793</x:v>
      </x:c>
      <x:c r="N124" s="4" t="s">
        <x:v>171</x:v>
      </x:c>
      <x:c r="O124" s="4" t="s">
        <x:v>2955</x:v>
      </x:c>
      <x:c r="P124" s="4" t="s">
        <x:v>2956</x:v>
      </x:c>
    </x:row>
    <x:row r="125">
      <x:c r="A125" s="4" t="s">
        <x:v>2961</x:v>
      </x:c>
      <x:c r="B125" s="4" t="s">
        <x:v>711</x:v>
      </x:c>
      <x:c r="C125" s="4" t="s">
        <x:v>2952</x:v>
      </x:c>
      <x:c r="D125" s="4" t="s">
        <x:v>107</x:v>
      </x:c>
      <x:c r="E125" s="4" t="s">
        <x:v>107</x:v>
      </x:c>
      <x:c r="F125" s="4" t="s">
        <x:v>107</x:v>
      </x:c>
      <x:c r="G125" s="4" t="s">
        <x:v>2953</x:v>
      </x:c>
      <x:c r="H125" s="4" t="s">
        <x:v>172</x:v>
      </x:c>
      <x:c r="I125" s="4" t="s">
        <x:v>171</x:v>
      </x:c>
      <x:c r="J125" s="4" t="s">
        <x:v>176</x:v>
      </x:c>
      <x:c r="K125" s="4" t="s">
        <x:v>107</x:v>
      </x:c>
      <x:c r="L125" s="4" t="s">
        <x:v>2792</x:v>
      </x:c>
      <x:c r="M125" s="4" t="s">
        <x:v>2793</x:v>
      </x:c>
      <x:c r="N125" s="4" t="s">
        <x:v>171</x:v>
      </x:c>
      <x:c r="O125" s="4" t="s">
        <x:v>2955</x:v>
      </x:c>
      <x:c r="P125" s="4" t="s">
        <x:v>2956</x:v>
      </x:c>
    </x:row>
    <x:row r="126">
      <x:c r="A126" s="4" t="s">
        <x:v>2962</x:v>
      </x:c>
      <x:c r="B126" s="4" t="s">
        <x:v>1319</x:v>
      </x:c>
      <x:c r="C126" s="4" t="s">
        <x:v>2952</x:v>
      </x:c>
      <x:c r="D126" s="4" t="s">
        <x:v>107</x:v>
      </x:c>
      <x:c r="E126" s="4" t="s">
        <x:v>107</x:v>
      </x:c>
      <x:c r="F126" s="4" t="s">
        <x:v>107</x:v>
      </x:c>
      <x:c r="G126" s="4" t="s">
        <x:v>2953</x:v>
      </x:c>
      <x:c r="H126" s="4" t="s">
        <x:v>172</x:v>
      </x:c>
      <x:c r="I126" s="4" t="s">
        <x:v>171</x:v>
      </x:c>
      <x:c r="J126" s="4" t="s">
        <x:v>176</x:v>
      </x:c>
      <x:c r="K126" s="4" t="s">
        <x:v>107</x:v>
      </x:c>
      <x:c r="L126" s="4" t="s">
        <x:v>2792</x:v>
      </x:c>
      <x:c r="M126" s="4" t="s">
        <x:v>2793</x:v>
      </x:c>
      <x:c r="N126" s="4" t="s">
        <x:v>171</x:v>
      </x:c>
      <x:c r="O126" s="4" t="s">
        <x:v>2955</x:v>
      </x:c>
      <x:c r="P126" s="4" t="s">
        <x:v>2956</x:v>
      </x:c>
    </x:row>
    <x:row r="127">
      <x:c r="A127" s="4" t="s">
        <x:v>2963</x:v>
      </x:c>
      <x:c r="B127" s="4" t="s">
        <x:v>1320</x:v>
      </x:c>
      <x:c r="C127" s="4" t="s">
        <x:v>2952</x:v>
      </x:c>
      <x:c r="D127" s="4" t="s">
        <x:v>107</x:v>
      </x:c>
      <x:c r="E127" s="4" t="s">
        <x:v>107</x:v>
      </x:c>
      <x:c r="F127" s="4" t="s">
        <x:v>107</x:v>
      </x:c>
      <x:c r="G127" s="4" t="s">
        <x:v>2953</x:v>
      </x:c>
      <x:c r="H127" s="4" t="s">
        <x:v>172</x:v>
      </x:c>
      <x:c r="I127" s="4" t="s">
        <x:v>171</x:v>
      </x:c>
      <x:c r="J127" s="4" t="s">
        <x:v>176</x:v>
      </x:c>
      <x:c r="K127" s="4" t="s">
        <x:v>2964</x:v>
      </x:c>
      <x:c r="L127" s="4" t="s">
        <x:v>2792</x:v>
      </x:c>
      <x:c r="M127" s="4" t="s">
        <x:v>2793</x:v>
      </x:c>
      <x:c r="N127" s="4" t="s">
        <x:v>171</x:v>
      </x:c>
      <x:c r="O127" s="4" t="s">
        <x:v>2955</x:v>
      </x:c>
      <x:c r="P127" s="4" t="s">
        <x:v>2956</x:v>
      </x:c>
    </x:row>
    <x:row r="128">
      <x:c r="A128" s="4" t="s">
        <x:v>2965</x:v>
      </x:c>
      <x:c r="B128" s="4" t="s">
        <x:v>1321</x:v>
      </x:c>
      <x:c r="C128" s="4" t="s">
        <x:v>2952</x:v>
      </x:c>
      <x:c r="D128" s="4" t="s">
        <x:v>107</x:v>
      </x:c>
      <x:c r="E128" s="4" t="s">
        <x:v>107</x:v>
      </x:c>
      <x:c r="F128" s="4" t="s">
        <x:v>107</x:v>
      </x:c>
      <x:c r="G128" s="4" t="s">
        <x:v>2953</x:v>
      </x:c>
      <x:c r="H128" s="4" t="s">
        <x:v>172</x:v>
      </x:c>
      <x:c r="I128" s="4" t="s">
        <x:v>171</x:v>
      </x:c>
      <x:c r="J128" s="4" t="s">
        <x:v>176</x:v>
      </x:c>
      <x:c r="K128" s="4" t="s">
        <x:v>107</x:v>
      </x:c>
      <x:c r="L128" s="4" t="s">
        <x:v>2792</x:v>
      </x:c>
      <x:c r="M128" s="4" t="s">
        <x:v>2793</x:v>
      </x:c>
      <x:c r="N128" s="4" t="s">
        <x:v>171</x:v>
      </x:c>
      <x:c r="O128" s="4" t="s">
        <x:v>2955</x:v>
      </x:c>
      <x:c r="P128" s="4" t="s">
        <x:v>2956</x:v>
      </x:c>
    </x:row>
    <x:row r="129">
      <x:c r="A129" s="4" t="s">
        <x:v>2966</x:v>
      </x:c>
      <x:c r="B129" s="4" t="s">
        <x:v>138</x:v>
      </x:c>
      <x:c r="C129" s="4" t="s">
        <x:v>2952</x:v>
      </x:c>
      <x:c r="D129" s="4" t="s">
        <x:v>107</x:v>
      </x:c>
      <x:c r="E129" s="4" t="s">
        <x:v>107</x:v>
      </x:c>
      <x:c r="F129" s="4" t="s">
        <x:v>107</x:v>
      </x:c>
      <x:c r="G129" s="4" t="s">
        <x:v>2953</x:v>
      </x:c>
      <x:c r="H129" s="4" t="s">
        <x:v>172</x:v>
      </x:c>
      <x:c r="I129" s="4" t="s">
        <x:v>171</x:v>
      </x:c>
      <x:c r="J129" s="4" t="s">
        <x:v>176</x:v>
      </x:c>
      <x:c r="K129" s="4" t="s">
        <x:v>107</x:v>
      </x:c>
      <x:c r="L129" s="4" t="s">
        <x:v>2792</x:v>
      </x:c>
      <x:c r="M129" s="4" t="s">
        <x:v>2793</x:v>
      </x:c>
      <x:c r="N129" s="4" t="s">
        <x:v>171</x:v>
      </x:c>
      <x:c r="O129" s="4" t="s">
        <x:v>2955</x:v>
      </x:c>
      <x:c r="P129" s="4" t="s">
        <x:v>2956</x:v>
      </x:c>
    </x:row>
    <x:row r="130">
      <x:c r="A130" s="4" t="s">
        <x:v>2967</x:v>
      </x:c>
      <x:c r="B130" s="4" t="s">
        <x:v>1322</x:v>
      </x:c>
      <x:c r="C130" s="4" t="s">
        <x:v>2952</x:v>
      </x:c>
      <x:c r="D130" s="4" t="s">
        <x:v>107</x:v>
      </x:c>
      <x:c r="E130" s="4" t="s">
        <x:v>107</x:v>
      </x:c>
      <x:c r="F130" s="4" t="s">
        <x:v>107</x:v>
      </x:c>
      <x:c r="G130" s="4" t="s">
        <x:v>2953</x:v>
      </x:c>
      <x:c r="H130" s="4" t="s">
        <x:v>172</x:v>
      </x:c>
      <x:c r="I130" s="4" t="s">
        <x:v>171</x:v>
      </x:c>
      <x:c r="J130" s="4" t="s">
        <x:v>176</x:v>
      </x:c>
      <x:c r="K130" s="4" t="s">
        <x:v>107</x:v>
      </x:c>
      <x:c r="L130" s="4" t="s">
        <x:v>2792</x:v>
      </x:c>
      <x:c r="M130" s="4" t="s">
        <x:v>2793</x:v>
      </x:c>
      <x:c r="N130" s="4" t="s">
        <x:v>171</x:v>
      </x:c>
      <x:c r="O130" s="4" t="s">
        <x:v>2955</x:v>
      </x:c>
      <x:c r="P130" s="4" t="s">
        <x:v>2956</x:v>
      </x:c>
    </x:row>
    <x:row r="131">
      <x:c r="A131" s="4" t="s">
        <x:v>2968</x:v>
      </x:c>
      <x:c r="B131" s="4" t="s">
        <x:v>140</x:v>
      </x:c>
      <x:c r="C131" s="4" t="s">
        <x:v>2952</x:v>
      </x:c>
      <x:c r="D131" s="4" t="s">
        <x:v>107</x:v>
      </x:c>
      <x:c r="E131" s="4" t="s">
        <x:v>107</x:v>
      </x:c>
      <x:c r="F131" s="4" t="s">
        <x:v>107</x:v>
      </x:c>
      <x:c r="G131" s="4" t="s">
        <x:v>2953</x:v>
      </x:c>
      <x:c r="H131" s="4" t="s">
        <x:v>172</x:v>
      </x:c>
      <x:c r="I131" s="4" t="s">
        <x:v>171</x:v>
      </x:c>
      <x:c r="J131" s="4" t="s">
        <x:v>176</x:v>
      </x:c>
      <x:c r="K131" s="4" t="s">
        <x:v>107</x:v>
      </x:c>
      <x:c r="L131" s="4" t="s">
        <x:v>2792</x:v>
      </x:c>
      <x:c r="M131" s="4" t="s">
        <x:v>2793</x:v>
      </x:c>
      <x:c r="N131" s="4" t="s">
        <x:v>171</x:v>
      </x:c>
      <x:c r="O131" s="4" t="s">
        <x:v>2955</x:v>
      </x:c>
      <x:c r="P131" s="4" t="s">
        <x:v>2956</x:v>
      </x:c>
    </x:row>
    <x:row r="132">
      <x:c r="A132" s="4" t="s">
        <x:v>2969</x:v>
      </x:c>
      <x:c r="B132" s="4" t="s">
        <x:v>64</x:v>
      </x:c>
      <x:c r="C132" s="4" t="s">
        <x:v>2952</x:v>
      </x:c>
      <x:c r="D132" s="4" t="s">
        <x:v>107</x:v>
      </x:c>
      <x:c r="E132" s="4" t="s">
        <x:v>107</x:v>
      </x:c>
      <x:c r="F132" s="4" t="s">
        <x:v>107</x:v>
      </x:c>
      <x:c r="G132" s="4" t="s">
        <x:v>2953</x:v>
      </x:c>
      <x:c r="H132" s="4" t="s">
        <x:v>172</x:v>
      </x:c>
      <x:c r="I132" s="4" t="s">
        <x:v>171</x:v>
      </x:c>
      <x:c r="J132" s="4" t="s">
        <x:v>176</x:v>
      </x:c>
      <x:c r="K132" s="4" t="s">
        <x:v>107</x:v>
      </x:c>
      <x:c r="L132" s="4" t="s">
        <x:v>2792</x:v>
      </x:c>
      <x:c r="M132" s="4" t="s">
        <x:v>2793</x:v>
      </x:c>
      <x:c r="N132" s="4" t="s">
        <x:v>171</x:v>
      </x:c>
      <x:c r="O132" s="4" t="s">
        <x:v>2955</x:v>
      </x:c>
      <x:c r="P132" s="4" t="s">
        <x:v>2956</x:v>
      </x:c>
    </x:row>
    <x:row r="133">
      <x:c r="A133" s="4" t="s">
        <x:v>2970</x:v>
      </x:c>
      <x:c r="B133" s="4" t="s">
        <x:v>713</x:v>
      </x:c>
      <x:c r="C133" s="4" t="s">
        <x:v>2952</x:v>
      </x:c>
      <x:c r="D133" s="4" t="s">
        <x:v>107</x:v>
      </x:c>
      <x:c r="E133" s="4" t="s">
        <x:v>107</x:v>
      </x:c>
      <x:c r="F133" s="4" t="s">
        <x:v>107</x:v>
      </x:c>
      <x:c r="G133" s="4" t="s">
        <x:v>2953</x:v>
      </x:c>
      <x:c r="H133" s="4" t="s">
        <x:v>172</x:v>
      </x:c>
      <x:c r="I133" s="4" t="s">
        <x:v>171</x:v>
      </x:c>
      <x:c r="J133" s="4" t="s">
        <x:v>176</x:v>
      </x:c>
      <x:c r="K133" s="4" t="s">
        <x:v>107</x:v>
      </x:c>
      <x:c r="L133" s="4" t="s">
        <x:v>2792</x:v>
      </x:c>
      <x:c r="M133" s="4" t="s">
        <x:v>2793</x:v>
      </x:c>
      <x:c r="N133" s="4" t="s">
        <x:v>171</x:v>
      </x:c>
      <x:c r="O133" s="4" t="s">
        <x:v>2955</x:v>
      </x:c>
      <x:c r="P133" s="4" t="s">
        <x:v>2956</x:v>
      </x:c>
    </x:row>
    <x:row r="134">
      <x:c r="A134" s="4" t="s">
        <x:v>2971</x:v>
      </x:c>
      <x:c r="B134" s="4" t="s">
        <x:v>714</x:v>
      </x:c>
      <x:c r="C134" s="4" t="s">
        <x:v>2952</x:v>
      </x:c>
      <x:c r="D134" s="4" t="s">
        <x:v>107</x:v>
      </x:c>
      <x:c r="E134" s="4" t="s">
        <x:v>107</x:v>
      </x:c>
      <x:c r="F134" s="4" t="s">
        <x:v>107</x:v>
      </x:c>
      <x:c r="G134" s="4" t="s">
        <x:v>2953</x:v>
      </x:c>
      <x:c r="H134" s="4" t="s">
        <x:v>172</x:v>
      </x:c>
      <x:c r="I134" s="4" t="s">
        <x:v>171</x:v>
      </x:c>
      <x:c r="J134" s="4" t="s">
        <x:v>176</x:v>
      </x:c>
      <x:c r="K134" s="4" t="s">
        <x:v>107</x:v>
      </x:c>
      <x:c r="L134" s="4" t="s">
        <x:v>2792</x:v>
      </x:c>
      <x:c r="M134" s="4" t="s">
        <x:v>2793</x:v>
      </x:c>
      <x:c r="N134" s="4" t="s">
        <x:v>171</x:v>
      </x:c>
      <x:c r="O134" s="4" t="s">
        <x:v>2955</x:v>
      </x:c>
      <x:c r="P134" s="4" t="s">
        <x:v>2956</x:v>
      </x:c>
    </x:row>
    <x:row r="135">
      <x:c r="A135" s="4" t="s">
        <x:v>2972</x:v>
      </x:c>
      <x:c r="B135" s="4" t="s">
        <x:v>141</x:v>
      </x:c>
      <x:c r="C135" s="4" t="s">
        <x:v>2952</x:v>
      </x:c>
      <x:c r="D135" s="4" t="s">
        <x:v>107</x:v>
      </x:c>
      <x:c r="E135" s="4" t="s">
        <x:v>107</x:v>
      </x:c>
      <x:c r="F135" s="4" t="s">
        <x:v>107</x:v>
      </x:c>
      <x:c r="G135" s="4" t="s">
        <x:v>2953</x:v>
      </x:c>
      <x:c r="H135" s="4" t="s">
        <x:v>172</x:v>
      </x:c>
      <x:c r="I135" s="4" t="s">
        <x:v>171</x:v>
      </x:c>
      <x:c r="J135" s="4" t="s">
        <x:v>176</x:v>
      </x:c>
      <x:c r="K135" s="4" t="s">
        <x:v>107</x:v>
      </x:c>
      <x:c r="L135" s="4" t="s">
        <x:v>2792</x:v>
      </x:c>
      <x:c r="M135" s="4" t="s">
        <x:v>2793</x:v>
      </x:c>
      <x:c r="N135" s="4" t="s">
        <x:v>171</x:v>
      </x:c>
      <x:c r="O135" s="4" t="s">
        <x:v>2955</x:v>
      </x:c>
      <x:c r="P135" s="4" t="s">
        <x:v>2956</x:v>
      </x:c>
    </x:row>
    <x:row r="136">
      <x:c r="A136" s="4" t="s">
        <x:v>2973</x:v>
      </x:c>
      <x:c r="B136" s="4" t="s">
        <x:v>715</x:v>
      </x:c>
      <x:c r="C136" s="4" t="s">
        <x:v>2952</x:v>
      </x:c>
      <x:c r="D136" s="4" t="s">
        <x:v>107</x:v>
      </x:c>
      <x:c r="E136" s="4" t="s">
        <x:v>107</x:v>
      </x:c>
      <x:c r="F136" s="4" t="s">
        <x:v>107</x:v>
      </x:c>
      <x:c r="G136" s="4" t="s">
        <x:v>2953</x:v>
      </x:c>
      <x:c r="H136" s="4" t="s">
        <x:v>172</x:v>
      </x:c>
      <x:c r="I136" s="4" t="s">
        <x:v>171</x:v>
      </x:c>
      <x:c r="J136" s="4" t="s">
        <x:v>176</x:v>
      </x:c>
      <x:c r="K136" s="4" t="s">
        <x:v>2974</x:v>
      </x:c>
      <x:c r="L136" s="4" t="s">
        <x:v>2792</x:v>
      </x:c>
      <x:c r="M136" s="4" t="s">
        <x:v>2793</x:v>
      </x:c>
      <x:c r="N136" s="4" t="s">
        <x:v>171</x:v>
      </x:c>
      <x:c r="O136" s="4" t="s">
        <x:v>2955</x:v>
      </x:c>
      <x:c r="P136" s="4" t="s">
        <x:v>2956</x:v>
      </x:c>
    </x:row>
    <x:row r="137">
      <x:c r="A137" s="4" t="s">
        <x:v>2975</x:v>
      </x:c>
      <x:c r="B137" s="4" t="s">
        <x:v>716</x:v>
      </x:c>
      <x:c r="C137" s="4" t="s">
        <x:v>2952</x:v>
      </x:c>
      <x:c r="D137" s="4" t="s">
        <x:v>107</x:v>
      </x:c>
      <x:c r="E137" s="4" t="s">
        <x:v>107</x:v>
      </x:c>
      <x:c r="F137" s="4" t="s">
        <x:v>107</x:v>
      </x:c>
      <x:c r="G137" s="4" t="s">
        <x:v>2953</x:v>
      </x:c>
      <x:c r="H137" s="4" t="s">
        <x:v>172</x:v>
      </x:c>
      <x:c r="I137" s="4" t="s">
        <x:v>171</x:v>
      </x:c>
      <x:c r="J137" s="4" t="s">
        <x:v>176</x:v>
      </x:c>
      <x:c r="K137" s="4" t="s">
        <x:v>107</x:v>
      </x:c>
      <x:c r="L137" s="4" t="s">
        <x:v>2802</x:v>
      </x:c>
      <x:c r="M137" s="4" t="s">
        <x:v>2803</x:v>
      </x:c>
      <x:c r="N137" s="4" t="s">
        <x:v>171</x:v>
      </x:c>
      <x:c r="O137" s="4" t="s">
        <x:v>2955</x:v>
      </x:c>
      <x:c r="P137" s="4" t="s">
        <x:v>2956</x:v>
      </x:c>
    </x:row>
    <x:row r="138">
      <x:c r="A138" s="4" t="s">
        <x:v>2976</x:v>
      </x:c>
      <x:c r="B138" s="4" t="s">
        <x:v>717</x:v>
      </x:c>
      <x:c r="C138" s="4" t="s">
        <x:v>2952</x:v>
      </x:c>
      <x:c r="D138" s="4" t="s">
        <x:v>107</x:v>
      </x:c>
      <x:c r="E138" s="4" t="s">
        <x:v>107</x:v>
      </x:c>
      <x:c r="F138" s="4" t="s">
        <x:v>107</x:v>
      </x:c>
      <x:c r="G138" s="4" t="s">
        <x:v>2953</x:v>
      </x:c>
      <x:c r="H138" s="4" t="s">
        <x:v>172</x:v>
      </x:c>
      <x:c r="I138" s="4" t="s">
        <x:v>171</x:v>
      </x:c>
      <x:c r="J138" s="4" t="s">
        <x:v>176</x:v>
      </x:c>
      <x:c r="K138" s="4" t="s">
        <x:v>107</x:v>
      </x:c>
      <x:c r="L138" s="4" t="s">
        <x:v>2792</x:v>
      </x:c>
      <x:c r="M138" s="4" t="s">
        <x:v>2793</x:v>
      </x:c>
      <x:c r="N138" s="4" t="s">
        <x:v>171</x:v>
      </x:c>
      <x:c r="O138" s="4" t="s">
        <x:v>2955</x:v>
      </x:c>
      <x:c r="P138" s="4" t="s">
        <x:v>2956</x:v>
      </x:c>
    </x:row>
    <x:row r="139">
      <x:c r="A139" s="4" t="s">
        <x:v>2977</x:v>
      </x:c>
      <x:c r="B139" s="4" t="s">
        <x:v>1323</x:v>
      </x:c>
      <x:c r="C139" s="4" t="s">
        <x:v>2952</x:v>
      </x:c>
      <x:c r="D139" s="4" t="s">
        <x:v>107</x:v>
      </x:c>
      <x:c r="E139" s="4" t="s">
        <x:v>107</x:v>
      </x:c>
      <x:c r="F139" s="4" t="s">
        <x:v>107</x:v>
      </x:c>
      <x:c r="G139" s="4" t="s">
        <x:v>2953</x:v>
      </x:c>
      <x:c r="H139" s="4" t="s">
        <x:v>172</x:v>
      </x:c>
      <x:c r="I139" s="4" t="s">
        <x:v>171</x:v>
      </x:c>
      <x:c r="J139" s="4" t="s">
        <x:v>176</x:v>
      </x:c>
      <x:c r="K139" s="4" t="s">
        <x:v>107</x:v>
      </x:c>
      <x:c r="L139" s="4" t="s">
        <x:v>2792</x:v>
      </x:c>
      <x:c r="M139" s="4" t="s">
        <x:v>2793</x:v>
      </x:c>
      <x:c r="N139" s="4" t="s">
        <x:v>171</x:v>
      </x:c>
      <x:c r="O139" s="4" t="s">
        <x:v>2955</x:v>
      </x:c>
      <x:c r="P139" s="4" t="s">
        <x:v>2956</x:v>
      </x:c>
    </x:row>
    <x:row r="140">
      <x:c r="A140" s="4" t="s">
        <x:v>2978</x:v>
      </x:c>
      <x:c r="B140" s="4" t="s">
        <x:v>1324</x:v>
      </x:c>
      <x:c r="C140" s="4" t="s">
        <x:v>2952</x:v>
      </x:c>
      <x:c r="D140" s="4" t="s">
        <x:v>107</x:v>
      </x:c>
      <x:c r="E140" s="4" t="s">
        <x:v>107</x:v>
      </x:c>
      <x:c r="F140" s="4" t="s">
        <x:v>107</x:v>
      </x:c>
      <x:c r="G140" s="4" t="s">
        <x:v>2953</x:v>
      </x:c>
      <x:c r="H140" s="4" t="s">
        <x:v>172</x:v>
      </x:c>
      <x:c r="I140" s="4" t="s">
        <x:v>171</x:v>
      </x:c>
      <x:c r="J140" s="4" t="s">
        <x:v>176</x:v>
      </x:c>
      <x:c r="K140" s="4" t="s">
        <x:v>107</x:v>
      </x:c>
      <x:c r="L140" s="4" t="s">
        <x:v>2792</x:v>
      </x:c>
      <x:c r="M140" s="4" t="s">
        <x:v>2793</x:v>
      </x:c>
      <x:c r="N140" s="4" t="s">
        <x:v>171</x:v>
      </x:c>
      <x:c r="O140" s="4" t="s">
        <x:v>2955</x:v>
      </x:c>
      <x:c r="P140" s="4" t="s">
        <x:v>2956</x:v>
      </x:c>
    </x:row>
    <x:row r="141">
      <x:c r="A141" s="4" t="s">
        <x:v>2979</x:v>
      </x:c>
      <x:c r="B141" s="4" t="s">
        <x:v>1325</x:v>
      </x:c>
      <x:c r="C141" s="4" t="s">
        <x:v>2952</x:v>
      </x:c>
      <x:c r="D141" s="4" t="s">
        <x:v>107</x:v>
      </x:c>
      <x:c r="E141" s="4" t="s">
        <x:v>107</x:v>
      </x:c>
      <x:c r="F141" s="4" t="s">
        <x:v>107</x:v>
      </x:c>
      <x:c r="G141" s="4" t="s">
        <x:v>2953</x:v>
      </x:c>
      <x:c r="H141" s="4" t="s">
        <x:v>172</x:v>
      </x:c>
      <x:c r="I141" s="4" t="s">
        <x:v>171</x:v>
      </x:c>
      <x:c r="J141" s="4" t="s">
        <x:v>176</x:v>
      </x:c>
      <x:c r="K141" s="4" t="s">
        <x:v>2959</x:v>
      </x:c>
      <x:c r="L141" s="4" t="s">
        <x:v>2792</x:v>
      </x:c>
      <x:c r="M141" s="4" t="s">
        <x:v>2793</x:v>
      </x:c>
      <x:c r="N141" s="4" t="s">
        <x:v>171</x:v>
      </x:c>
      <x:c r="O141" s="4" t="s">
        <x:v>2955</x:v>
      </x:c>
      <x:c r="P141" s="4" t="s">
        <x:v>2956</x:v>
      </x:c>
    </x:row>
    <x:row r="142">
      <x:c r="A142" s="4" t="s">
        <x:v>2980</x:v>
      </x:c>
      <x:c r="B142" s="4" t="s">
        <x:v>1326</x:v>
      </x:c>
      <x:c r="C142" s="4" t="s">
        <x:v>2952</x:v>
      </x:c>
      <x:c r="D142" s="4" t="s">
        <x:v>107</x:v>
      </x:c>
      <x:c r="E142" s="4" t="s">
        <x:v>107</x:v>
      </x:c>
      <x:c r="F142" s="4" t="s">
        <x:v>107</x:v>
      </x:c>
      <x:c r="G142" s="4" t="s">
        <x:v>2953</x:v>
      </x:c>
      <x:c r="H142" s="4" t="s">
        <x:v>172</x:v>
      </x:c>
      <x:c r="I142" s="4" t="s">
        <x:v>171</x:v>
      </x:c>
      <x:c r="J142" s="4" t="s">
        <x:v>176</x:v>
      </x:c>
      <x:c r="K142" s="4" t="s">
        <x:v>2981</x:v>
      </x:c>
      <x:c r="L142" s="4" t="s">
        <x:v>2792</x:v>
      </x:c>
      <x:c r="M142" s="4" t="s">
        <x:v>2793</x:v>
      </x:c>
      <x:c r="N142" s="4" t="s">
        <x:v>171</x:v>
      </x:c>
      <x:c r="O142" s="4" t="s">
        <x:v>2955</x:v>
      </x:c>
      <x:c r="P142" s="4" t="s">
        <x:v>2956</x:v>
      </x:c>
    </x:row>
    <x:row r="143">
      <x:c r="A143" s="4" t="s">
        <x:v>2982</x:v>
      </x:c>
      <x:c r="B143" s="4" t="s">
        <x:v>1327</x:v>
      </x:c>
      <x:c r="C143" s="4" t="s">
        <x:v>2810</x:v>
      </x:c>
      <x:c r="D143" s="4" t="s">
        <x:v>107</x:v>
      </x:c>
      <x:c r="E143" s="4" t="s">
        <x:v>107</x:v>
      </x:c>
      <x:c r="F143" s="4" t="s">
        <x:v>107</x:v>
      </x:c>
      <x:c r="G143" s="4" t="s">
        <x:v>2953</x:v>
      </x:c>
      <x:c r="H143" s="4" t="s">
        <x:v>171</x:v>
      </x:c>
      <x:c r="I143" s="4" t="s">
        <x:v>172</x:v>
      </x:c>
      <x:c r="J143" s="4" t="s">
        <x:v>2791</x:v>
      </x:c>
      <x:c r="K143" s="4" t="s">
        <x:v>107</x:v>
      </x:c>
      <x:c r="L143" s="4" t="s">
        <x:v>2792</x:v>
      </x:c>
      <x:c r="M143" s="4" t="s">
        <x:v>2793</x:v>
      </x:c>
      <x:c r="N143" s="4" t="s">
        <x:v>2794</x:v>
      </x:c>
      <x:c r="O143" s="4" t="s">
        <x:v>2795</x:v>
      </x:c>
      <x:c r="P143" s="4" t="s">
        <x:v>2796</x:v>
      </x:c>
    </x:row>
    <x:row r="144">
      <x:c r="A144" s="4" t="s">
        <x:v>2983</x:v>
      </x:c>
      <x:c r="B144" s="4" t="s">
        <x:v>1328</x:v>
      </x:c>
      <x:c r="C144" s="4" t="s">
        <x:v>2789</x:v>
      </x:c>
      <x:c r="D144" s="4" t="s">
        <x:v>107</x:v>
      </x:c>
      <x:c r="E144" s="4" t="s">
        <x:v>107</x:v>
      </x:c>
      <x:c r="F144" s="4" t="s">
        <x:v>107</x:v>
      </x:c>
      <x:c r="G144" s="4" t="s">
        <x:v>2984</x:v>
      </x:c>
      <x:c r="H144" s="4" t="s">
        <x:v>171</x:v>
      </x:c>
      <x:c r="I144" s="4" t="s">
        <x:v>172</x:v>
      </x:c>
      <x:c r="J144" s="4" t="s">
        <x:v>2791</x:v>
      </x:c>
      <x:c r="K144" s="4" t="s">
        <x:v>107</x:v>
      </x:c>
      <x:c r="L144" s="4" t="s">
        <x:v>2792</x:v>
      </x:c>
      <x:c r="M144" s="4" t="s">
        <x:v>2793</x:v>
      </x:c>
      <x:c r="N144" s="4" t="s">
        <x:v>2794</x:v>
      </x:c>
      <x:c r="O144" s="4" t="s">
        <x:v>2795</x:v>
      </x:c>
      <x:c r="P144" s="4" t="s">
        <x:v>2796</x:v>
      </x:c>
    </x:row>
    <x:row r="145">
      <x:c r="A145" s="4" t="s">
        <x:v>2985</x:v>
      </x:c>
      <x:c r="B145" s="4" t="s">
        <x:v>1329</x:v>
      </x:c>
      <x:c r="C145" s="4" t="s">
        <x:v>2789</x:v>
      </x:c>
      <x:c r="D145" s="4" t="s">
        <x:v>107</x:v>
      </x:c>
      <x:c r="E145" s="4" t="s">
        <x:v>107</x:v>
      </x:c>
      <x:c r="F145" s="4" t="s">
        <x:v>107</x:v>
      </x:c>
      <x:c r="G145" s="4" t="s">
        <x:v>2984</x:v>
      </x:c>
      <x:c r="H145" s="4" t="s">
        <x:v>171</x:v>
      </x:c>
      <x:c r="I145" s="4" t="s">
        <x:v>172</x:v>
      </x:c>
      <x:c r="J145" s="4" t="s">
        <x:v>2791</x:v>
      </x:c>
      <x:c r="K145" s="4" t="s">
        <x:v>107</x:v>
      </x:c>
      <x:c r="L145" s="4" t="s">
        <x:v>169</x:v>
      </x:c>
      <x:c r="M145" s="4" t="s">
        <x:v>2825</x:v>
      </x:c>
      <x:c r="N145" s="4" t="s">
        <x:v>2794</x:v>
      </x:c>
      <x:c r="O145" s="4" t="s">
        <x:v>2795</x:v>
      </x:c>
      <x:c r="P145" s="4" t="s">
        <x:v>2796</x:v>
      </x:c>
    </x:row>
    <x:row r="146">
      <x:c r="A146" s="4" t="s">
        <x:v>2986</x:v>
      </x:c>
      <x:c r="B146" s="4" t="s">
        <x:v>1330</x:v>
      </x:c>
      <x:c r="C146" s="4" t="s">
        <x:v>2789</x:v>
      </x:c>
      <x:c r="D146" s="4" t="s">
        <x:v>107</x:v>
      </x:c>
      <x:c r="E146" s="4" t="s">
        <x:v>107</x:v>
      </x:c>
      <x:c r="F146" s="4" t="s">
        <x:v>107</x:v>
      </x:c>
      <x:c r="G146" s="4" t="s">
        <x:v>2984</x:v>
      </x:c>
      <x:c r="H146" s="4" t="s">
        <x:v>171</x:v>
      </x:c>
      <x:c r="I146" s="4" t="s">
        <x:v>172</x:v>
      </x:c>
      <x:c r="J146" s="4" t="s">
        <x:v>2791</x:v>
      </x:c>
      <x:c r="K146" s="4" t="s">
        <x:v>107</x:v>
      </x:c>
      <x:c r="L146" s="4" t="s">
        <x:v>2792</x:v>
      </x:c>
      <x:c r="M146" s="4" t="s">
        <x:v>2793</x:v>
      </x:c>
      <x:c r="N146" s="4" t="s">
        <x:v>2794</x:v>
      </x:c>
      <x:c r="O146" s="4" t="s">
        <x:v>2795</x:v>
      </x:c>
      <x:c r="P146" s="4" t="s">
        <x:v>2796</x:v>
      </x:c>
    </x:row>
    <x:row r="147">
      <x:c r="A147" s="4" t="s">
        <x:v>2987</x:v>
      </x:c>
      <x:c r="B147" s="4" t="s">
        <x:v>1331</x:v>
      </x:c>
      <x:c r="C147" s="4" t="s">
        <x:v>2789</x:v>
      </x:c>
      <x:c r="D147" s="4" t="s">
        <x:v>107</x:v>
      </x:c>
      <x:c r="E147" s="4" t="s">
        <x:v>107</x:v>
      </x:c>
      <x:c r="F147" s="4" t="s">
        <x:v>107</x:v>
      </x:c>
      <x:c r="G147" s="4" t="s">
        <x:v>2984</x:v>
      </x:c>
      <x:c r="H147" s="4" t="s">
        <x:v>171</x:v>
      </x:c>
      <x:c r="I147" s="4" t="s">
        <x:v>172</x:v>
      </x:c>
      <x:c r="J147" s="4" t="s">
        <x:v>2791</x:v>
      </x:c>
      <x:c r="K147" s="4" t="s">
        <x:v>107</x:v>
      </x:c>
      <x:c r="L147" s="4" t="s">
        <x:v>2792</x:v>
      </x:c>
      <x:c r="M147" s="4" t="s">
        <x:v>2793</x:v>
      </x:c>
      <x:c r="N147" s="4" t="s">
        <x:v>2794</x:v>
      </x:c>
      <x:c r="O147" s="4" t="s">
        <x:v>2795</x:v>
      </x:c>
      <x:c r="P147" s="4" t="s">
        <x:v>2796</x:v>
      </x:c>
    </x:row>
    <x:row r="148">
      <x:c r="A148" s="4" t="s">
        <x:v>2988</x:v>
      </x:c>
      <x:c r="B148" s="4" t="s">
        <x:v>1332</x:v>
      </x:c>
      <x:c r="C148" s="4" t="s">
        <x:v>2789</x:v>
      </x:c>
      <x:c r="D148" s="4" t="s">
        <x:v>107</x:v>
      </x:c>
      <x:c r="E148" s="4" t="s">
        <x:v>107</x:v>
      </x:c>
      <x:c r="F148" s="4" t="s">
        <x:v>107</x:v>
      </x:c>
      <x:c r="G148" s="4" t="s">
        <x:v>2984</x:v>
      </x:c>
      <x:c r="H148" s="4" t="s">
        <x:v>171</x:v>
      </x:c>
      <x:c r="I148" s="4" t="s">
        <x:v>172</x:v>
      </x:c>
      <x:c r="J148" s="4" t="s">
        <x:v>2791</x:v>
      </x:c>
      <x:c r="K148" s="4" t="s">
        <x:v>107</x:v>
      </x:c>
      <x:c r="L148" s="4" t="s">
        <x:v>2792</x:v>
      </x:c>
      <x:c r="M148" s="4" t="s">
        <x:v>2793</x:v>
      </x:c>
      <x:c r="N148" s="4" t="s">
        <x:v>2794</x:v>
      </x:c>
      <x:c r="O148" s="4" t="s">
        <x:v>2795</x:v>
      </x:c>
      <x:c r="P148" s="4" t="s">
        <x:v>2796</x:v>
      </x:c>
    </x:row>
    <x:row r="149">
      <x:c r="A149" s="4" t="s">
        <x:v>2989</x:v>
      </x:c>
      <x:c r="B149" s="4" t="s">
        <x:v>1333</x:v>
      </x:c>
      <x:c r="C149" s="4" t="s">
        <x:v>2871</x:v>
      </x:c>
      <x:c r="D149" s="4" t="s">
        <x:v>107</x:v>
      </x:c>
      <x:c r="E149" s="4" t="s">
        <x:v>107</x:v>
      </x:c>
      <x:c r="F149" s="4" t="s">
        <x:v>107</x:v>
      </x:c>
      <x:c r="G149" s="4" t="s">
        <x:v>2984</x:v>
      </x:c>
      <x:c r="H149" s="4" t="s">
        <x:v>171</x:v>
      </x:c>
      <x:c r="I149" s="4" t="s">
        <x:v>172</x:v>
      </x:c>
      <x:c r="J149" s="4" t="s">
        <x:v>2791</x:v>
      </x:c>
      <x:c r="K149" s="4" t="s">
        <x:v>107</x:v>
      </x:c>
      <x:c r="L149" s="4" t="s">
        <x:v>2792</x:v>
      </x:c>
      <x:c r="M149" s="4" t="s">
        <x:v>2793</x:v>
      </x:c>
      <x:c r="N149" s="4" t="s">
        <x:v>2794</x:v>
      </x:c>
      <x:c r="O149" s="4" t="s">
        <x:v>2795</x:v>
      </x:c>
      <x:c r="P149" s="4" t="s">
        <x:v>2796</x:v>
      </x:c>
    </x:row>
    <x:row r="150">
      <x:c r="A150" s="4" t="s">
        <x:v>2990</x:v>
      </x:c>
      <x:c r="B150" s="4" t="s">
        <x:v>1334</x:v>
      </x:c>
      <x:c r="C150" s="4" t="s">
        <x:v>2810</x:v>
      </x:c>
      <x:c r="D150" s="4" t="s">
        <x:v>107</x:v>
      </x:c>
      <x:c r="E150" s="4" t="s">
        <x:v>107</x:v>
      </x:c>
      <x:c r="F150" s="4" t="s">
        <x:v>107</x:v>
      </x:c>
      <x:c r="G150" s="4" t="s">
        <x:v>2984</x:v>
      </x:c>
      <x:c r="H150" s="4" t="s">
        <x:v>171</x:v>
      </x:c>
      <x:c r="I150" s="4" t="s">
        <x:v>172</x:v>
      </x:c>
      <x:c r="J150" s="4" t="s">
        <x:v>2791</x:v>
      </x:c>
      <x:c r="K150" s="4" t="s">
        <x:v>107</x:v>
      </x:c>
      <x:c r="L150" s="4" t="s">
        <x:v>2792</x:v>
      </x:c>
      <x:c r="M150" s="4" t="s">
        <x:v>2793</x:v>
      </x:c>
      <x:c r="N150" s="4" t="s">
        <x:v>2794</x:v>
      </x:c>
      <x:c r="O150" s="4" t="s">
        <x:v>2795</x:v>
      </x:c>
      <x:c r="P150" s="4" t="s">
        <x:v>2796</x:v>
      </x:c>
    </x:row>
  </x:sheetData>
  <x:pageMargins left="0.7" right="0.7" top="0.75" bottom="0.75" header="0.3" footer="0.3"/>
</x:worksheet>
</file>

<file path=xl/worksheets/sheet14.xml><?xml version="1.0" encoding="utf-8"?>
<x:worksheet xmlns:x="http://schemas.openxmlformats.org/spreadsheetml/2006/main">
  <x:sheetFormatPr defaultColWidth="9" defaultRowHeight="16.799999237060547"/>
  <x:sheetData>
    <x:row r="1">
      <x:c r="A1" s="3" t="s">
        <x:v>23</x:v>
      </x:c>
      <x:c r="B1" s="3" t="s">
        <x:v>24</x:v>
      </x:c>
      <x:c r="C1" s="3" t="s">
        <x:v>25</x:v>
      </x:c>
      <x:c r="D1" s="3" t="s">
        <x:v>26</x:v>
      </x:c>
      <x:c r="E1" s="3" t="s">
        <x:v>2991</x:v>
      </x:c>
    </x:row>
    <x:row r="2">
      <x:c r="A2" s="4" t="s">
        <x:v>67</x:v>
      </x:c>
      <x:c r="B2" s="4" t="s">
        <x:v>2992</x:v>
      </x:c>
      <x:c r="C2" s="4" t="s">
        <x:v>1336</x:v>
      </x:c>
      <x:c r="D2" s="4" t="s">
        <x:v>1409</x:v>
      </x:c>
      <x:c r="E2" s="4" t="s">
        <x:v>2993</x:v>
      </x:c>
    </x:row>
    <x:row r="3">
      <x:c r="A3" s="4" t="s">
        <x:v>68</x:v>
      </x:c>
      <x:c r="B3" s="4" t="s">
        <x:v>1753</x:v>
      </x:c>
      <x:c r="C3" s="4" t="s">
        <x:v>1336</x:v>
      </x:c>
      <x:c r="D3" s="4" t="s">
        <x:v>1337</x:v>
      </x:c>
      <x:c r="E3" s="4" t="s">
        <x:v>2993</x:v>
      </x:c>
    </x:row>
    <x:row r="4">
      <x:c r="A4" s="4" t="s">
        <x:v>69</x:v>
      </x:c>
      <x:c r="B4" s="4" t="s">
        <x:v>1335</x:v>
      </x:c>
      <x:c r="C4" s="4" t="s">
        <x:v>1336</x:v>
      </x:c>
      <x:c r="D4" s="4" t="s">
        <x:v>1337</x:v>
      </x:c>
      <x:c r="E4" s="4" t="s">
        <x:v>2993</x:v>
      </x:c>
    </x:row>
    <x:row r="5">
      <x:c r="A5" s="4" t="s">
        <x:v>70</x:v>
      </x:c>
      <x:c r="B5" s="4" t="s">
        <x:v>1335</x:v>
      </x:c>
      <x:c r="C5" s="4" t="s">
        <x:v>1336</x:v>
      </x:c>
      <x:c r="D5" s="4" t="s">
        <x:v>1409</x:v>
      </x:c>
      <x:c r="E5" s="4" t="s">
        <x:v>2993</x:v>
      </x:c>
    </x:row>
    <x:row r="6">
      <x:c r="A6" s="4" t="s">
        <x:v>71</x:v>
      </x:c>
      <x:c r="B6" s="4" t="s">
        <x:v>1335</x:v>
      </x:c>
      <x:c r="C6" s="4" t="s">
        <x:v>1336</x:v>
      </x:c>
      <x:c r="D6" s="4" t="s">
        <x:v>1409</x:v>
      </x:c>
      <x:c r="E6" s="4" t="s">
        <x:v>2993</x:v>
      </x:c>
    </x:row>
    <x:row r="7">
      <x:c r="A7" s="4" t="s">
        <x:v>72</x:v>
      </x:c>
      <x:c r="B7" s="4" t="s">
        <x:v>1705</x:v>
      </x:c>
      <x:c r="C7" s="4" t="s">
        <x:v>1336</x:v>
      </x:c>
      <x:c r="D7" s="4" t="s">
        <x:v>1337</x:v>
      </x:c>
      <x:c r="E7" s="4" t="s">
        <x:v>2993</x:v>
      </x:c>
    </x:row>
    <x:row r="8">
      <x:c r="A8" s="4" t="s">
        <x:v>73</x:v>
      </x:c>
      <x:c r="B8" s="4" t="s">
        <x:v>1504</x:v>
      </x:c>
      <x:c r="C8" s="4" t="s">
        <x:v>1336</x:v>
      </x:c>
      <x:c r="D8" s="4" t="s">
        <x:v>1409</x:v>
      </x:c>
      <x:c r="E8" s="4" t="s">
        <x:v>2993</x:v>
      </x:c>
    </x:row>
    <x:row r="9">
      <x:c r="A9" s="4" t="s">
        <x:v>74</x:v>
      </x:c>
      <x:c r="B9" s="4" t="s">
        <x:v>1659</x:v>
      </x:c>
      <x:c r="C9" s="4" t="s">
        <x:v>1336</x:v>
      </x:c>
      <x:c r="D9" s="4" t="s">
        <x:v>1337</x:v>
      </x:c>
      <x:c r="E9" s="4" t="s">
        <x:v>2993</x:v>
      </x:c>
    </x:row>
    <x:row r="10">
      <x:c r="A10" s="4" t="s">
        <x:v>75</x:v>
      </x:c>
      <x:c r="B10" s="4" t="s">
        <x:v>1560</x:v>
      </x:c>
      <x:c r="C10" s="4" t="s">
        <x:v>1561</x:v>
      </x:c>
      <x:c r="D10" s="4" t="s">
        <x:v>1337</x:v>
      </x:c>
      <x:c r="E10" s="4" t="s">
        <x:v>2993</x:v>
      </x:c>
    </x:row>
    <x:row r="11">
      <x:c r="A11" s="4" t="s">
        <x:v>76</x:v>
      </x:c>
      <x:c r="B11" s="4" t="s">
        <x:v>1610</x:v>
      </x:c>
      <x:c r="C11" s="4" t="s">
        <x:v>1336</x:v>
      </x:c>
      <x:c r="D11" s="4" t="s">
        <x:v>1337</x:v>
      </x:c>
      <x:c r="E11" s="4" t="s">
        <x:v>2993</x:v>
      </x:c>
    </x:row>
  </x:sheetData>
  <x:pageMargins left="0.7" right="0.7" top="0.75" bottom="0.75" header="0.3" footer="0.3"/>
</x:worksheet>
</file>

<file path=xl/worksheets/sheet15.xml><?xml version="1.0" encoding="utf-8"?>
<x:worksheet xmlns:x="http://schemas.openxmlformats.org/spreadsheetml/2006/main">
  <x:sheetFormatPr defaultColWidth="9" defaultRowHeight="16.799999237060547"/>
  <x:sheetData>
    <x:row r="1">
      <x:c r="A1" s="3" t="s">
        <x:v>2994</x:v>
      </x:c>
      <x:c r="B1" s="3" t="s">
        <x:v>2995</x:v>
      </x:c>
    </x:row>
    <x:row r="2">
      <x:c r="A2" s="4" t="s">
        <x:v>2996</x:v>
      </x:c>
      <x:c r="B2" s="4" t="s">
        <x:v>2997</x:v>
      </x:c>
    </x:row>
    <x:row r="3">
      <x:c r="A3" s="4" t="s">
        <x:v>2998</x:v>
      </x:c>
      <x:c r="B3" s="4" t="s">
        <x:v>2999</x:v>
      </x:c>
    </x:row>
    <x:row r="4">
      <x:c r="A4" s="4" t="s">
        <x:v>3000</x:v>
      </x:c>
      <x:c r="B4" s="4" t="s">
        <x:v>3001</x:v>
      </x:c>
    </x:row>
    <x:row r="5">
      <x:c r="A5" s="4" t="s">
        <x:v>3002</x:v>
      </x:c>
      <x:c r="B5" s="4" t="s">
        <x:v>3003</x:v>
      </x:c>
    </x:row>
    <x:row r="6">
      <x:c r="A6" s="4" t="s">
        <x:v>3004</x:v>
      </x:c>
      <x:c r="B6" s="4" t="s">
        <x:v>3005</x:v>
      </x:c>
    </x:row>
    <x:row r="7">
      <x:c r="A7" s="4" t="s">
        <x:v>3006</x:v>
      </x:c>
      <x:c r="B7" s="4" t="s">
        <x:v>3007</x:v>
      </x:c>
    </x:row>
    <x:row r="8">
      <x:c r="A8" s="4" t="s">
        <x:v>3008</x:v>
      </x:c>
      <x:c r="B8" s="4" t="s">
        <x:v>3009</x:v>
      </x:c>
    </x:row>
    <x:row r="9">
      <x:c r="A9" s="4" t="s">
        <x:v>3010</x:v>
      </x:c>
      <x:c r="B9" s="4" t="s">
        <x:v>3011</x:v>
      </x:c>
    </x:row>
    <x:row r="10">
      <x:c r="A10" s="4" t="s">
        <x:v>3012</x:v>
      </x:c>
      <x:c r="B10" s="4" t="s">
        <x:v>3013</x:v>
      </x:c>
    </x:row>
    <x:row r="11">
      <x:c r="A11" s="4" t="s">
        <x:v>3014</x:v>
      </x:c>
      <x:c r="B11" s="4" t="s">
        <x:v>3015</x:v>
      </x:c>
    </x:row>
    <x:row r="12">
      <x:c r="A12" s="4" t="s">
        <x:v>3016</x:v>
      </x:c>
      <x:c r="B12" s="4" t="s">
        <x:v>3017</x:v>
      </x:c>
    </x:row>
    <x:row r="13">
      <x:c r="A13" s="4" t="s">
        <x:v>3018</x:v>
      </x:c>
      <x:c r="B13" s="4" t="s">
        <x:v>3019</x:v>
      </x:c>
    </x:row>
    <x:row r="14">
      <x:c r="A14" s="4" t="s">
        <x:v>3020</x:v>
      </x:c>
      <x:c r="B14" s="4" t="s">
        <x:v>3021</x:v>
      </x:c>
    </x:row>
    <x:row r="15">
      <x:c r="A15" s="4" t="s">
        <x:v>3022</x:v>
      </x:c>
      <x:c r="B15" s="4" t="s">
        <x:v>3023</x:v>
      </x:c>
    </x:row>
    <x:row r="16">
      <x:c r="A16" s="4" t="s">
        <x:v>3024</x:v>
      </x:c>
      <x:c r="B16" s="4" t="s">
        <x:v>3025</x:v>
      </x:c>
    </x:row>
    <x:row r="17">
      <x:c r="A17" s="4" t="s">
        <x:v>3026</x:v>
      </x:c>
      <x:c r="B17" s="4" t="s">
        <x:v>3027</x:v>
      </x:c>
    </x:row>
    <x:row r="18">
      <x:c r="A18" s="4" t="s">
        <x:v>3028</x:v>
      </x:c>
      <x:c r="B18" s="4" t="s">
        <x:v>3027</x:v>
      </x:c>
    </x:row>
    <x:row r="19">
      <x:c r="A19" s="4" t="s">
        <x:v>3029</x:v>
      </x:c>
      <x:c r="B19" s="4" t="s">
        <x:v>3030</x:v>
      </x:c>
    </x:row>
    <x:row r="20">
      <x:c r="A20" s="4" t="s">
        <x:v>3031</x:v>
      </x:c>
      <x:c r="B20" s="4" t="s">
        <x:v>169</x:v>
      </x:c>
    </x:row>
    <x:row r="21">
      <x:c r="A21" s="4" t="s">
        <x:v>3032</x:v>
      </x:c>
      <x:c r="B21" s="4" t="s">
        <x:v>3033</x:v>
      </x:c>
    </x:row>
    <x:row r="22">
      <x:c r="A22" s="4" t="s">
        <x:v>3034</x:v>
      </x:c>
      <x:c r="B22" s="4" t="s">
        <x:v>3035</x:v>
      </x:c>
    </x:row>
    <x:row r="23">
      <x:c r="A23" s="4" t="s">
        <x:v>3036</x:v>
      </x:c>
      <x:c r="B23" s="4" t="s">
        <x:v>3037</x:v>
      </x:c>
    </x:row>
    <x:row r="24">
      <x:c r="A24" s="4" t="s">
        <x:v>3038</x:v>
      </x:c>
      <x:c r="B24" s="4" t="s">
        <x:v>3039</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9" defaultRowHeight="16.799999237060547"/>
  <x:cols>
    <x:col min="1" max="24" width="16" customWidth="1"/>
  </x:cols>
  <x:sheetData>
    <x:row r="1" ht="34" customHeight="1">
      <x:c r="A1" s="1" t="s">
        <x:v>23</x:v>
      </x:c>
      <x:c r="B1" s="1" t="s">
        <x:v>24</x:v>
      </x:c>
      <x:c r="C1" s="1" t="s">
        <x:v>25</x:v>
      </x:c>
      <x:c r="D1" s="1" t="s">
        <x:v>26</x:v>
      </x:c>
      <x:c r="E1" s="1" t="s">
        <x:v>3040</x:v>
      </x:c>
      <x:c r="F1" s="1" t="s">
        <x:v>3041</x:v>
      </x:c>
      <x:c r="G1" s="1" t="s">
        <x:v>32</x:v>
      </x:c>
      <x:c r="H1" s="1" t="s">
        <x:v>3042</x:v>
      </x:c>
      <x:c r="I1" s="1" t="s">
        <x:v>33</x:v>
      </x:c>
      <x:c r="J1" s="1" t="s">
        <x:v>43</x:v>
      </x:c>
      <x:c r="K1" s="1" t="s">
        <x:v>34</x:v>
      </x:c>
      <x:c r="L1" s="1" t="s">
        <x:v>45</x:v>
      </x:c>
      <x:c r="M1" s="1" t="s">
        <x:v>5</x:v>
      </x:c>
      <x:c r="N1" s="1" t="s">
        <x:v>50</x:v>
      </x:c>
      <x:c r="O1" s="1" t="s">
        <x:v>51</x:v>
      </x:c>
      <x:c r="P1" s="1" t="s">
        <x:v>52</x:v>
      </x:c>
      <x:c r="Q1" s="1" t="s">
        <x:v>3043</x:v>
      </x:c>
      <x:c r="R1" s="1" t="s">
        <x:v>3044</x:v>
      </x:c>
      <x:c r="S1" s="1" t="s">
        <x:v>3045</x:v>
      </x:c>
      <x:c r="T1" s="1" t="s">
        <x:v>3046</x:v>
      </x:c>
      <x:c r="U1" s="1" t="s">
        <x:v>3047</x:v>
      </x:c>
      <x:c r="V1" s="1" t="s">
        <x:v>3048</x:v>
      </x:c>
      <x:c r="W1" s="1" t="s">
        <x:v>3049</x:v>
      </x:c>
      <x:c r="X1" s="1" t="s">
        <x:v>3050</x:v>
      </x:c>
    </x:row>
    <x:row r="2" ht="286">
      <x:c r="A2" s="2" t="s">
        <x:v>67</x:v>
      </x:c>
      <x:c r="B2" s="2" t="s">
        <x:v>2992</x:v>
      </x:c>
      <x:c r="C2" s="2" t="s">
        <x:v>1336</x:v>
      </x:c>
      <x:c r="D2" s="2" t="s">
        <x:v>1409</x:v>
      </x:c>
      <x:c r="E2" s="2" t="s">
        <x:v>163</x:v>
      </x:c>
      <x:c r="F2" s="2" t="s">
        <x:v>177</x:v>
      </x:c>
      <x:c r="G2" s="2" t="s">
        <x:v>170</x:v>
      </x:c>
      <x:c r="H2" s="2" t="s">
        <x:v>167</x:v>
      </x:c>
      <x:c r="I2" s="2" t="s">
        <x:v>169</x:v>
      </x:c>
      <x:c r="J2" s="2" t="s">
        <x:v>169</x:v>
      </x:c>
      <x:c r="K2" s="2" t="s">
        <x:v>170</x:v>
      </x:c>
      <x:c r="L2" s="2" t="s">
        <x:v>167</x:v>
      </x:c>
      <x:c r="M2" s="2" t="s">
        <x:v>169</x:v>
      </x:c>
      <x:c r="N2" s="2" t="s">
        <x:v>169</x:v>
      </x:c>
      <x:c r="O2" s="2" t="s">
        <x:v>169</x:v>
      </x:c>
      <x:c r="P2" s="2" t="s">
        <x:v>169</x:v>
      </x:c>
      <x:c r="Q2" s="2" t="s">
        <x:v>179</x:v>
      </x:c>
      <x:c r="R2" s="2" t="s">
        <x:v>3051</x:v>
      </x:c>
      <x:c r="S2" s="2" t="s">
        <x:v>3052</x:v>
      </x:c>
      <x:c r="T2" s="2" t="s">
        <x:v>3053</x:v>
      </x:c>
      <x:c r="U2" s="2" t="str">
        <x:v>M4客观生命周期：条件委托4张，止损2张，止盈2张；完成/取消/过期=1/2/1；首次止损延迟0秒；止损覆盖率100.00%；最大止损空档0秒；持仓结束时有效止损=是。</x:v>
      </x:c>
      <x:c r="V2" s="2" t="s">
        <x:v>169</x:v>
      </x:c>
      <x:c r="W2" s="2">
        <x:v>76188</x:v>
      </x:c>
      <x:c r="X2" s="2" t="s">
        <x:v>3053</x:v>
      </x:c>
    </x:row>
    <x:row r="3" ht="303">
      <x:c r="A3" s="2" t="s">
        <x:v>68</x:v>
      </x:c>
      <x:c r="B3" s="2" t="s">
        <x:v>1753</x:v>
      </x:c>
      <x:c r="C3" s="2" t="s">
        <x:v>1336</x:v>
      </x:c>
      <x:c r="D3" s="2" t="s">
        <x:v>1337</x:v>
      </x:c>
      <x:c r="E3" s="2" t="s">
        <x:v>197</x:v>
      </x:c>
      <x:c r="F3" s="2" t="s">
        <x:v>207</x:v>
      </x:c>
      <x:c r="G3" s="2" t="s">
        <x:v>200</x:v>
      </x:c>
      <x:c r="H3" s="2" t="s">
        <x:v>192</x:v>
      </x:c>
      <x:c r="I3" s="2" t="s">
        <x:v>169</x:v>
      </x:c>
      <x:c r="J3" s="2" t="s">
        <x:v>169</x:v>
      </x:c>
      <x:c r="K3" s="2" t="s">
        <x:v>200</x:v>
      </x:c>
      <x:c r="L3" s="2" t="s">
        <x:v>192</x:v>
      </x:c>
      <x:c r="M3" s="2" t="s">
        <x:v>200</x:v>
      </x:c>
      <x:c r="N3" s="2" t="s">
        <x:v>169</x:v>
      </x:c>
      <x:c r="O3" s="2" t="s">
        <x:v>169</x:v>
      </x:c>
      <x:c r="P3" s="2" t="s">
        <x:v>169</x:v>
      </x:c>
      <x:c r="Q3" s="2" t="s">
        <x:v>1612</x:v>
      </x:c>
      <x:c r="R3" s="2" t="s">
        <x:v>1760</x:v>
      </x:c>
      <x:c r="S3" s="2" t="s">
        <x:v>3054</x:v>
      </x:c>
      <x:c r="T3" s="2" t="s">
        <x:v>3055</x:v>
      </x:c>
      <x:c r="U3" s="2" t="str">
        <x:v>M4客观生命周期：条件委托2张，止损1张，止盈1张；完成/取消/过期=0/0/2；首次止损延迟0秒；止损覆盖率100.00%；最大止损空档0秒；持仓结束时有效止损=是。</x:v>
      </x:c>
      <x:c r="V3" s="2" t="s">
        <x:v>1466</x:v>
      </x:c>
      <x:c r="W3" s="2">
        <x:v>74111</x:v>
      </x:c>
      <x:c r="X3" s="2" t="s">
        <x:v>3055</x:v>
      </x:c>
    </x:row>
    <x:row r="4" ht="303">
      <x:c r="A4" s="2" t="s">
        <x:v>69</x:v>
      </x:c>
      <x:c r="B4" s="2" t="s">
        <x:v>1335</x:v>
      </x:c>
      <x:c r="C4" s="2" t="s">
        <x:v>1336</x:v>
      </x:c>
      <x:c r="D4" s="2" t="s">
        <x:v>1337</x:v>
      </x:c>
      <x:c r="E4" s="2" t="s">
        <x:v>216</x:v>
      </x:c>
      <x:c r="F4" s="2" t="s">
        <x:v>238</x:v>
      </x:c>
      <x:c r="G4" s="2" t="s">
        <x:v>218</x:v>
      </x:c>
      <x:c r="H4" s="2" t="s">
        <x:v>217</x:v>
      </x:c>
      <x:c r="I4" s="2" t="s">
        <x:v>200</x:v>
      </x:c>
      <x:c r="J4" s="2" t="s">
        <x:v>218</x:v>
      </x:c>
      <x:c r="K4" s="2" t="s">
        <x:v>229</x:v>
      </x:c>
      <x:c r="L4" s="2" t="s">
        <x:v>1354</x:v>
      </x:c>
      <x:c r="M4" s="2" t="s">
        <x:v>200</x:v>
      </x:c>
      <x:c r="N4" s="2" t="s">
        <x:v>169</x:v>
      </x:c>
      <x:c r="O4" s="2" t="s">
        <x:v>200</x:v>
      </x:c>
      <x:c r="P4" s="2" t="s">
        <x:v>169</x:v>
      </x:c>
      <x:c r="Q4" s="2" t="s">
        <x:v>1340</x:v>
      </x:c>
      <x:c r="R4" s="2" t="s">
        <x:v>1346</x:v>
      </x:c>
      <x:c r="S4" s="2" t="s">
        <x:v>3056</x:v>
      </x:c>
      <x:c r="T4" s="2" t="s">
        <x:v>3057</x:v>
      </x:c>
      <x:c r="U4" s="2" t="str">
        <x:v>M4客观生命周期：条件委托2张，止损2张，止盈0张；完成/取消/过期=0/1/1；首次止损延迟28秒；止损覆盖率99.60%；最大止损空档28秒；持仓结束时有效止损=是。</x:v>
      </x:c>
      <x:c r="V4" s="2" t="s">
        <x:v>200</x:v>
      </x:c>
      <x:c r="W4" s="2">
        <x:v>71269</x:v>
      </x:c>
      <x:c r="X4" s="2" t="s">
        <x:v>3057</x:v>
      </x:c>
    </x:row>
    <x:row r="5" ht="303">
      <x:c r="A5" s="2" t="s">
        <x:v>70</x:v>
      </x:c>
      <x:c r="B5" s="2" t="s">
        <x:v>1335</x:v>
      </x:c>
      <x:c r="C5" s="2" t="s">
        <x:v>1336</x:v>
      </x:c>
      <x:c r="D5" s="2" t="s">
        <x:v>1409</x:v>
      </x:c>
      <x:c r="E5" s="2" t="s">
        <x:v>238</x:v>
      </x:c>
      <x:c r="F5" s="2" t="s">
        <x:v>245</x:v>
      </x:c>
      <x:c r="G5" s="2" t="s">
        <x:v>229</x:v>
      </x:c>
      <x:c r="H5" s="2" t="s">
        <x:v>1418</x:v>
      </x:c>
      <x:c r="I5" s="2" t="s">
        <x:v>169</x:v>
      </x:c>
      <x:c r="J5" s="2" t="s">
        <x:v>169</x:v>
      </x:c>
      <x:c r="K5" s="2" t="s">
        <x:v>229</x:v>
      </x:c>
      <x:c r="L5" s="2" t="s">
        <x:v>1418</x:v>
      </x:c>
      <x:c r="M5" s="2" t="s">
        <x:v>169</x:v>
      </x:c>
      <x:c r="N5" s="2" t="s">
        <x:v>169</x:v>
      </x:c>
      <x:c r="O5" s="2" t="s">
        <x:v>169</x:v>
      </x:c>
      <x:c r="P5" s="2" t="s">
        <x:v>169</x:v>
      </x:c>
      <x:c r="Q5" s="2" t="s">
        <x:v>179</x:v>
      </x:c>
      <x:c r="R5" s="2" t="s">
        <x:v>1415</x:v>
      </x:c>
      <x:c r="S5" s="2" t="s">
        <x:v>3058</x:v>
      </x:c>
      <x:c r="T5" s="2" t="s">
        <x:v>3059</x:v>
      </x:c>
      <x:c r="U5" s="2" t="str">
        <x:v>M4客观生命周期：条件委托0张，止损0张，止盈0张；完成/取消/过期=0/0/0；首次止损延迟无法确认秒；止损覆盖率0.00%；最大止损空档8秒；持仓结束时有效止损=否。</x:v>
      </x:c>
      <x:c r="V5" s="2" t="s">
        <x:v>169</x:v>
      </x:c>
      <x:c r="W5" s="2">
        <x:v>71418.1</x:v>
      </x:c>
      <x:c r="X5" s="2" t="s">
        <x:v>3059</x:v>
      </x:c>
    </x:row>
    <x:row r="6" ht="370">
      <x:c r="A6" s="2" t="s">
        <x:v>71</x:v>
      </x:c>
      <x:c r="B6" s="2" t="s">
        <x:v>1335</x:v>
      </x:c>
      <x:c r="C6" s="2" t="s">
        <x:v>1336</x:v>
      </x:c>
      <x:c r="D6" s="2" t="s">
        <x:v>1409</x:v>
      </x:c>
      <x:c r="E6" s="2" t="s">
        <x:v>258</x:v>
      </x:c>
      <x:c r="F6" s="2" t="s">
        <x:v>397</x:v>
      </x:c>
      <x:c r="G6" s="2" t="s">
        <x:v>218</x:v>
      </x:c>
      <x:c r="H6" s="2" t="s">
        <x:v>260</x:v>
      </x:c>
      <x:c r="I6" s="2" t="s">
        <x:v>314</x:v>
      </x:c>
      <x:c r="J6" s="2" t="s">
        <x:v>383</x:v>
      </x:c>
      <x:c r="K6" s="2" t="s">
        <x:v>383</x:v>
      </x:c>
      <x:c r="L6" s="2" t="s">
        <x:v>3060</x:v>
      </x:c>
      <x:c r="M6" s="2" t="s">
        <x:v>1911</x:v>
      </x:c>
      <x:c r="N6" s="2" t="s">
        <x:v>1465</x:v>
      </x:c>
      <x:c r="O6" s="2" t="s">
        <x:v>1353</x:v>
      </x:c>
      <x:c r="P6" s="2" t="s">
        <x:v>200</x:v>
      </x:c>
      <x:c r="Q6" s="2" t="s">
        <x:v>1449</x:v>
      </x:c>
      <x:c r="R6" s="2" t="s">
        <x:v>1455</x:v>
      </x:c>
      <x:c r="S6" s="2" t="s">
        <x:v>3061</x:v>
      </x:c>
      <x:c r="T6" s="2" t="s">
        <x:v>3062</x:v>
      </x:c>
      <x:c r="U6" s="2" t="str">
        <x:v>M4客观生命周期：条件委托22张，止损14张，止盈8张；完成/取消/过期=1/21/0；首次止损延迟241秒；止损覆盖率99.20%；最大止损空档241秒；持仓结束时有效止损=是。</x:v>
      </x:c>
      <x:c r="V6" s="2" t="s">
        <x:v>1501</x:v>
      </x:c>
      <x:c r="W6" s="2">
        <x:v>67631.45</x:v>
      </x:c>
      <x:c r="X6" s="2" t="s">
        <x:v>3063</x:v>
      </x:c>
    </x:row>
    <x:row r="7" ht="303">
      <x:c r="A7" s="2" t="s">
        <x:v>72</x:v>
      </x:c>
      <x:c r="B7" s="2" t="s">
        <x:v>1705</x:v>
      </x:c>
      <x:c r="C7" s="2" t="s">
        <x:v>1336</x:v>
      </x:c>
      <x:c r="D7" s="2" t="s">
        <x:v>1337</x:v>
      </x:c>
      <x:c r="E7" s="2" t="s">
        <x:v>2347</x:v>
      </x:c>
      <x:c r="F7" s="2" t="s">
        <x:v>449</x:v>
      </x:c>
      <x:c r="G7" s="2" t="s">
        <x:v>314</x:v>
      </x:c>
      <x:c r="H7" s="2" t="s">
        <x:v>405</x:v>
      </x:c>
      <x:c r="I7" s="2" t="s">
        <x:v>200</x:v>
      </x:c>
      <x:c r="J7" s="2" t="s">
        <x:v>1466</x:v>
      </x:c>
      <x:c r="K7" s="2" t="s">
        <x:v>229</x:v>
      </x:c>
      <x:c r="L7" s="2" t="s">
        <x:v>1717</x:v>
      </x:c>
      <x:c r="M7" s="2" t="s">
        <x:v>200</x:v>
      </x:c>
      <x:c r="N7" s="2" t="s">
        <x:v>169</x:v>
      </x:c>
      <x:c r="O7" s="2" t="s">
        <x:v>169</x:v>
      </x:c>
      <x:c r="P7" s="2" t="s">
        <x:v>169</x:v>
      </x:c>
      <x:c r="Q7" s="2" t="s">
        <x:v>1612</x:v>
      </x:c>
      <x:c r="R7" s="2" t="s">
        <x:v>3064</x:v>
      </x:c>
      <x:c r="S7" s="2" t="s">
        <x:v>3065</x:v>
      </x:c>
      <x:c r="T7" s="2" t="s">
        <x:v>3066</x:v>
      </x:c>
      <x:c r="U7" s="2" t="str">
        <x:v>M4客观生命周期：条件委托22张，止损20张，止盈2张；完成/取消/过期=0/21/1；首次止损延迟169秒；止损覆盖率96.89%；最大止损空档169秒；持仓结束时有效止损=否。</x:v>
      </x:c>
      <x:c r="V7" s="2" t="s">
        <x:v>200</x:v>
      </x:c>
      <x:c r="W7" s="2">
        <x:v>65870.88</x:v>
      </x:c>
      <x:c r="X7" s="2" t="s">
        <x:v>3066</x:v>
      </x:c>
    </x:row>
    <x:row r="8" ht="303">
      <x:c r="A8" s="2" t="s">
        <x:v>73</x:v>
      </x:c>
      <x:c r="B8" s="2" t="s">
        <x:v>1504</x:v>
      </x:c>
      <x:c r="C8" s="2" t="s">
        <x:v>1336</x:v>
      </x:c>
      <x:c r="D8" s="2" t="s">
        <x:v>1409</x:v>
      </x:c>
      <x:c r="E8" s="2" t="s">
        <x:v>457</x:v>
      </x:c>
      <x:c r="F8" s="2" t="s">
        <x:v>477</x:v>
      </x:c>
      <x:c r="G8" s="2" t="s">
        <x:v>459</x:v>
      </x:c>
      <x:c r="H8" s="2" t="s">
        <x:v>458</x:v>
      </x:c>
      <x:c r="I8" s="2" t="s">
        <x:v>1466</x:v>
      </x:c>
      <x:c r="J8" s="2" t="s">
        <x:v>463</x:v>
      </x:c>
      <x:c r="K8" s="2" t="s">
        <x:v>463</x:v>
      </x:c>
      <x:c r="L8" s="2" t="s">
        <x:v>3067</x:v>
      </x:c>
      <x:c r="M8" s="2" t="s">
        <x:v>200</x:v>
      </x:c>
      <x:c r="N8" s="2" t="s">
        <x:v>169</x:v>
      </x:c>
      <x:c r="O8" s="2" t="s">
        <x:v>169</x:v>
      </x:c>
      <x:c r="P8" s="2" t="s">
        <x:v>200</x:v>
      </x:c>
      <x:c r="Q8" s="2" t="s">
        <x:v>1449</x:v>
      </x:c>
      <x:c r="R8" s="2" t="s">
        <x:v>1510</x:v>
      </x:c>
      <x:c r="S8" s="2" t="s">
        <x:v>3068</x:v>
      </x:c>
      <x:c r="T8" s="2" t="s">
        <x:v>3069</x:v>
      </x:c>
      <x:c r="U8" s="2" t="str">
        <x:v>M4客观生命周期：条件委托1张，止损1张，止盈0张；完成/取消/过期=1/0/0；首次止损延迟3217秒；止损覆盖率9.02%；最大止损空档3217秒；持仓结束时有效止损=是。</x:v>
      </x:c>
      <x:c r="V8" s="2" t="s">
        <x:v>218</x:v>
      </x:c>
      <x:c r="W8" s="2">
        <x:v>60887.33</x:v>
      </x:c>
      <x:c r="X8" s="2" t="s">
        <x:v>3070</x:v>
      </x:c>
    </x:row>
    <x:row r="9" ht="303">
      <x:c r="A9" s="2" t="s">
        <x:v>74</x:v>
      </x:c>
      <x:c r="B9" s="2" t="s">
        <x:v>1659</x:v>
      </x:c>
      <x:c r="C9" s="2" t="s">
        <x:v>1336</x:v>
      </x:c>
      <x:c r="D9" s="2" t="s">
        <x:v>1337</x:v>
      </x:c>
      <x:c r="E9" s="2" t="s">
        <x:v>501</x:v>
      </x:c>
      <x:c r="F9" s="2" t="s">
        <x:v>551</x:v>
      </x:c>
      <x:c r="G9" s="2" t="s">
        <x:v>314</x:v>
      </x:c>
      <x:c r="H9" s="2" t="s">
        <x:v>502</x:v>
      </x:c>
      <x:c r="I9" s="2" t="s">
        <x:v>1353</x:v>
      </x:c>
      <x:c r="J9" s="2" t="s">
        <x:v>3071</x:v>
      </x:c>
      <x:c r="K9" s="2" t="s">
        <x:v>530</x:v>
      </x:c>
      <x:c r="L9" s="2" t="s">
        <x:v>3072</x:v>
      </x:c>
      <x:c r="M9" s="2" t="s">
        <x:v>218</x:v>
      </x:c>
      <x:c r="N9" s="2" t="s">
        <x:v>1466</x:v>
      </x:c>
      <x:c r="O9" s="2" t="s">
        <x:v>169</x:v>
      </x:c>
      <x:c r="P9" s="2" t="s">
        <x:v>169</x:v>
      </x:c>
      <x:c r="Q9" s="2" t="s">
        <x:v>1612</x:v>
      </x:c>
      <x:c r="R9" s="2" t="s">
        <x:v>1666</x:v>
      </x:c>
      <x:c r="S9" s="2" t="s">
        <x:v>3073</x:v>
      </x:c>
      <x:c r="T9" s="2" t="s">
        <x:v>3074</x:v>
      </x:c>
      <x:c r="U9" s="2" t="str">
        <x:v>M4客观生命周期：条件委托10张，止损7张，止盈3张；完成/取消/过期=0/9/1；首次止损延迟98秒；止损覆盖率99.37%；最大止损空档98秒；持仓结束时有效止损=是。</x:v>
      </x:c>
      <x:c r="V9" s="2" t="s">
        <x:v>1573</x:v>
      </x:c>
      <x:c r="W9" s="2">
        <x:v>65438.05</x:v>
      </x:c>
      <x:c r="X9" s="2" t="s">
        <x:v>3075</x:v>
      </x:c>
    </x:row>
    <x:row r="10" ht="286">
      <x:c r="A10" s="2" t="s">
        <x:v>75</x:v>
      </x:c>
      <x:c r="B10" s="2" t="s">
        <x:v>1560</x:v>
      </x:c>
      <x:c r="C10" s="2" t="s">
        <x:v>1561</x:v>
      </x:c>
      <x:c r="D10" s="2" t="s">
        <x:v>1337</x:v>
      </x:c>
      <x:c r="E10" s="2" t="s">
        <x:v>561</x:v>
      </x:c>
      <x:c r="F10" s="2" t="s">
        <x:v>615</x:v>
      </x:c>
      <x:c r="G10" s="2" t="s">
        <x:v>563</x:v>
      </x:c>
      <x:c r="H10" s="2" t="s">
        <x:v>562</x:v>
      </x:c>
      <x:c r="I10" s="2" t="s">
        <x:v>200</x:v>
      </x:c>
      <x:c r="J10" s="2" t="s">
        <x:v>563</x:v>
      </x:c>
      <x:c r="K10" s="2" t="s">
        <x:v>571</x:v>
      </x:c>
      <x:c r="L10" s="2" t="s">
        <x:v>1574</x:v>
      </x:c>
      <x:c r="M10" s="2" t="s">
        <x:v>298</x:v>
      </x:c>
      <x:c r="N10" s="2" t="s">
        <x:v>1573</x:v>
      </x:c>
      <x:c r="O10" s="2" t="s">
        <x:v>1466</x:v>
      </x:c>
      <x:c r="P10" s="2" t="s">
        <x:v>169</x:v>
      </x:c>
      <x:c r="Q10" s="2" t="s">
        <x:v>1449</x:v>
      </x:c>
      <x:c r="R10" s="2" t="s">
        <x:v>1567</x:v>
      </x:c>
      <x:c r="S10" s="2" t="s">
        <x:v>3076</x:v>
      </x:c>
      <x:c r="T10" s="2" t="s">
        <x:v>3077</x:v>
      </x:c>
      <x:c r="U10" s="2" t="str">
        <x:v>M4客观生命周期：条件委托6张，止损3张，止盈3张；完成/取消/过期=1/4/1；首次止损延迟1345秒；止损覆盖率91.82%；最大止损空档1345秒；持仓结束时有效止损=是。</x:v>
      </x:c>
      <x:c r="V10" s="2" t="s">
        <x:v>1607</x:v>
      </x:c>
      <x:c r="W10" s="2">
        <x:v>2115.1</x:v>
      </x:c>
      <x:c r="X10" s="2" t="s">
        <x:v>3077</x:v>
      </x:c>
    </x:row>
    <x:row r="11" ht="336">
      <x:c r="A11" s="2" t="s">
        <x:v>76</x:v>
      </x:c>
      <x:c r="B11" s="2" t="s">
        <x:v>1610</x:v>
      </x:c>
      <x:c r="C11" s="2" t="s">
        <x:v>1336</x:v>
      </x:c>
      <x:c r="D11" s="2" t="s">
        <x:v>1337</x:v>
      </x:c>
      <x:c r="E11" s="2" t="s">
        <x:v>630</x:v>
      </x:c>
      <x:c r="F11" s="2" t="s">
        <x:v>695</x:v>
      </x:c>
      <x:c r="G11" s="2" t="s">
        <x:v>632</x:v>
      </x:c>
      <x:c r="H11" s="2" t="s">
        <x:v>631</x:v>
      </x:c>
      <x:c r="I11" s="2" t="s">
        <x:v>200</x:v>
      </x:c>
      <x:c r="J11" s="2" t="s">
        <x:v>314</x:v>
      </x:c>
      <x:c r="K11" s="2" t="s">
        <x:v>638</x:v>
      </x:c>
      <x:c r="L11" s="2" t="s">
        <x:v>3078</x:v>
      </x:c>
      <x:c r="M11" s="2" t="s">
        <x:v>330</x:v>
      </x:c>
      <x:c r="N11" s="2" t="s">
        <x:v>1466</x:v>
      </x:c>
      <x:c r="O11" s="2" t="s">
        <x:v>1353</x:v>
      </x:c>
      <x:c r="P11" s="2" t="s">
        <x:v>200</x:v>
      </x:c>
      <x:c r="Q11" s="2" t="s">
        <x:v>1612</x:v>
      </x:c>
      <x:c r="R11" s="2" t="s">
        <x:v>1618</x:v>
      </x:c>
      <x:c r="S11" s="2" t="s">
        <x:v>3079</x:v>
      </x:c>
      <x:c r="T11" s="2" t="s">
        <x:v>3080</x:v>
      </x:c>
      <x:c r="U11" s="2" t="str">
        <x:v>M4客观生命周期：条件委托12张，止损7张，止盈5张；完成/取消/过期=0/10/2；首次止损延迟41683秒；止损覆盖率65.99%；最大止损空档41683秒；持仓结束时有效止损=是。</x:v>
      </x:c>
      <x:c r="V11" s="2" t="s">
        <x:v>1465</x:v>
      </x:c>
      <x:c r="W11" s="2">
        <x:v>62546.73</x:v>
      </x:c>
      <x:c r="X11" s="2" t="s">
        <x:v>3081</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9" defaultRowHeight="16.799999237060547"/>
  <x:cols>
    <x:col min="1" max="143" width="16" customWidth="1"/>
  </x:cols>
  <x:sheetData>
    <x:row r="1" ht="34" customHeight="1">
      <x:c r="A1" s="1" t="s">
        <x:v>23</x:v>
      </x:c>
      <x:c r="B1" s="1" t="s">
        <x:v>93</x:v>
      </x:c>
      <x:c r="C1" s="1" t="s">
        <x:v>94</x:v>
      </x:c>
      <x:c r="D1" s="1" t="s">
        <x:v>3082</x:v>
      </x:c>
      <x:c r="E1" s="1" t="s">
        <x:v>25</x:v>
      </x:c>
      <x:c r="F1" s="1" t="s">
        <x:v>3083</x:v>
      </x:c>
      <x:c r="G1" s="1" t="s">
        <x:v>3084</x:v>
      </x:c>
      <x:c r="H1" s="1" t="s">
        <x:v>3085</x:v>
      </x:c>
      <x:c r="I1" s="1" t="s">
        <x:v>98</x:v>
      </x:c>
      <x:c r="J1" s="1" t="s">
        <x:v>99</x:v>
      </x:c>
      <x:c r="K1" s="1" t="s">
        <x:v>3086</x:v>
      </x:c>
      <x:c r="L1" s="1" t="s">
        <x:v>3087</x:v>
      </x:c>
      <x:c r="M1" s="1" t="s">
        <x:v>3088</x:v>
      </x:c>
      <x:c r="N1" s="1" t="s">
        <x:v>3089</x:v>
      </x:c>
      <x:c r="O1" s="1" t="s">
        <x:v>3090</x:v>
      </x:c>
      <x:c r="P1" s="1" t="s">
        <x:v>3091</x:v>
      </x:c>
      <x:c r="Q1" s="1" t="s">
        <x:v>1805</x:v>
      </x:c>
      <x:c r="R1" s="1" t="s">
        <x:v>3092</x:v>
      </x:c>
      <x:c r="S1" s="1" t="s">
        <x:v>3093</x:v>
      </x:c>
      <x:c r="T1" s="1" t="s">
        <x:v>1810</x:v>
      </x:c>
      <x:c r="U1" s="1" t="s">
        <x:v>3094</x:v>
      </x:c>
      <x:c r="V1" s="1"/>
      <x:c r="W1" s="1" t="s">
        <x:v>3095</x:v>
      </x:c>
      <x:c r="X1" s="1" t="s">
        <x:v>3096</x:v>
      </x:c>
      <x:c r="Y1" s="1" t="s">
        <x:v>3097</x:v>
      </x:c>
      <x:c r="Z1" s="1" t="s">
        <x:v>3098</x:v>
      </x:c>
      <x:c r="AA1" s="1" t="s">
        <x:v>3099</x:v>
      </x:c>
      <x:c r="AB1" s="1" t="s">
        <x:v>3100</x:v>
      </x:c>
      <x:c r="AC1" s="1" t="s">
        <x:v>3101</x:v>
      </x:c>
      <x:c r="AD1" s="1" t="s">
        <x:v>3102</x:v>
      </x:c>
      <x:c r="AE1" s="1" t="s">
        <x:v>3103</x:v>
      </x:c>
      <x:c r="AF1" s="1" t="s">
        <x:v>3104</x:v>
      </x:c>
      <x:c r="AG1" s="1" t="s">
        <x:v>3105</x:v>
      </x:c>
      <x:c r="AH1" s="1" t="s">
        <x:v>3106</x:v>
      </x:c>
      <x:c r="AI1" s="1" t="s">
        <x:v>3107</x:v>
      </x:c>
      <x:c r="AJ1" s="1" t="s">
        <x:v>3108</x:v>
      </x:c>
      <x:c r="AK1" s="1" t="s">
        <x:v>3109</x:v>
      </x:c>
      <x:c r="AL1" s="1" t="s">
        <x:v>3110</x:v>
      </x:c>
      <x:c r="AM1" s="1" t="s">
        <x:v>3111</x:v>
      </x:c>
      <x:c r="AN1" s="1" t="s">
        <x:v>3112</x:v>
      </x:c>
      <x:c r="AO1" s="1" t="s">
        <x:v>3113</x:v>
      </x:c>
      <x:c r="AP1" s="1" t="s">
        <x:v>3114</x:v>
      </x:c>
      <x:c r="AQ1" s="1" t="s">
        <x:v>3115</x:v>
      </x:c>
      <x:c r="AR1" s="1" t="s">
        <x:v>3116</x:v>
      </x:c>
      <x:c r="AS1" s="1" t="s">
        <x:v>3117</x:v>
      </x:c>
      <x:c r="AT1" s="1" t="s">
        <x:v>3118</x:v>
      </x:c>
      <x:c r="AU1" s="1" t="s">
        <x:v>3119</x:v>
      </x:c>
      <x:c r="AV1" s="1" t="s">
        <x:v>3120</x:v>
      </x:c>
      <x:c r="AW1" s="1" t="s">
        <x:v>3121</x:v>
      </x:c>
      <x:c r="AX1" s="1" t="s">
        <x:v>3122</x:v>
      </x:c>
      <x:c r="AY1" s="1" t="s">
        <x:v>3123</x:v>
      </x:c>
      <x:c r="AZ1" s="1" t="s">
        <x:v>3124</x:v>
      </x:c>
      <x:c r="BA1" s="1" t="s">
        <x:v>3125</x:v>
      </x:c>
      <x:c r="BB1" s="1" t="s">
        <x:v>3126</x:v>
      </x:c>
      <x:c r="BC1" s="1" t="s">
        <x:v>3127</x:v>
      </x:c>
      <x:c r="BD1" s="1" t="s">
        <x:v>3128</x:v>
      </x:c>
      <x:c r="BE1" s="1" t="s">
        <x:v>3129</x:v>
      </x:c>
      <x:c r="BF1" s="1" t="s">
        <x:v>3130</x:v>
      </x:c>
      <x:c r="BG1" s="1" t="s">
        <x:v>3131</x:v>
      </x:c>
      <x:c r="BH1" s="1" t="s">
        <x:v>3132</x:v>
      </x:c>
      <x:c r="BI1" s="1" t="s">
        <x:v>3133</x:v>
      </x:c>
      <x:c r="BJ1" s="1" t="s">
        <x:v>3134</x:v>
      </x:c>
      <x:c r="BK1" s="1" t="s">
        <x:v>3135</x:v>
      </x:c>
      <x:c r="BL1" s="1" t="s">
        <x:v>3136</x:v>
      </x:c>
      <x:c r="BM1" s="1" t="s">
        <x:v>3137</x:v>
      </x:c>
      <x:c r="BN1" s="1" t="s">
        <x:v>3138</x:v>
      </x:c>
      <x:c r="BO1" s="1" t="s">
        <x:v>3139</x:v>
      </x:c>
      <x:c r="BP1" s="1" t="s">
        <x:v>3140</x:v>
      </x:c>
      <x:c r="BQ1" s="1" t="s">
        <x:v>3141</x:v>
      </x:c>
      <x:c r="BR1" s="1" t="s">
        <x:v>3142</x:v>
      </x:c>
      <x:c r="BS1" s="1" t="s">
        <x:v>3143</x:v>
      </x:c>
      <x:c r="BT1" s="1" t="s">
        <x:v>3144</x:v>
      </x:c>
      <x:c r="BU1" s="1" t="s">
        <x:v>3145</x:v>
      </x:c>
      <x:c r="BV1" s="1" t="s">
        <x:v>3146</x:v>
      </x:c>
      <x:c r="BW1" s="1" t="s">
        <x:v>3147</x:v>
      </x:c>
      <x:c r="BX1" s="1" t="s">
        <x:v>3148</x:v>
      </x:c>
      <x:c r="BY1" s="1" t="s">
        <x:v>3149</x:v>
      </x:c>
      <x:c r="BZ1" s="1" t="s">
        <x:v>3150</x:v>
      </x:c>
      <x:c r="CA1" s="1" t="s">
        <x:v>3151</x:v>
      </x:c>
      <x:c r="CB1" s="1" t="s">
        <x:v>3152</x:v>
      </x:c>
      <x:c r="CC1" s="1" t="s">
        <x:v>3153</x:v>
      </x:c>
      <x:c r="CD1" s="1" t="s">
        <x:v>3154</x:v>
      </x:c>
      <x:c r="CE1" s="1" t="s">
        <x:v>3155</x:v>
      </x:c>
      <x:c r="CF1" s="1" t="s">
        <x:v>3156</x:v>
      </x:c>
      <x:c r="CG1" s="1" t="s">
        <x:v>3157</x:v>
      </x:c>
      <x:c r="CH1" s="1" t="s">
        <x:v>3158</x:v>
      </x:c>
      <x:c r="CI1" s="1" t="s">
        <x:v>3159</x:v>
      </x:c>
      <x:c r="CJ1" s="1" t="s">
        <x:v>3160</x:v>
      </x:c>
      <x:c r="CK1" s="1" t="s">
        <x:v>3161</x:v>
      </x:c>
      <x:c r="CL1" s="1" t="s">
        <x:v>3162</x:v>
      </x:c>
      <x:c r="CM1" s="1" t="s">
        <x:v>3163</x:v>
      </x:c>
      <x:c r="CN1" s="1" t="s">
        <x:v>3164</x:v>
      </x:c>
      <x:c r="CO1" s="1" t="s">
        <x:v>3165</x:v>
      </x:c>
      <x:c r="CP1" s="1" t="s">
        <x:v>3166</x:v>
      </x:c>
      <x:c r="CQ1" s="1" t="s">
        <x:v>3167</x:v>
      </x:c>
      <x:c r="CR1" s="1" t="s">
        <x:v>3168</x:v>
      </x:c>
      <x:c r="CS1" s="1" t="s">
        <x:v>3169</x:v>
      </x:c>
      <x:c r="CT1" s="1" t="s">
        <x:v>3170</x:v>
      </x:c>
      <x:c r="CU1" s="1" t="s">
        <x:v>3171</x:v>
      </x:c>
      <x:c r="CV1" s="1" t="s">
        <x:v>3172</x:v>
      </x:c>
      <x:c r="CW1" s="1" t="s">
        <x:v>3173</x:v>
      </x:c>
      <x:c r="CX1" s="1" t="s">
        <x:v>3174</x:v>
      </x:c>
      <x:c r="CY1" s="1" t="s">
        <x:v>3175</x:v>
      </x:c>
      <x:c r="CZ1" s="1" t="s">
        <x:v>3176</x:v>
      </x:c>
      <x:c r="DA1" s="1" t="s">
        <x:v>3177</x:v>
      </x:c>
      <x:c r="DB1" s="1" t="s">
        <x:v>3178</x:v>
      </x:c>
      <x:c r="DC1" s="1" t="s">
        <x:v>3179</x:v>
      </x:c>
      <x:c r="DD1" s="1" t="s">
        <x:v>3180</x:v>
      </x:c>
      <x:c r="DE1" s="1" t="s">
        <x:v>3181</x:v>
      </x:c>
      <x:c r="DF1" s="1" t="s">
        <x:v>3182</x:v>
      </x:c>
      <x:c r="DG1" s="1" t="s">
        <x:v>3183</x:v>
      </x:c>
      <x:c r="DH1" s="1" t="s">
        <x:v>3184</x:v>
      </x:c>
      <x:c r="DI1" s="1" t="s">
        <x:v>3185</x:v>
      </x:c>
      <x:c r="DJ1" s="1" t="s">
        <x:v>3186</x:v>
      </x:c>
      <x:c r="DK1" s="1" t="s">
        <x:v>3187</x:v>
      </x:c>
      <x:c r="DL1" s="1" t="s">
        <x:v>3188</x:v>
      </x:c>
      <x:c r="DM1" s="1" t="s">
        <x:v>3189</x:v>
      </x:c>
      <x:c r="DN1" s="1" t="s">
        <x:v>3190</x:v>
      </x:c>
      <x:c r="DO1" s="1" t="s">
        <x:v>3191</x:v>
      </x:c>
      <x:c r="DP1" s="1" t="s">
        <x:v>3192</x:v>
      </x:c>
      <x:c r="DQ1" s="1" t="s">
        <x:v>3193</x:v>
      </x:c>
      <x:c r="DR1" s="1" t="s">
        <x:v>3194</x:v>
      </x:c>
      <x:c r="DS1" s="1" t="s">
        <x:v>3195</x:v>
      </x:c>
      <x:c r="DT1" s="1" t="s">
        <x:v>3196</x:v>
      </x:c>
      <x:c r="DU1" s="1" t="s">
        <x:v>3197</x:v>
      </x:c>
      <x:c r="DV1" s="1" t="s">
        <x:v>3198</x:v>
      </x:c>
      <x:c r="DW1" s="1" t="s">
        <x:v>3199</x:v>
      </x:c>
      <x:c r="DX1" s="1" t="s">
        <x:v>3200</x:v>
      </x:c>
      <x:c r="DY1" s="1" t="s">
        <x:v>3201</x:v>
      </x:c>
      <x:c r="DZ1" s="1" t="s">
        <x:v>3202</x:v>
      </x:c>
      <x:c r="EA1" s="1" t="s">
        <x:v>3203</x:v>
      </x:c>
      <x:c r="EB1" s="1" t="s">
        <x:v>3204</x:v>
      </x:c>
      <x:c r="EC1" s="1" t="s">
        <x:v>3205</x:v>
      </x:c>
      <x:c r="ED1" s="1" t="s">
        <x:v>3206</x:v>
      </x:c>
      <x:c r="EE1" s="1" t="s">
        <x:v>3207</x:v>
      </x:c>
      <x:c r="EF1" s="1" t="s">
        <x:v>3208</x:v>
      </x:c>
      <x:c r="EG1" s="1" t="s">
        <x:v>3209</x:v>
      </x:c>
      <x:c r="EH1" s="1" t="s">
        <x:v>3210</x:v>
      </x:c>
      <x:c r="EI1" s="1" t="s">
        <x:v>3211</x:v>
      </x:c>
      <x:c r="EJ1" s="1" t="s">
        <x:v>3212</x:v>
      </x:c>
      <x:c r="EK1" s="1" t="s">
        <x:v>3213</x:v>
      </x:c>
      <x:c r="EL1" s="1" t="s">
        <x:v>3214</x:v>
      </x:c>
      <x:c r="EM1" s="1" t="s">
        <x:v>3215</x:v>
      </x:c>
    </x:row>
    <x:row r="2" ht="84">
      <x:c r="A2" s="2" t="s">
        <x:v>67</x:v>
      </x:c>
      <x:c r="B2" s="2" t="s">
        <x:v>200</x:v>
      </x:c>
      <x:c r="C2" s="2" t="s">
        <x:v>3</x:v>
      </x:c>
      <x:c r="D2" s="2" t="s">
        <x:v>163</x:v>
      </x:c>
      <x:c r="E2" s="2" t="s">
        <x:v>1336</x:v>
      </x:c>
      <x:c r="F2" s="2" t="s">
        <x:v>1409</x:v>
      </x:c>
      <x:c r="G2" s="2" t="s">
        <x:v>170</x:v>
      </x:c>
      <x:c r="H2" s="2" t="s">
        <x:v>167</x:v>
      </x:c>
      <x:c r="I2" s="2" t="s">
        <x:v>169</x:v>
      </x:c>
      <x:c r="J2" s="2" t="s">
        <x:v>170</x:v>
      </x:c>
      <x:c r="K2" s="2" t="s">
        <x:v>167</x:v>
      </x:c>
      <x:c r="L2" s="2" t="s">
        <x:v>3216</x:v>
      </x:c>
      <x:c r="M2" s="2" t="s">
        <x:v>3217</x:v>
      </x:c>
      <x:c r="N2" s="2" t="s">
        <x:v>169</x:v>
      </x:c>
      <x:c r="O2" s="2" t="s">
        <x:v>3218</x:v>
      </x:c>
      <x:c r="P2" s="2" t="s">
        <x:v>1353</x:v>
      </x:c>
      <x:c r="Q2" s="2" t="s">
        <x:v>172</x:v>
      </x:c>
      <x:c r="R2" s="2" t="s">
        <x:v>1381</x:v>
      </x:c>
      <x:c r="S2" s="2" t="s">
        <x:v>3219</x:v>
      </x:c>
      <x:c r="T2" s="2" t="s">
        <x:v>3915</x:v>
      </x:c>
      <x:c r="U2" s="2" t="s">
        <x:v>3221</x:v>
      </x:c>
      <x:c r="V2" s="2"/>
      <x:c r="W2" s="2" t="s">
        <x:v>67</x:v>
      </x:c>
      <x:c r="X2" s="2">
        <x:v>1</x:v>
      </x:c>
      <x:c r="Y2" s="2" t="s">
        <x:v>3</x:v>
      </x:c>
      <x:c r="Z2" s="2" t="s">
        <x:v>163</x:v>
      </x:c>
      <x:c r="AA2" s="2">
        <x:v>0.5</x:v>
      </x:c>
      <x:c r="AB2" s="2">
        <x:v>76188</x:v>
      </x:c>
      <x:c r="AC2" s="2">
        <x:v>0</x:v>
      </x:c>
      <x:c r="AD2" s="2">
        <x:v>0.5</x:v>
      </x:c>
      <x:c r="AE2" s="2">
        <x:v>76188</x:v>
      </x:c>
      <x:c r="AF2" s="2">
        <x:v>29057.38</x:v>
      </x:c>
      <x:c r="AG2" s="2">
        <x:v>29049.7612</x:v>
      </x:c>
      <x:c r="AH2" s="2">
        <x:v>0</x:v>
      </x:c>
      <x:c r="AI2" s="2" t="s">
        <x:v>172</x:v>
      </x:c>
      <x:c r="AJ2" s="2" t="s">
        <x:v>3222</x:v>
      </x:c>
      <x:c r="AK2" s="2" t="s">
        <x:v>3222</x:v>
      </x:c>
      <x:c r="AL2" s="2" t="s">
        <x:v>3222</x:v>
      </x:c>
      <x:c r="AM2" s="2" t="s">
        <x:v>3222</x:v>
      </x:c>
      <x:c r="AN2" s="2" t="s">
        <x:v>3222</x:v>
      </x:c>
      <x:c r="AO2" s="2" t="s">
        <x:v>3222</x:v>
      </x:c>
      <x:c r="AP2" s="2" t="s">
        <x:v>3222</x:v>
      </x:c>
      <x:c r="AQ2" s="2" t="s">
        <x:v>3222</x:v>
      </x:c>
      <x:c r="AR2" s="2" t="s">
        <x:v>3222</x:v>
      </x:c>
      <x:c r="AS2" s="2" t="s">
        <x:v>3222</x:v>
      </x:c>
      <x:c r="AT2" s="2" t="s">
        <x:v>3222</x:v>
      </x:c>
      <x:c r="AU2" s="2" t="s">
        <x:v>3222</x:v>
      </x:c>
      <x:c r="AV2" s="2" t="s">
        <x:v>3222</x:v>
      </x:c>
      <x:c r="AW2" s="2" t="s">
        <x:v>3222</x:v>
      </x:c>
      <x:c r="AX2" s="2" t="s">
        <x:v>3222</x:v>
      </x:c>
      <x:c r="AY2" s="2" t="s">
        <x:v>3222</x:v>
      </x:c>
      <x:c r="AZ2" s="2" t="s">
        <x:v>3222</x:v>
      </x:c>
      <x:c r="BA2" s="2" t="s">
        <x:v>3222</x:v>
      </x:c>
      <x:c r="BB2" s="2" t="s">
        <x:v>3222</x:v>
      </x:c>
      <x:c r="BC2" s="2" t="s">
        <x:v>3222</x:v>
      </x:c>
      <x:c r="BD2" s="2" t="s">
        <x:v>3222</x:v>
      </x:c>
      <x:c r="BE2" s="2" t="s">
        <x:v>3222</x:v>
      </x:c>
      <x:c r="BF2" s="2" t="s">
        <x:v>3222</x:v>
      </x:c>
      <x:c r="BG2" s="2" t="s">
        <x:v>3222</x:v>
      </x:c>
      <x:c r="BH2" s="2" t="s">
        <x:v>3222</x:v>
      </x:c>
      <x:c r="BI2" s="2" t="s">
        <x:v>3222</x:v>
      </x:c>
      <x:c r="BJ2" s="2" t="s">
        <x:v>3222</x:v>
      </x:c>
      <x:c r="BK2" s="2" t="s">
        <x:v>3222</x:v>
      </x:c>
      <x:c r="BL2" s="2" t="s">
        <x:v>3222</x:v>
      </x:c>
      <x:c r="BM2" s="2" t="s">
        <x:v>3222</x:v>
      </x:c>
      <x:c r="BN2" s="2" t="s">
        <x:v>3222</x:v>
      </x:c>
      <x:c r="BO2" s="2" t="s">
        <x:v>3222</x:v>
      </x:c>
      <x:c r="BP2" s="2" t="s">
        <x:v>3222</x:v>
      </x:c>
      <x:c r="BQ2" s="2" t="s">
        <x:v>3222</x:v>
      </x:c>
      <x:c r="BR2" s="2" t="s">
        <x:v>3222</x:v>
      </x:c>
      <x:c r="BS2" s="2" t="s">
        <x:v>3222</x:v>
      </x:c>
      <x:c r="BT2" s="2" t="s">
        <x:v>3222</x:v>
      </x:c>
      <x:c r="BU2" s="2" t="s">
        <x:v>3222</x:v>
      </x:c>
      <x:c r="BV2" s="2" t="s">
        <x:v>3222</x:v>
      </x:c>
      <x:c r="BW2" s="2" t="s">
        <x:v>3222</x:v>
      </x:c>
      <x:c r="BX2" s="2" t="s">
        <x:v>3222</x:v>
      </x:c>
      <x:c r="BY2" s="2" t="s">
        <x:v>3222</x:v>
      </x:c>
      <x:c r="BZ2" s="2" t="s">
        <x:v>3222</x:v>
      </x:c>
      <x:c r="CA2" s="2" t="s">
        <x:v>3222</x:v>
      </x:c>
      <x:c r="CB2" s="2" t="s">
        <x:v>3222</x:v>
      </x:c>
      <x:c r="CC2" s="2" t="s">
        <x:v>3222</x:v>
      </x:c>
      <x:c r="CD2" s="2" t="s">
        <x:v>3222</x:v>
      </x:c>
      <x:c r="CE2" s="2" t="s">
        <x:v>3222</x:v>
      </x:c>
      <x:c r="CF2" s="2" t="s">
        <x:v>3222</x:v>
      </x:c>
      <x:c r="CG2" s="2" t="s">
        <x:v>3222</x:v>
      </x:c>
      <x:c r="CH2" s="2" t="s">
        <x:v>3222</x:v>
      </x:c>
      <x:c r="CI2" s="2" t="s">
        <x:v>3222</x:v>
      </x:c>
      <x:c r="CJ2" s="2" t="s">
        <x:v>3222</x:v>
      </x:c>
      <x:c r="CK2" s="2" t="s">
        <x:v>3222</x:v>
      </x:c>
      <x:c r="CL2" s="2" t="s">
        <x:v>3222</x:v>
      </x:c>
      <x:c r="CM2" s="2" t="s">
        <x:v>3222</x:v>
      </x:c>
      <x:c r="CN2" s="2" t="s">
        <x:v>3222</x:v>
      </x:c>
      <x:c r="CO2" s="2" t="s">
        <x:v>3222</x:v>
      </x:c>
      <x:c r="CP2" s="2" t="s">
        <x:v>3222</x:v>
      </x:c>
      <x:c r="CQ2" s="2" t="s">
        <x:v>3222</x:v>
      </x:c>
      <x:c r="CR2" s="2" t="s">
        <x:v>3222</x:v>
      </x:c>
      <x:c r="CS2" s="2" t="s">
        <x:v>3222</x:v>
      </x:c>
      <x:c r="CT2" s="2" t="s">
        <x:v>3222</x:v>
      </x:c>
      <x:c r="CU2" s="2" t="s">
        <x:v>3222</x:v>
      </x:c>
      <x:c r="CV2" s="2" t="s">
        <x:v>3222</x:v>
      </x:c>
      <x:c r="CW2" s="2" t="s">
        <x:v>3222</x:v>
      </x:c>
      <x:c r="CX2" s="2" t="s">
        <x:v>3222</x:v>
      </x:c>
      <x:c r="CY2" s="2" t="s">
        <x:v>3222</x:v>
      </x:c>
      <x:c r="CZ2" s="2" t="s">
        <x:v>3222</x:v>
      </x:c>
      <x:c r="DA2" s="2" t="s">
        <x:v>3222</x:v>
      </x:c>
      <x:c r="DB2" s="2" t="s">
        <x:v>3222</x:v>
      </x:c>
      <x:c r="DC2" s="2" t="s">
        <x:v>3222</x:v>
      </x:c>
      <x:c r="DD2" s="2" t="s">
        <x:v>3222</x:v>
      </x:c>
      <x:c r="DE2" s="2" t="s">
        <x:v>3222</x:v>
      </x:c>
      <x:c r="DF2" s="2" t="s">
        <x:v>3222</x:v>
      </x:c>
      <x:c r="DG2" s="2" t="s">
        <x:v>3222</x:v>
      </x:c>
      <x:c r="DH2" s="2" t="s">
        <x:v>3222</x:v>
      </x:c>
      <x:c r="DI2" s="2" t="s">
        <x:v>3222</x:v>
      </x:c>
      <x:c r="DJ2" s="2" t="s">
        <x:v>3222</x:v>
      </x:c>
      <x:c r="DK2" s="2" t="s">
        <x:v>3222</x:v>
      </x:c>
      <x:c r="DL2" s="2" t="s">
        <x:v>3222</x:v>
      </x:c>
      <x:c r="DM2" s="2" t="s">
        <x:v>3222</x:v>
      </x:c>
      <x:c r="DN2" s="2" t="s">
        <x:v>3222</x:v>
      </x:c>
      <x:c r="DO2" s="2" t="s">
        <x:v>3222</x:v>
      </x:c>
      <x:c r="DP2" s="2" t="s">
        <x:v>3222</x:v>
      </x:c>
      <x:c r="DQ2" s="2" t="s">
        <x:v>3222</x:v>
      </x:c>
      <x:c r="DR2" s="2" t="s">
        <x:v>3222</x:v>
      </x:c>
      <x:c r="DS2" s="2" t="s">
        <x:v>3222</x:v>
      </x:c>
      <x:c r="DT2" s="2" t="s">
        <x:v>3222</x:v>
      </x:c>
      <x:c r="DU2" s="2" t="s">
        <x:v>3222</x:v>
      </x:c>
      <x:c r="DV2" s="2" t="s">
        <x:v>3222</x:v>
      </x:c>
      <x:c r="DW2" s="2" t="s">
        <x:v>3222</x:v>
      </x:c>
      <x:c r="DX2" s="2" t="s">
        <x:v>3222</x:v>
      </x:c>
      <x:c r="DY2" s="2" t="s">
        <x:v>3222</x:v>
      </x:c>
      <x:c r="DZ2" s="2" t="s">
        <x:v>3222</x:v>
      </x:c>
      <x:c r="EA2" s="2" t="s">
        <x:v>3222</x:v>
      </x:c>
      <x:c r="EB2" s="2" t="s">
        <x:v>3222</x:v>
      </x:c>
      <x:c r="EC2" s="2" t="s">
        <x:v>3222</x:v>
      </x:c>
      <x:c r="ED2" s="2" t="s">
        <x:v>3222</x:v>
      </x:c>
      <x:c r="EE2" s="2" t="s">
        <x:v>3222</x:v>
      </x:c>
      <x:c r="EF2" s="2" t="s">
        <x:v>3222</x:v>
      </x:c>
      <x:c r="EG2" s="2" t="s">
        <x:v>3222</x:v>
      </x:c>
      <x:c r="EH2" s="2" t="s">
        <x:v>3222</x:v>
      </x:c>
      <x:c r="EI2" s="2" t="s">
        <x:v>3222</x:v>
      </x:c>
      <x:c r="EJ2" s="2" t="s">
        <x:v>3222</x:v>
      </x:c>
      <x:c r="EK2" s="2" t="s">
        <x:v>3222</x:v>
      </x:c>
      <x:c r="EL2" s="2" t="s">
        <x:v>3222</x:v>
      </x:c>
      <x:c r="EM2" s="2" t="s">
        <x:v>3222</x:v>
      </x:c>
    </x:row>
    <x:row r="3" ht="84">
      <x:c r="A3" s="2" t="s">
        <x:v>68</x:v>
      </x:c>
      <x:c r="B3" s="2" t="s">
        <x:v>200</x:v>
      </x:c>
      <x:c r="C3" s="2" t="s">
        <x:v>3</x:v>
      </x:c>
      <x:c r="D3" s="2" t="s">
        <x:v>197</x:v>
      </x:c>
      <x:c r="E3" s="2" t="s">
        <x:v>1336</x:v>
      </x:c>
      <x:c r="F3" s="2" t="s">
        <x:v>1337</x:v>
      </x:c>
      <x:c r="G3" s="2" t="s">
        <x:v>200</x:v>
      </x:c>
      <x:c r="H3" s="2" t="s">
        <x:v>192</x:v>
      </x:c>
      <x:c r="I3" s="2" t="s">
        <x:v>169</x:v>
      </x:c>
      <x:c r="J3" s="2" t="s">
        <x:v>200</x:v>
      </x:c>
      <x:c r="K3" s="2" t="s">
        <x:v>192</x:v>
      </x:c>
      <x:c r="L3" s="2" t="s">
        <x:v>1771</x:v>
      </x:c>
      <x:c r="M3" s="2" t="s">
        <x:v>1773</x:v>
      </x:c>
      <x:c r="N3" s="2" t="s">
        <x:v>169</x:v>
      </x:c>
      <x:c r="O3" s="2" t="s">
        <x:v>1755</x:v>
      </x:c>
      <x:c r="P3" s="2" t="s">
        <x:v>200</x:v>
      </x:c>
      <x:c r="Q3" s="2" t="s">
        <x:v>172</x:v>
      </x:c>
      <x:c r="R3" s="2" t="s">
        <x:v>1381</x:v>
      </x:c>
      <x:c r="S3" s="2" t="s">
        <x:v>3219</x:v>
      </x:c>
      <x:c r="T3" s="2" t="s">
        <x:v>3915</x:v>
      </x:c>
      <x:c r="U3" s="2" t="s">
        <x:v>3223</x:v>
      </x:c>
      <x:c r="V3" s="2"/>
      <x:c r="W3" s="2" t="s">
        <x:v>68</x:v>
      </x:c>
      <x:c r="X3" s="2">
        <x:v>1</x:v>
      </x:c>
      <x:c r="Y3" s="2" t="s">
        <x:v>3</x:v>
      </x:c>
      <x:c r="Z3" s="2" t="s">
        <x:v>197</x:v>
      </x:c>
      <x:c r="AA3" s="2">
        <x:v>1</x:v>
      </x:c>
      <x:c r="AB3" s="2">
        <x:v>74111</x:v>
      </x:c>
      <x:c r="AC3" s="2">
        <x:v>0</x:v>
      </x:c>
      <x:c r="AD3" s="2">
        <x:v>1</x:v>
      </x:c>
      <x:c r="AE3" s="2">
        <x:v>74111</x:v>
      </x:c>
      <x:c r="AF3" s="2">
        <x:v>15759.87276468</x:v>
      </x:c>
      <x:c r="AG3" s="2">
        <x:v>15745.05056468</x:v>
      </x:c>
      <x:c r="AH3" s="2">
        <x:v>0</x:v>
      </x:c>
      <x:c r="AI3" s="2" t="s">
        <x:v>172</x:v>
      </x:c>
      <x:c r="AJ3" s="2" t="s">
        <x:v>3222</x:v>
      </x:c>
      <x:c r="AK3" s="2" t="s">
        <x:v>3222</x:v>
      </x:c>
      <x:c r="AL3" s="2" t="s">
        <x:v>3222</x:v>
      </x:c>
      <x:c r="AM3" s="2" t="s">
        <x:v>3222</x:v>
      </x:c>
      <x:c r="AN3" s="2" t="s">
        <x:v>3222</x:v>
      </x:c>
      <x:c r="AO3" s="2" t="s">
        <x:v>3222</x:v>
      </x:c>
      <x:c r="AP3" s="2" t="s">
        <x:v>3222</x:v>
      </x:c>
      <x:c r="AQ3" s="2" t="s">
        <x:v>3222</x:v>
      </x:c>
      <x:c r="AR3" s="2" t="s">
        <x:v>3222</x:v>
      </x:c>
      <x:c r="AS3" s="2" t="s">
        <x:v>3222</x:v>
      </x:c>
      <x:c r="AT3" s="2" t="s">
        <x:v>3222</x:v>
      </x:c>
      <x:c r="AU3" s="2" t="s">
        <x:v>3222</x:v>
      </x:c>
      <x:c r="AV3" s="2" t="s">
        <x:v>3222</x:v>
      </x:c>
      <x:c r="AW3" s="2" t="s">
        <x:v>3222</x:v>
      </x:c>
      <x:c r="AX3" s="2" t="s">
        <x:v>3222</x:v>
      </x:c>
      <x:c r="AY3" s="2" t="s">
        <x:v>3222</x:v>
      </x:c>
      <x:c r="AZ3" s="2" t="s">
        <x:v>3222</x:v>
      </x:c>
      <x:c r="BA3" s="2" t="s">
        <x:v>3222</x:v>
      </x:c>
      <x:c r="BB3" s="2" t="s">
        <x:v>3222</x:v>
      </x:c>
      <x:c r="BC3" s="2" t="s">
        <x:v>3222</x:v>
      </x:c>
      <x:c r="BD3" s="2" t="s">
        <x:v>3222</x:v>
      </x:c>
      <x:c r="BE3" s="2" t="s">
        <x:v>3222</x:v>
      </x:c>
      <x:c r="BF3" s="2" t="s">
        <x:v>3222</x:v>
      </x:c>
      <x:c r="BG3" s="2" t="s">
        <x:v>3222</x:v>
      </x:c>
      <x:c r="BH3" s="2" t="s">
        <x:v>3222</x:v>
      </x:c>
      <x:c r="BI3" s="2" t="s">
        <x:v>3222</x:v>
      </x:c>
      <x:c r="BJ3" s="2" t="s">
        <x:v>3222</x:v>
      </x:c>
      <x:c r="BK3" s="2" t="s">
        <x:v>3222</x:v>
      </x:c>
      <x:c r="BL3" s="2" t="s">
        <x:v>3222</x:v>
      </x:c>
      <x:c r="BM3" s="2" t="s">
        <x:v>3222</x:v>
      </x:c>
      <x:c r="BN3" s="2" t="s">
        <x:v>3222</x:v>
      </x:c>
      <x:c r="BO3" s="2" t="s">
        <x:v>3222</x:v>
      </x:c>
      <x:c r="BP3" s="2" t="s">
        <x:v>3222</x:v>
      </x:c>
      <x:c r="BQ3" s="2" t="s">
        <x:v>3222</x:v>
      </x:c>
      <x:c r="BR3" s="2" t="s">
        <x:v>3222</x:v>
      </x:c>
      <x:c r="BS3" s="2" t="s">
        <x:v>3222</x:v>
      </x:c>
      <x:c r="BT3" s="2" t="s">
        <x:v>3222</x:v>
      </x:c>
      <x:c r="BU3" s="2" t="s">
        <x:v>3222</x:v>
      </x:c>
      <x:c r="BV3" s="2" t="s">
        <x:v>3222</x:v>
      </x:c>
      <x:c r="BW3" s="2" t="s">
        <x:v>3222</x:v>
      </x:c>
      <x:c r="BX3" s="2" t="s">
        <x:v>3222</x:v>
      </x:c>
      <x:c r="BY3" s="2" t="s">
        <x:v>3222</x:v>
      </x:c>
      <x:c r="BZ3" s="2" t="s">
        <x:v>3222</x:v>
      </x:c>
      <x:c r="CA3" s="2" t="s">
        <x:v>3222</x:v>
      </x:c>
      <x:c r="CB3" s="2" t="s">
        <x:v>3222</x:v>
      </x:c>
      <x:c r="CC3" s="2" t="s">
        <x:v>3222</x:v>
      </x:c>
      <x:c r="CD3" s="2" t="s">
        <x:v>3222</x:v>
      </x:c>
      <x:c r="CE3" s="2" t="s">
        <x:v>3222</x:v>
      </x:c>
      <x:c r="CF3" s="2" t="s">
        <x:v>3222</x:v>
      </x:c>
      <x:c r="CG3" s="2" t="s">
        <x:v>3222</x:v>
      </x:c>
      <x:c r="CH3" s="2" t="s">
        <x:v>3222</x:v>
      </x:c>
      <x:c r="CI3" s="2" t="s">
        <x:v>3222</x:v>
      </x:c>
      <x:c r="CJ3" s="2" t="s">
        <x:v>3222</x:v>
      </x:c>
      <x:c r="CK3" s="2" t="s">
        <x:v>3222</x:v>
      </x:c>
      <x:c r="CL3" s="2" t="s">
        <x:v>3222</x:v>
      </x:c>
      <x:c r="CM3" s="2" t="s">
        <x:v>3222</x:v>
      </x:c>
      <x:c r="CN3" s="2" t="s">
        <x:v>3222</x:v>
      </x:c>
      <x:c r="CO3" s="2" t="s">
        <x:v>3222</x:v>
      </x:c>
      <x:c r="CP3" s="2" t="s">
        <x:v>3222</x:v>
      </x:c>
      <x:c r="CQ3" s="2" t="s">
        <x:v>3222</x:v>
      </x:c>
      <x:c r="CR3" s="2" t="s">
        <x:v>3222</x:v>
      </x:c>
      <x:c r="CS3" s="2" t="s">
        <x:v>3222</x:v>
      </x:c>
      <x:c r="CT3" s="2" t="s">
        <x:v>3222</x:v>
      </x:c>
      <x:c r="CU3" s="2" t="s">
        <x:v>3222</x:v>
      </x:c>
      <x:c r="CV3" s="2" t="s">
        <x:v>3222</x:v>
      </x:c>
      <x:c r="CW3" s="2" t="s">
        <x:v>3222</x:v>
      </x:c>
      <x:c r="CX3" s="2" t="s">
        <x:v>3222</x:v>
      </x:c>
      <x:c r="CY3" s="2" t="s">
        <x:v>3222</x:v>
      </x:c>
      <x:c r="CZ3" s="2" t="s">
        <x:v>3222</x:v>
      </x:c>
      <x:c r="DA3" s="2" t="s">
        <x:v>3222</x:v>
      </x:c>
      <x:c r="DB3" s="2" t="s">
        <x:v>3222</x:v>
      </x:c>
      <x:c r="DC3" s="2" t="s">
        <x:v>3222</x:v>
      </x:c>
      <x:c r="DD3" s="2" t="s">
        <x:v>3222</x:v>
      </x:c>
      <x:c r="DE3" s="2" t="s">
        <x:v>3222</x:v>
      </x:c>
      <x:c r="DF3" s="2" t="s">
        <x:v>3222</x:v>
      </x:c>
      <x:c r="DG3" s="2" t="s">
        <x:v>3222</x:v>
      </x:c>
      <x:c r="DH3" s="2" t="s">
        <x:v>3222</x:v>
      </x:c>
      <x:c r="DI3" s="2" t="s">
        <x:v>3222</x:v>
      </x:c>
      <x:c r="DJ3" s="2" t="s">
        <x:v>3222</x:v>
      </x:c>
      <x:c r="DK3" s="2" t="s">
        <x:v>3222</x:v>
      </x:c>
      <x:c r="DL3" s="2" t="s">
        <x:v>3222</x:v>
      </x:c>
      <x:c r="DM3" s="2" t="s">
        <x:v>3222</x:v>
      </x:c>
      <x:c r="DN3" s="2" t="s">
        <x:v>3222</x:v>
      </x:c>
      <x:c r="DO3" s="2" t="s">
        <x:v>3222</x:v>
      </x:c>
      <x:c r="DP3" s="2" t="s">
        <x:v>3222</x:v>
      </x:c>
      <x:c r="DQ3" s="2" t="s">
        <x:v>3222</x:v>
      </x:c>
      <x:c r="DR3" s="2" t="s">
        <x:v>3222</x:v>
      </x:c>
      <x:c r="DS3" s="2" t="s">
        <x:v>3222</x:v>
      </x:c>
      <x:c r="DT3" s="2" t="s">
        <x:v>3222</x:v>
      </x:c>
      <x:c r="DU3" s="2" t="s">
        <x:v>3222</x:v>
      </x:c>
      <x:c r="DV3" s="2" t="s">
        <x:v>3222</x:v>
      </x:c>
      <x:c r="DW3" s="2" t="s">
        <x:v>3222</x:v>
      </x:c>
      <x:c r="DX3" s="2" t="s">
        <x:v>3222</x:v>
      </x:c>
      <x:c r="DY3" s="2" t="s">
        <x:v>3222</x:v>
      </x:c>
      <x:c r="DZ3" s="2" t="s">
        <x:v>3222</x:v>
      </x:c>
      <x:c r="EA3" s="2" t="s">
        <x:v>3222</x:v>
      </x:c>
      <x:c r="EB3" s="2" t="s">
        <x:v>3222</x:v>
      </x:c>
      <x:c r="EC3" s="2" t="s">
        <x:v>3222</x:v>
      </x:c>
      <x:c r="ED3" s="2" t="s">
        <x:v>3222</x:v>
      </x:c>
      <x:c r="EE3" s="2" t="s">
        <x:v>3222</x:v>
      </x:c>
      <x:c r="EF3" s="2" t="s">
        <x:v>3222</x:v>
      </x:c>
      <x:c r="EG3" s="2" t="s">
        <x:v>3222</x:v>
      </x:c>
      <x:c r="EH3" s="2" t="s">
        <x:v>3222</x:v>
      </x:c>
      <x:c r="EI3" s="2" t="s">
        <x:v>3222</x:v>
      </x:c>
      <x:c r="EJ3" s="2" t="s">
        <x:v>3222</x:v>
      </x:c>
      <x:c r="EK3" s="2" t="s">
        <x:v>3222</x:v>
      </x:c>
      <x:c r="EL3" s="2" t="s">
        <x:v>3222</x:v>
      </x:c>
      <x:c r="EM3" s="2" t="s">
        <x:v>3222</x:v>
      </x:c>
    </x:row>
    <x:row r="4" ht="84">
      <x:c r="A4" s="2" t="s">
        <x:v>69</x:v>
      </x:c>
      <x:c r="B4" s="2" t="s">
        <x:v>200</x:v>
      </x:c>
      <x:c r="C4" s="2" t="s">
        <x:v>3</x:v>
      </x:c>
      <x:c r="D4" s="2" t="s">
        <x:v>216</x:v>
      </x:c>
      <x:c r="E4" s="2" t="s">
        <x:v>1336</x:v>
      </x:c>
      <x:c r="F4" s="2" t="s">
        <x:v>1337</x:v>
      </x:c>
      <x:c r="G4" s="2" t="s">
        <x:v>218</x:v>
      </x:c>
      <x:c r="H4" s="2" t="s">
        <x:v>217</x:v>
      </x:c>
      <x:c r="I4" s="2" t="s">
        <x:v>169</x:v>
      </x:c>
      <x:c r="J4" s="2" t="s">
        <x:v>218</x:v>
      </x:c>
      <x:c r="K4" s="2" t="s">
        <x:v>217</x:v>
      </x:c>
      <x:c r="L4" s="2" t="s">
        <x:v>1364</x:v>
      </x:c>
      <x:c r="M4" s="2" t="s">
        <x:v>1366</x:v>
      </x:c>
      <x:c r="N4" s="2" t="s">
        <x:v>169</x:v>
      </x:c>
      <x:c r="O4" s="2" t="s">
        <x:v>1341</x:v>
      </x:c>
      <x:c r="P4" s="2" t="s">
        <x:v>200</x:v>
      </x:c>
      <x:c r="Q4" s="2" t="s">
        <x:v>172</x:v>
      </x:c>
      <x:c r="R4" s="2" t="s">
        <x:v>1381</x:v>
      </x:c>
      <x:c r="S4" s="2" t="s">
        <x:v>3219</x:v>
      </x:c>
      <x:c r="T4" s="2" t="s">
        <x:v>3915</x:v>
      </x:c>
      <x:c r="U4" s="2" t="s">
        <x:v>3224</x:v>
      </x:c>
      <x:c r="V4" s="2"/>
      <x:c r="W4" s="2" t="s">
        <x:v>69</x:v>
      </x:c>
      <x:c r="X4" s="2">
        <x:v>1</x:v>
      </x:c>
      <x:c r="Y4" s="2" t="s">
        <x:v>3</x:v>
      </x:c>
      <x:c r="Z4" s="2" t="s">
        <x:v>216</x:v>
      </x:c>
      <x:c r="AA4" s="2">
        <x:v>4</x:v>
      </x:c>
      <x:c r="AB4" s="2">
        <x:v>71000</x:v>
      </x:c>
      <x:c r="AC4" s="2">
        <x:v>0</x:v>
      </x:c>
      <x:c r="AD4" s="2">
        <x:v>4</x:v>
      </x:c>
      <x:c r="AE4" s="2">
        <x:v>71000</x:v>
      </x:c>
      <x:c r="AF4" s="2">
        <x:v>18312.88901795</x:v>
      </x:c>
      <x:c r="AG4" s="2">
        <x:v>18256.08901795</x:v>
      </x:c>
      <x:c r="AH4" s="2">
        <x:v>0</x:v>
      </x:c>
      <x:c r="AI4" s="2" t="s">
        <x:v>172</x:v>
      </x:c>
      <x:c r="AJ4" s="2">
        <x:v>2</x:v>
      </x:c>
      <x:c r="AK4" s="2" t="s">
        <x:v>3225</x:v>
      </x:c>
      <x:c r="AL4" s="2" t="s">
        <x:v>226</x:v>
      </x:c>
      <x:c r="AM4" s="2">
        <x:v>4</x:v>
      </x:c>
      <x:c r="AN4" s="2">
        <x:v>71538</x:v>
      </x:c>
      <x:c r="AO4" s="2">
        <x:v>4</x:v>
      </x:c>
      <x:c r="AP4" s="2">
        <x:v>8</x:v>
      </x:c>
      <x:c r="AQ4" s="2">
        <x:v>71269</x:v>
      </x:c>
      <x:c r="AR4" s="2">
        <x:v>18267.44901795</x:v>
      </x:c>
      <x:c r="AS4" s="2">
        <x:v>18210.21861795</x:v>
      </x:c>
      <x:c r="AT4" s="2">
        <x:v>0</x:v>
      </x:c>
      <x:c r="AU4" s="2" t="s">
        <x:v>172</x:v>
      </x:c>
      <x:c r="AV4" s="2" t="s">
        <x:v>3222</x:v>
      </x:c>
      <x:c r="AW4" s="2" t="s">
        <x:v>3222</x:v>
      </x:c>
      <x:c r="AX4" s="2" t="s">
        <x:v>3222</x:v>
      </x:c>
      <x:c r="AY4" s="2" t="s">
        <x:v>3222</x:v>
      </x:c>
      <x:c r="AZ4" s="2" t="s">
        <x:v>3222</x:v>
      </x:c>
      <x:c r="BA4" s="2" t="s">
        <x:v>3222</x:v>
      </x:c>
      <x:c r="BB4" s="2" t="s">
        <x:v>3222</x:v>
      </x:c>
      <x:c r="BC4" s="2" t="s">
        <x:v>3222</x:v>
      </x:c>
      <x:c r="BD4" s="2" t="s">
        <x:v>3222</x:v>
      </x:c>
      <x:c r="BE4" s="2" t="s">
        <x:v>3222</x:v>
      </x:c>
      <x:c r="BF4" s="2" t="s">
        <x:v>3222</x:v>
      </x:c>
      <x:c r="BG4" s="2" t="s">
        <x:v>3222</x:v>
      </x:c>
      <x:c r="BH4" s="2" t="s">
        <x:v>3222</x:v>
      </x:c>
      <x:c r="BI4" s="2" t="s">
        <x:v>3222</x:v>
      </x:c>
      <x:c r="BJ4" s="2" t="s">
        <x:v>3222</x:v>
      </x:c>
      <x:c r="BK4" s="2" t="s">
        <x:v>3222</x:v>
      </x:c>
      <x:c r="BL4" s="2" t="s">
        <x:v>3222</x:v>
      </x:c>
      <x:c r="BM4" s="2" t="s">
        <x:v>3222</x:v>
      </x:c>
      <x:c r="BN4" s="2" t="s">
        <x:v>3222</x:v>
      </x:c>
      <x:c r="BO4" s="2" t="s">
        <x:v>3222</x:v>
      </x:c>
      <x:c r="BP4" s="2" t="s">
        <x:v>3222</x:v>
      </x:c>
      <x:c r="BQ4" s="2" t="s">
        <x:v>3222</x:v>
      </x:c>
      <x:c r="BR4" s="2" t="s">
        <x:v>3222</x:v>
      </x:c>
      <x:c r="BS4" s="2" t="s">
        <x:v>3222</x:v>
      </x:c>
      <x:c r="BT4" s="2" t="s">
        <x:v>3222</x:v>
      </x:c>
      <x:c r="BU4" s="2" t="s">
        <x:v>3222</x:v>
      </x:c>
      <x:c r="BV4" s="2" t="s">
        <x:v>3222</x:v>
      </x:c>
      <x:c r="BW4" s="2" t="s">
        <x:v>3222</x:v>
      </x:c>
      <x:c r="BX4" s="2" t="s">
        <x:v>3222</x:v>
      </x:c>
      <x:c r="BY4" s="2" t="s">
        <x:v>3222</x:v>
      </x:c>
      <x:c r="BZ4" s="2" t="s">
        <x:v>3222</x:v>
      </x:c>
      <x:c r="CA4" s="2" t="s">
        <x:v>3222</x:v>
      </x:c>
      <x:c r="CB4" s="2" t="s">
        <x:v>3222</x:v>
      </x:c>
      <x:c r="CC4" s="2" t="s">
        <x:v>3222</x:v>
      </x:c>
      <x:c r="CD4" s="2" t="s">
        <x:v>3222</x:v>
      </x:c>
      <x:c r="CE4" s="2" t="s">
        <x:v>3222</x:v>
      </x:c>
      <x:c r="CF4" s="2" t="s">
        <x:v>3222</x:v>
      </x:c>
      <x:c r="CG4" s="2" t="s">
        <x:v>3222</x:v>
      </x:c>
      <x:c r="CH4" s="2" t="s">
        <x:v>3222</x:v>
      </x:c>
      <x:c r="CI4" s="2" t="s">
        <x:v>3222</x:v>
      </x:c>
      <x:c r="CJ4" s="2" t="s">
        <x:v>3222</x:v>
      </x:c>
      <x:c r="CK4" s="2" t="s">
        <x:v>3222</x:v>
      </x:c>
      <x:c r="CL4" s="2" t="s">
        <x:v>3222</x:v>
      </x:c>
      <x:c r="CM4" s="2" t="s">
        <x:v>3222</x:v>
      </x:c>
      <x:c r="CN4" s="2" t="s">
        <x:v>3222</x:v>
      </x:c>
      <x:c r="CO4" s="2" t="s">
        <x:v>3222</x:v>
      </x:c>
      <x:c r="CP4" s="2" t="s">
        <x:v>3222</x:v>
      </x:c>
      <x:c r="CQ4" s="2" t="s">
        <x:v>3222</x:v>
      </x:c>
      <x:c r="CR4" s="2" t="s">
        <x:v>3222</x:v>
      </x:c>
      <x:c r="CS4" s="2" t="s">
        <x:v>3222</x:v>
      </x:c>
      <x:c r="CT4" s="2" t="s">
        <x:v>3222</x:v>
      </x:c>
      <x:c r="CU4" s="2" t="s">
        <x:v>3222</x:v>
      </x:c>
      <x:c r="CV4" s="2" t="s">
        <x:v>3222</x:v>
      </x:c>
      <x:c r="CW4" s="2" t="s">
        <x:v>3222</x:v>
      </x:c>
      <x:c r="CX4" s="2" t="s">
        <x:v>3222</x:v>
      </x:c>
      <x:c r="CY4" s="2" t="s">
        <x:v>3222</x:v>
      </x:c>
      <x:c r="CZ4" s="2" t="s">
        <x:v>3222</x:v>
      </x:c>
      <x:c r="DA4" s="2" t="s">
        <x:v>3222</x:v>
      </x:c>
      <x:c r="DB4" s="2" t="s">
        <x:v>3222</x:v>
      </x:c>
      <x:c r="DC4" s="2" t="s">
        <x:v>3222</x:v>
      </x:c>
      <x:c r="DD4" s="2" t="s">
        <x:v>3222</x:v>
      </x:c>
      <x:c r="DE4" s="2" t="s">
        <x:v>3222</x:v>
      </x:c>
      <x:c r="DF4" s="2" t="s">
        <x:v>3222</x:v>
      </x:c>
      <x:c r="DG4" s="2" t="s">
        <x:v>3222</x:v>
      </x:c>
      <x:c r="DH4" s="2" t="s">
        <x:v>3222</x:v>
      </x:c>
      <x:c r="DI4" s="2" t="s">
        <x:v>3222</x:v>
      </x:c>
      <x:c r="DJ4" s="2" t="s">
        <x:v>3222</x:v>
      </x:c>
      <x:c r="DK4" s="2" t="s">
        <x:v>3222</x:v>
      </x:c>
      <x:c r="DL4" s="2" t="s">
        <x:v>3222</x:v>
      </x:c>
      <x:c r="DM4" s="2" t="s">
        <x:v>3222</x:v>
      </x:c>
      <x:c r="DN4" s="2" t="s">
        <x:v>3222</x:v>
      </x:c>
      <x:c r="DO4" s="2" t="s">
        <x:v>3222</x:v>
      </x:c>
      <x:c r="DP4" s="2" t="s">
        <x:v>3222</x:v>
      </x:c>
      <x:c r="DQ4" s="2" t="s">
        <x:v>3222</x:v>
      </x:c>
      <x:c r="DR4" s="2" t="s">
        <x:v>3222</x:v>
      </x:c>
      <x:c r="DS4" s="2" t="s">
        <x:v>3222</x:v>
      </x:c>
      <x:c r="DT4" s="2" t="s">
        <x:v>3222</x:v>
      </x:c>
      <x:c r="DU4" s="2" t="s">
        <x:v>3222</x:v>
      </x:c>
      <x:c r="DV4" s="2" t="s">
        <x:v>3222</x:v>
      </x:c>
      <x:c r="DW4" s="2" t="s">
        <x:v>3222</x:v>
      </x:c>
      <x:c r="DX4" s="2" t="s">
        <x:v>3222</x:v>
      </x:c>
      <x:c r="DY4" s="2" t="s">
        <x:v>3222</x:v>
      </x:c>
      <x:c r="DZ4" s="2" t="s">
        <x:v>3222</x:v>
      </x:c>
      <x:c r="EA4" s="2" t="s">
        <x:v>3222</x:v>
      </x:c>
      <x:c r="EB4" s="2" t="s">
        <x:v>3222</x:v>
      </x:c>
      <x:c r="EC4" s="2" t="s">
        <x:v>3222</x:v>
      </x:c>
      <x:c r="ED4" s="2" t="s">
        <x:v>3222</x:v>
      </x:c>
      <x:c r="EE4" s="2" t="s">
        <x:v>3222</x:v>
      </x:c>
      <x:c r="EF4" s="2" t="s">
        <x:v>3222</x:v>
      </x:c>
      <x:c r="EG4" s="2" t="s">
        <x:v>3222</x:v>
      </x:c>
      <x:c r="EH4" s="2" t="s">
        <x:v>3222</x:v>
      </x:c>
      <x:c r="EI4" s="2" t="s">
        <x:v>3222</x:v>
      </x:c>
      <x:c r="EJ4" s="2" t="s">
        <x:v>3222</x:v>
      </x:c>
      <x:c r="EK4" s="2" t="s">
        <x:v>3222</x:v>
      </x:c>
      <x:c r="EL4" s="2" t="s">
        <x:v>3222</x:v>
      </x:c>
      <x:c r="EM4" s="2" t="s">
        <x:v>3222</x:v>
      </x:c>
    </x:row>
    <x:row r="5" ht="84">
      <x:c r="A5" s="2" t="s">
        <x:v>69</x:v>
      </x:c>
      <x:c r="B5" s="2" t="s">
        <x:v>1353</x:v>
      </x:c>
      <x:c r="C5" s="2" t="s">
        <x:v>3225</x:v>
      </x:c>
      <x:c r="D5" s="2" t="s">
        <x:v>226</x:v>
      </x:c>
      <x:c r="E5" s="2" t="s">
        <x:v>1336</x:v>
      </x:c>
      <x:c r="F5" s="2" t="s">
        <x:v>1337</x:v>
      </x:c>
      <x:c r="G5" s="2" t="s">
        <x:v>218</x:v>
      </x:c>
      <x:c r="H5" s="2" t="s">
        <x:v>228</x:v>
      </x:c>
      <x:c r="I5" s="2" t="s">
        <x:v>218</x:v>
      </x:c>
      <x:c r="J5" s="2" t="s">
        <x:v>229</x:v>
      </x:c>
      <x:c r="K5" s="2" t="s">
        <x:v>1354</x:v>
      </x:c>
      <x:c r="L5" s="2" t="s">
        <x:v>3226</x:v>
      </x:c>
      <x:c r="M5" s="2" t="s">
        <x:v>1368</x:v>
      </x:c>
      <x:c r="N5" s="2" t="s">
        <x:v>169</x:v>
      </x:c>
      <x:c r="O5" s="2" t="s">
        <x:v>1845</x:v>
      </x:c>
      <x:c r="P5" s="2" t="s">
        <x:v>200</x:v>
      </x:c>
      <x:c r="Q5" s="2" t="s">
        <x:v>172</x:v>
      </x:c>
      <x:c r="R5" s="2" t="s">
        <x:v>1381</x:v>
      </x:c>
      <x:c r="S5" s="2" t="s">
        <x:v>3219</x:v>
      </x:c>
      <x:c r="T5" s="2" t="s">
        <x:v>3915</x:v>
      </x:c>
      <x:c r="U5" s="2" t="s">
        <x:v>3227</x:v>
      </x:c>
      <x:c r="V5" s="2"/>
      <x:c r="W5" s="2" t="s">
        <x:v>70</x:v>
      </x:c>
      <x:c r="X5" s="2">
        <x:v>1</x:v>
      </x:c>
      <x:c r="Y5" s="2" t="s">
        <x:v>3</x:v>
      </x:c>
      <x:c r="Z5" s="2" t="s">
        <x:v>238</x:v>
      </x:c>
      <x:c r="AA5" s="2">
        <x:v>8</x:v>
      </x:c>
      <x:c r="AB5" s="2">
        <x:v>71418.1</x:v>
      </x:c>
      <x:c r="AC5" s="2">
        <x:v>0</x:v>
      </x:c>
      <x:c r="AD5" s="2">
        <x:v>8</x:v>
      </x:c>
      <x:c r="AE5" s="2">
        <x:v>71418.1</x:v>
      </x:c>
      <x:c r="AF5" s="2">
        <x:v>16743.19229798</x:v>
      </x:c>
      <x:c r="AG5" s="2">
        <x:v>16457.51989801</x:v>
      </x:c>
      <x:c r="AH5" s="2">
        <x:v>0</x:v>
      </x:c>
      <x:c r="AI5" s="2" t="s">
        <x:v>172</x:v>
      </x:c>
      <x:c r="AJ5" s="2" t="s">
        <x:v>3222</x:v>
      </x:c>
      <x:c r="AK5" s="2" t="s">
        <x:v>3222</x:v>
      </x:c>
      <x:c r="AL5" s="2" t="s">
        <x:v>3222</x:v>
      </x:c>
      <x:c r="AM5" s="2" t="s">
        <x:v>3222</x:v>
      </x:c>
      <x:c r="AN5" s="2" t="s">
        <x:v>3222</x:v>
      </x:c>
      <x:c r="AO5" s="2" t="s">
        <x:v>3222</x:v>
      </x:c>
      <x:c r="AP5" s="2" t="s">
        <x:v>3222</x:v>
      </x:c>
      <x:c r="AQ5" s="2" t="s">
        <x:v>3222</x:v>
      </x:c>
      <x:c r="AR5" s="2" t="s">
        <x:v>3222</x:v>
      </x:c>
      <x:c r="AS5" s="2" t="s">
        <x:v>3222</x:v>
      </x:c>
      <x:c r="AT5" s="2" t="s">
        <x:v>3222</x:v>
      </x:c>
      <x:c r="AU5" s="2" t="s">
        <x:v>3222</x:v>
      </x:c>
      <x:c r="AV5" s="2" t="s">
        <x:v>3222</x:v>
      </x:c>
      <x:c r="AW5" s="2" t="s">
        <x:v>3222</x:v>
      </x:c>
      <x:c r="AX5" s="2" t="s">
        <x:v>3222</x:v>
      </x:c>
      <x:c r="AY5" s="2" t="s">
        <x:v>3222</x:v>
      </x:c>
      <x:c r="AZ5" s="2" t="s">
        <x:v>3222</x:v>
      </x:c>
      <x:c r="BA5" s="2" t="s">
        <x:v>3222</x:v>
      </x:c>
      <x:c r="BB5" s="2" t="s">
        <x:v>3222</x:v>
      </x:c>
      <x:c r="BC5" s="2" t="s">
        <x:v>3222</x:v>
      </x:c>
      <x:c r="BD5" s="2" t="s">
        <x:v>3222</x:v>
      </x:c>
      <x:c r="BE5" s="2" t="s">
        <x:v>3222</x:v>
      </x:c>
      <x:c r="BF5" s="2" t="s">
        <x:v>3222</x:v>
      </x:c>
      <x:c r="BG5" s="2" t="s">
        <x:v>3222</x:v>
      </x:c>
      <x:c r="BH5" s="2" t="s">
        <x:v>3222</x:v>
      </x:c>
      <x:c r="BI5" s="2" t="s">
        <x:v>3222</x:v>
      </x:c>
      <x:c r="BJ5" s="2" t="s">
        <x:v>3222</x:v>
      </x:c>
      <x:c r="BK5" s="2" t="s">
        <x:v>3222</x:v>
      </x:c>
      <x:c r="BL5" s="2" t="s">
        <x:v>3222</x:v>
      </x:c>
      <x:c r="BM5" s="2" t="s">
        <x:v>3222</x:v>
      </x:c>
      <x:c r="BN5" s="2" t="s">
        <x:v>3222</x:v>
      </x:c>
      <x:c r="BO5" s="2" t="s">
        <x:v>3222</x:v>
      </x:c>
      <x:c r="BP5" s="2" t="s">
        <x:v>3222</x:v>
      </x:c>
      <x:c r="BQ5" s="2" t="s">
        <x:v>3222</x:v>
      </x:c>
      <x:c r="BR5" s="2" t="s">
        <x:v>3222</x:v>
      </x:c>
      <x:c r="BS5" s="2" t="s">
        <x:v>3222</x:v>
      </x:c>
      <x:c r="BT5" s="2" t="s">
        <x:v>3222</x:v>
      </x:c>
      <x:c r="BU5" s="2" t="s">
        <x:v>3222</x:v>
      </x:c>
      <x:c r="BV5" s="2" t="s">
        <x:v>3222</x:v>
      </x:c>
      <x:c r="BW5" s="2" t="s">
        <x:v>3222</x:v>
      </x:c>
      <x:c r="BX5" s="2" t="s">
        <x:v>3222</x:v>
      </x:c>
      <x:c r="BY5" s="2" t="s">
        <x:v>3222</x:v>
      </x:c>
      <x:c r="BZ5" s="2" t="s">
        <x:v>3222</x:v>
      </x:c>
      <x:c r="CA5" s="2" t="s">
        <x:v>3222</x:v>
      </x:c>
      <x:c r="CB5" s="2" t="s">
        <x:v>3222</x:v>
      </x:c>
      <x:c r="CC5" s="2" t="s">
        <x:v>3222</x:v>
      </x:c>
      <x:c r="CD5" s="2" t="s">
        <x:v>3222</x:v>
      </x:c>
      <x:c r="CE5" s="2" t="s">
        <x:v>3222</x:v>
      </x:c>
      <x:c r="CF5" s="2" t="s">
        <x:v>3222</x:v>
      </x:c>
      <x:c r="CG5" s="2" t="s">
        <x:v>3222</x:v>
      </x:c>
      <x:c r="CH5" s="2" t="s">
        <x:v>3222</x:v>
      </x:c>
      <x:c r="CI5" s="2" t="s">
        <x:v>3222</x:v>
      </x:c>
      <x:c r="CJ5" s="2" t="s">
        <x:v>3222</x:v>
      </x:c>
      <x:c r="CK5" s="2" t="s">
        <x:v>3222</x:v>
      </x:c>
      <x:c r="CL5" s="2" t="s">
        <x:v>3222</x:v>
      </x:c>
      <x:c r="CM5" s="2" t="s">
        <x:v>3222</x:v>
      </x:c>
      <x:c r="CN5" s="2" t="s">
        <x:v>3222</x:v>
      </x:c>
      <x:c r="CO5" s="2" t="s">
        <x:v>3222</x:v>
      </x:c>
      <x:c r="CP5" s="2" t="s">
        <x:v>3222</x:v>
      </x:c>
      <x:c r="CQ5" s="2" t="s">
        <x:v>3222</x:v>
      </x:c>
      <x:c r="CR5" s="2" t="s">
        <x:v>3222</x:v>
      </x:c>
      <x:c r="CS5" s="2" t="s">
        <x:v>3222</x:v>
      </x:c>
      <x:c r="CT5" s="2" t="s">
        <x:v>3222</x:v>
      </x:c>
      <x:c r="CU5" s="2" t="s">
        <x:v>3222</x:v>
      </x:c>
      <x:c r="CV5" s="2" t="s">
        <x:v>3222</x:v>
      </x:c>
      <x:c r="CW5" s="2" t="s">
        <x:v>3222</x:v>
      </x:c>
      <x:c r="CX5" s="2" t="s">
        <x:v>3222</x:v>
      </x:c>
      <x:c r="CY5" s="2" t="s">
        <x:v>3222</x:v>
      </x:c>
      <x:c r="CZ5" s="2" t="s">
        <x:v>3222</x:v>
      </x:c>
      <x:c r="DA5" s="2" t="s">
        <x:v>3222</x:v>
      </x:c>
      <x:c r="DB5" s="2" t="s">
        <x:v>3222</x:v>
      </x:c>
      <x:c r="DC5" s="2" t="s">
        <x:v>3222</x:v>
      </x:c>
      <x:c r="DD5" s="2" t="s">
        <x:v>3222</x:v>
      </x:c>
      <x:c r="DE5" s="2" t="s">
        <x:v>3222</x:v>
      </x:c>
      <x:c r="DF5" s="2" t="s">
        <x:v>3222</x:v>
      </x:c>
      <x:c r="DG5" s="2" t="s">
        <x:v>3222</x:v>
      </x:c>
      <x:c r="DH5" s="2" t="s">
        <x:v>3222</x:v>
      </x:c>
      <x:c r="DI5" s="2" t="s">
        <x:v>3222</x:v>
      </x:c>
      <x:c r="DJ5" s="2" t="s">
        <x:v>3222</x:v>
      </x:c>
      <x:c r="DK5" s="2" t="s">
        <x:v>3222</x:v>
      </x:c>
      <x:c r="DL5" s="2" t="s">
        <x:v>3222</x:v>
      </x:c>
      <x:c r="DM5" s="2" t="s">
        <x:v>3222</x:v>
      </x:c>
      <x:c r="DN5" s="2" t="s">
        <x:v>3222</x:v>
      </x:c>
      <x:c r="DO5" s="2" t="s">
        <x:v>3222</x:v>
      </x:c>
      <x:c r="DP5" s="2" t="s">
        <x:v>3222</x:v>
      </x:c>
      <x:c r="DQ5" s="2" t="s">
        <x:v>3222</x:v>
      </x:c>
      <x:c r="DR5" s="2" t="s">
        <x:v>3222</x:v>
      </x:c>
      <x:c r="DS5" s="2" t="s">
        <x:v>3222</x:v>
      </x:c>
      <x:c r="DT5" s="2" t="s">
        <x:v>3222</x:v>
      </x:c>
      <x:c r="DU5" s="2" t="s">
        <x:v>3222</x:v>
      </x:c>
      <x:c r="DV5" s="2" t="s">
        <x:v>3222</x:v>
      </x:c>
      <x:c r="DW5" s="2" t="s">
        <x:v>3222</x:v>
      </x:c>
      <x:c r="DX5" s="2" t="s">
        <x:v>3222</x:v>
      </x:c>
      <x:c r="DY5" s="2" t="s">
        <x:v>3222</x:v>
      </x:c>
      <x:c r="DZ5" s="2" t="s">
        <x:v>3222</x:v>
      </x:c>
      <x:c r="EA5" s="2" t="s">
        <x:v>3222</x:v>
      </x:c>
      <x:c r="EB5" s="2" t="s">
        <x:v>3222</x:v>
      </x:c>
      <x:c r="EC5" s="2" t="s">
        <x:v>3222</x:v>
      </x:c>
      <x:c r="ED5" s="2" t="s">
        <x:v>3222</x:v>
      </x:c>
      <x:c r="EE5" s="2" t="s">
        <x:v>3222</x:v>
      </x:c>
      <x:c r="EF5" s="2" t="s">
        <x:v>3222</x:v>
      </x:c>
      <x:c r="EG5" s="2" t="s">
        <x:v>3222</x:v>
      </x:c>
      <x:c r="EH5" s="2" t="s">
        <x:v>3222</x:v>
      </x:c>
      <x:c r="EI5" s="2" t="s">
        <x:v>3222</x:v>
      </x:c>
      <x:c r="EJ5" s="2" t="s">
        <x:v>3222</x:v>
      </x:c>
      <x:c r="EK5" s="2" t="s">
        <x:v>3222</x:v>
      </x:c>
      <x:c r="EL5" s="2" t="s">
        <x:v>3222</x:v>
      </x:c>
      <x:c r="EM5" s="2" t="s">
        <x:v>3222</x:v>
      </x:c>
    </x:row>
    <x:row r="6" ht="84">
      <x:c r="A6" s="2" t="s">
        <x:v>70</x:v>
      </x:c>
      <x:c r="B6" s="2" t="s">
        <x:v>200</x:v>
      </x:c>
      <x:c r="C6" s="2" t="s">
        <x:v>3</x:v>
      </x:c>
      <x:c r="D6" s="2" t="s">
        <x:v>238</x:v>
      </x:c>
      <x:c r="E6" s="2" t="s">
        <x:v>1336</x:v>
      </x:c>
      <x:c r="F6" s="2" t="s">
        <x:v>1409</x:v>
      </x:c>
      <x:c r="G6" s="2" t="s">
        <x:v>229</x:v>
      </x:c>
      <x:c r="H6" s="2" t="s">
        <x:v>1418</x:v>
      </x:c>
      <x:c r="I6" s="2" t="s">
        <x:v>169</x:v>
      </x:c>
      <x:c r="J6" s="2" t="s">
        <x:v>229</x:v>
      </x:c>
      <x:c r="K6" s="2" t="s">
        <x:v>1418</x:v>
      </x:c>
      <x:c r="L6" s="2" t="s">
        <x:v>1372</x:v>
      </x:c>
      <x:c r="M6" s="2" t="s">
        <x:v>3228</x:v>
      </x:c>
      <x:c r="N6" s="2" t="s">
        <x:v>169</x:v>
      </x:c>
      <x:c r="O6" s="2" t="s">
        <x:v>1411</x:v>
      </x:c>
      <x:c r="P6" s="2" t="s">
        <x:v>1863</x:v>
      </x:c>
      <x:c r="Q6" s="2" t="s">
        <x:v>172</x:v>
      </x:c>
      <x:c r="R6" s="2" t="s">
        <x:v>1381</x:v>
      </x:c>
      <x:c r="S6" s="2" t="s">
        <x:v>3219</x:v>
      </x:c>
      <x:c r="T6" s="2" t="s">
        <x:v>3915</x:v>
      </x:c>
      <x:c r="U6" s="2" t="s">
        <x:v>3229</x:v>
      </x:c>
      <x:c r="V6" s="2"/>
      <x:c r="W6" s="2" t="s">
        <x:v>71</x:v>
      </x:c>
      <x:c r="X6" s="2">
        <x:v>1</x:v>
      </x:c>
      <x:c r="Y6" s="2" t="s">
        <x:v>3</x:v>
      </x:c>
      <x:c r="Z6" s="2" t="s">
        <x:v>258</x:v>
      </x:c>
      <x:c r="AA6" s="2">
        <x:v>4</x:v>
      </x:c>
      <x:c r="AB6" s="2">
        <x:v>69540</x:v>
      </x:c>
      <x:c r="AC6" s="2">
        <x:v>0</x:v>
      </x:c>
      <x:c r="AD6" s="2">
        <x:v>4</x:v>
      </x:c>
      <x:c r="AE6" s="2">
        <x:v>69540</x:v>
      </x:c>
      <x:c r="AF6" s="2">
        <x:v>3315.43985308</x:v>
      </x:c>
      <x:c r="AG6" s="2">
        <x:v>3259.80785308</x:v>
      </x:c>
      <x:c r="AH6" s="2">
        <x:v>0</x:v>
      </x:c>
      <x:c r="AI6" s="2" t="s">
        <x:v>172</x:v>
      </x:c>
      <x:c r="AJ6" s="2">
        <x:v>2</x:v>
      </x:c>
      <x:c r="AK6" s="2" t="s">
        <x:v>3225</x:v>
      </x:c>
      <x:c r="AL6" s="2" t="s">
        <x:v>295</x:v>
      </x:c>
      <x:c r="AM6" s="2">
        <x:v>5</x:v>
      </x:c>
      <x:c r="AN6" s="2">
        <x:v>68568</x:v>
      </x:c>
      <x:c r="AO6" s="2">
        <x:v>4</x:v>
      </x:c>
      <x:c r="AP6" s="2">
        <x:v>9</x:v>
      </x:c>
      <x:c r="AQ6" s="2">
        <x:v>69000</x:v>
      </x:c>
      <x:c r="AR6" s="2">
        <x:v>3270.93425308</x:v>
      </x:c>
      <x:c r="AS6" s="2">
        <x:v>3202.36625308</x:v>
      </x:c>
      <x:c r="AT6" s="2">
        <x:v>0</x:v>
      </x:c>
      <x:c r="AU6" s="2" t="s">
        <x:v>172</x:v>
      </x:c>
      <x:c r="AV6" s="2">
        <x:v>3</x:v>
      </x:c>
      <x:c r="AW6" s="2" t="s">
        <x:v>3916</x:v>
      </x:c>
      <x:c r="AX6" s="2" t="s">
        <x:v>311</x:v>
      </x:c>
      <x:c r="AY6" s="2">
        <x:v>4</x:v>
      </x:c>
      <x:c r="AZ6" s="2">
        <x:v>68000</x:v>
      </x:c>
      <x:c r="BA6" s="2">
        <x:v>9</x:v>
      </x:c>
      <x:c r="BB6" s="2">
        <x:v>5</x:v>
      </x:c>
      <x:c r="BC6" s="2">
        <x:v>69000</x:v>
      </x:c>
      <x:c r="BD6" s="2">
        <x:v>3216.07985308</x:v>
      </x:c>
      <x:c r="BE6" s="2">
        <x:v>-838.32014692</x:v>
      </x:c>
      <x:c r="BF6" s="2">
        <x:v>0</x:v>
      </x:c>
      <x:c r="BG6" s="2" t="s">
        <x:v>172</x:v>
      </x:c>
      <x:c r="BH6" s="2">
        <x:v>4</x:v>
      </x:c>
      <x:c r="BI6" s="2" t="s">
        <x:v>3230</x:v>
      </x:c>
      <x:c r="BJ6" s="2" t="s">
        <x:v>328</x:v>
      </x:c>
      <x:c r="BK6" s="2">
        <x:v>2</x:v>
      </x:c>
      <x:c r="BL6" s="2">
        <x:v>67333</x:v>
      </x:c>
      <x:c r="BM6" s="2">
        <x:v>5</x:v>
      </x:c>
      <x:c r="BN6" s="2">
        <x:v>7</x:v>
      </x:c>
      <x:c r="BO6" s="2">
        <x:v>68523.7142857143</x:v>
      </x:c>
      <x:c r="BP6" s="2">
        <x:v>28172.55985308</x:v>
      </x:c>
      <x:c r="BQ6" s="2">
        <x:v>28145.62665308</x:v>
      </x:c>
      <x:c r="BR6" s="2">
        <x:v>29000</x:v>
      </x:c>
      <x:c r="BS6" s="2" t="s">
        <x:v>172</x:v>
      </x:c>
      <x:c r="BT6" s="2">
        <x:v>5</x:v>
      </x:c>
      <x:c r="BU6" s="2" t="s">
        <x:v>3231</x:v>
      </x:c>
      <x:c r="BV6" s="2" t="s">
        <x:v>356</x:v>
      </x:c>
      <x:c r="BW6" s="2">
        <x:v>5</x:v>
      </x:c>
      <x:c r="BX6" s="2">
        <x:v>67481</x:v>
      </x:c>
      <x:c r="BY6" s="2">
        <x:v>7</x:v>
      </x:c>
      <x:c r="BZ6" s="2">
        <x:v>12</x:v>
      </x:c>
      <x:c r="CA6" s="2">
        <x:v>68089.25</x:v>
      </x:c>
      <x:c r="CB6" s="2">
        <x:v>28111.71398977</x:v>
      </x:c>
      <x:c r="CC6" s="2">
        <x:v>28044.23298977</x:v>
      </x:c>
      <x:c r="CD6" s="2">
        <x:v>0</x:v>
      </x:c>
      <x:c r="CE6" s="2" t="s">
        <x:v>172</x:v>
      </x:c>
      <x:c r="CF6" s="2">
        <x:v>6</x:v>
      </x:c>
      <x:c r="CG6" s="2" t="s">
        <x:v>3232</x:v>
      </x:c>
      <x:c r="CH6" s="2" t="s">
        <x:v>371</x:v>
      </x:c>
      <x:c r="CI6" s="2">
        <x:v>5</x:v>
      </x:c>
      <x:c r="CJ6" s="2">
        <x:v>67391</x:v>
      </x:c>
      <x:c r="CK6" s="2">
        <x:v>12</x:v>
      </x:c>
      <x:c r="CL6" s="2">
        <x:v>17</x:v>
      </x:c>
      <x:c r="CM6" s="2">
        <x:v>67883.8823529412</x:v>
      </x:c>
      <x:c r="CN6" s="2">
        <x:v>28057.72918977</x:v>
      </x:c>
      <x:c r="CO6" s="2">
        <x:v>27990.33818977</x:v>
      </x:c>
      <x:c r="CP6" s="2">
        <x:v>0</x:v>
      </x:c>
      <x:c r="CQ6" s="2" t="s">
        <x:v>172</x:v>
      </x:c>
      <x:c r="CR6" s="2">
        <x:v>7</x:v>
      </x:c>
      <x:c r="CS6" s="2" t="s">
        <x:v>3233</x:v>
      </x:c>
      <x:c r="CT6" s="2" t="s">
        <x:v>381</x:v>
      </x:c>
      <x:c r="CU6" s="2">
        <x:v>10.852</x:v>
      </x:c>
      <x:c r="CV6" s="2">
        <x:v>67236</x:v>
      </x:c>
      <x:c r="CW6" s="2">
        <x:v>17</x:v>
      </x:c>
      <x:c r="CX6" s="2">
        <x:v>27.852</x:v>
      </x:c>
      <x:c r="CY6" s="2">
        <x:v>67631.4473646417</x:v>
      </x:c>
      <x:c r="CZ6" s="2">
        <x:v>28003.81638977</x:v>
      </x:c>
      <x:c r="DA6" s="2">
        <x:v>27857.88737538</x:v>
      </x:c>
      <x:c r="DB6" s="2">
        <x:v>0</x:v>
      </x:c>
      <x:c r="DC6" s="2" t="s">
        <x:v>172</x:v>
      </x:c>
      <x:c r="DD6" s="2" t="s">
        <x:v>3222</x:v>
      </x:c>
      <x:c r="DE6" s="2" t="s">
        <x:v>3222</x:v>
      </x:c>
      <x:c r="DF6" s="2" t="s">
        <x:v>3222</x:v>
      </x:c>
      <x:c r="DG6" s="2" t="s">
        <x:v>3222</x:v>
      </x:c>
      <x:c r="DH6" s="2" t="s">
        <x:v>3222</x:v>
      </x:c>
      <x:c r="DI6" s="2" t="s">
        <x:v>3222</x:v>
      </x:c>
      <x:c r="DJ6" s="2" t="s">
        <x:v>3222</x:v>
      </x:c>
      <x:c r="DK6" s="2" t="s">
        <x:v>3222</x:v>
      </x:c>
      <x:c r="DL6" s="2" t="s">
        <x:v>3222</x:v>
      </x:c>
      <x:c r="DM6" s="2" t="s">
        <x:v>3222</x:v>
      </x:c>
      <x:c r="DN6" s="2" t="s">
        <x:v>3222</x:v>
      </x:c>
      <x:c r="DO6" s="2" t="s">
        <x:v>3222</x:v>
      </x:c>
      <x:c r="DP6" s="2" t="s">
        <x:v>3222</x:v>
      </x:c>
      <x:c r="DQ6" s="2" t="s">
        <x:v>3222</x:v>
      </x:c>
      <x:c r="DR6" s="2" t="s">
        <x:v>3222</x:v>
      </x:c>
      <x:c r="DS6" s="2" t="s">
        <x:v>3222</x:v>
      </x:c>
      <x:c r="DT6" s="2" t="s">
        <x:v>3222</x:v>
      </x:c>
      <x:c r="DU6" s="2" t="s">
        <x:v>3222</x:v>
      </x:c>
      <x:c r="DV6" s="2" t="s">
        <x:v>3222</x:v>
      </x:c>
      <x:c r="DW6" s="2" t="s">
        <x:v>3222</x:v>
      </x:c>
      <x:c r="DX6" s="2" t="s">
        <x:v>3222</x:v>
      </x:c>
      <x:c r="DY6" s="2" t="s">
        <x:v>3222</x:v>
      </x:c>
      <x:c r="DZ6" s="2" t="s">
        <x:v>3222</x:v>
      </x:c>
      <x:c r="EA6" s="2" t="s">
        <x:v>3222</x:v>
      </x:c>
      <x:c r="EB6" s="2" t="s">
        <x:v>3222</x:v>
      </x:c>
      <x:c r="EC6" s="2" t="s">
        <x:v>3222</x:v>
      </x:c>
      <x:c r="ED6" s="2" t="s">
        <x:v>3222</x:v>
      </x:c>
      <x:c r="EE6" s="2" t="s">
        <x:v>3222</x:v>
      </x:c>
      <x:c r="EF6" s="2" t="s">
        <x:v>3222</x:v>
      </x:c>
      <x:c r="EG6" s="2" t="s">
        <x:v>3222</x:v>
      </x:c>
      <x:c r="EH6" s="2" t="s">
        <x:v>3222</x:v>
      </x:c>
      <x:c r="EI6" s="2" t="s">
        <x:v>3222</x:v>
      </x:c>
      <x:c r="EJ6" s="2" t="s">
        <x:v>3222</x:v>
      </x:c>
      <x:c r="EK6" s="2" t="s">
        <x:v>3222</x:v>
      </x:c>
      <x:c r="EL6" s="2" t="s">
        <x:v>3222</x:v>
      </x:c>
      <x:c r="EM6" s="2" t="s">
        <x:v>3222</x:v>
      </x:c>
    </x:row>
    <x:row r="7" ht="84">
      <x:c r="A7" s="2" t="s">
        <x:v>71</x:v>
      </x:c>
      <x:c r="B7" s="2" t="s">
        <x:v>200</x:v>
      </x:c>
      <x:c r="C7" s="2" t="s">
        <x:v>3</x:v>
      </x:c>
      <x:c r="D7" s="2" t="s">
        <x:v>258</x:v>
      </x:c>
      <x:c r="E7" s="2" t="s">
        <x:v>1336</x:v>
      </x:c>
      <x:c r="F7" s="2" t="s">
        <x:v>1409</x:v>
      </x:c>
      <x:c r="G7" s="2" t="s">
        <x:v>218</x:v>
      </x:c>
      <x:c r="H7" s="2" t="s">
        <x:v>260</x:v>
      </x:c>
      <x:c r="I7" s="2" t="s">
        <x:v>169</x:v>
      </x:c>
      <x:c r="J7" s="2" t="s">
        <x:v>218</x:v>
      </x:c>
      <x:c r="K7" s="2" t="s">
        <x:v>260</x:v>
      </x:c>
      <x:c r="L7" s="2" t="s">
        <x:v>1469</x:v>
      </x:c>
      <x:c r="M7" s="2" t="s">
        <x:v>1471</x:v>
      </x:c>
      <x:c r="N7" s="2" t="s">
        <x:v>169</x:v>
      </x:c>
      <x:c r="O7" s="2" t="s">
        <x:v>1450</x:v>
      </x:c>
      <x:c r="P7" s="2" t="s">
        <x:v>200</x:v>
      </x:c>
      <x:c r="Q7" s="2" t="s">
        <x:v>172</x:v>
      </x:c>
      <x:c r="R7" s="2" t="s">
        <x:v>1381</x:v>
      </x:c>
      <x:c r="S7" s="2" t="s">
        <x:v>3219</x:v>
      </x:c>
      <x:c r="T7" s="2" t="s">
        <x:v>3915</x:v>
      </x:c>
      <x:c r="U7" s="2" t="s">
        <x:v>3234</x:v>
      </x:c>
      <x:c r="V7" s="2"/>
      <x:c r="W7" s="2" t="s">
        <x:v>72</x:v>
      </x:c>
      <x:c r="X7" s="2">
        <x:v>1</x:v>
      </x:c>
      <x:c r="Y7" s="2" t="s">
        <x:v>3</x:v>
      </x:c>
      <x:c r="Z7" s="2" t="s">
        <x:v>2347</x:v>
      </x:c>
      <x:c r="AA7" s="2">
        <x:v>5</x:v>
      </x:c>
      <x:c r="AB7" s="2">
        <x:v>65971</x:v>
      </x:c>
      <x:c r="AC7" s="2">
        <x:v>0</x:v>
      </x:c>
      <x:c r="AD7" s="2">
        <x:v>5</x:v>
      </x:c>
      <x:c r="AE7" s="2">
        <x:v>65971</x:v>
      </x:c>
      <x:c r="AF7" s="2">
        <x:v>64188.96496741</x:v>
      </x:c>
      <x:c r="AG7" s="2">
        <x:v>64144.42134821</x:v>
      </x:c>
      <x:c r="AH7" s="2">
        <x:v>0</x:v>
      </x:c>
      <x:c r="AI7" s="2" t="s">
        <x:v>172</x:v>
      </x:c>
      <x:c r="AJ7" s="2">
        <x:v>2</x:v>
      </x:c>
      <x:c r="AK7" s="2" t="s">
        <x:v>3225</x:v>
      </x:c>
      <x:c r="AL7" s="2" t="s">
        <x:v>410</x:v>
      </x:c>
      <x:c r="AM7" s="2">
        <x:v>3</x:v>
      </x:c>
      <x:c r="AN7" s="2">
        <x:v>65704</x:v>
      </x:c>
      <x:c r="AO7" s="2">
        <x:v>5</x:v>
      </x:c>
      <x:c r="AP7" s="2">
        <x:v>8</x:v>
      </x:c>
      <x:c r="AQ7" s="2">
        <x:v>65870.875</x:v>
      </x:c>
      <x:c r="AR7" s="2">
        <x:v>64157.61554821</x:v>
      </x:c>
      <x:c r="AS7" s="2">
        <x:v>64118.19314822</x:v>
      </x:c>
      <x:c r="AT7" s="2">
        <x:v>0</x:v>
      </x:c>
      <x:c r="AU7" s="2" t="s">
        <x:v>172</x:v>
      </x:c>
      <x:c r="AV7" s="2" t="s">
        <x:v>3222</x:v>
      </x:c>
      <x:c r="AW7" s="2" t="s">
        <x:v>3222</x:v>
      </x:c>
      <x:c r="AX7" s="2" t="s">
        <x:v>3222</x:v>
      </x:c>
      <x:c r="AY7" s="2" t="s">
        <x:v>3222</x:v>
      </x:c>
      <x:c r="AZ7" s="2" t="s">
        <x:v>3222</x:v>
      </x:c>
      <x:c r="BA7" s="2" t="s">
        <x:v>3222</x:v>
      </x:c>
      <x:c r="BB7" s="2" t="s">
        <x:v>3222</x:v>
      </x:c>
      <x:c r="BC7" s="2" t="s">
        <x:v>3222</x:v>
      </x:c>
      <x:c r="BD7" s="2" t="s">
        <x:v>3222</x:v>
      </x:c>
      <x:c r="BE7" s="2" t="s">
        <x:v>3222</x:v>
      </x:c>
      <x:c r="BF7" s="2" t="s">
        <x:v>3222</x:v>
      </x:c>
      <x:c r="BG7" s="2" t="s">
        <x:v>3222</x:v>
      </x:c>
      <x:c r="BH7" s="2" t="s">
        <x:v>3222</x:v>
      </x:c>
      <x:c r="BI7" s="2" t="s">
        <x:v>3222</x:v>
      </x:c>
      <x:c r="BJ7" s="2" t="s">
        <x:v>3222</x:v>
      </x:c>
      <x:c r="BK7" s="2" t="s">
        <x:v>3222</x:v>
      </x:c>
      <x:c r="BL7" s="2" t="s">
        <x:v>3222</x:v>
      </x:c>
      <x:c r="BM7" s="2" t="s">
        <x:v>3222</x:v>
      </x:c>
      <x:c r="BN7" s="2" t="s">
        <x:v>3222</x:v>
      </x:c>
      <x:c r="BO7" s="2" t="s">
        <x:v>3222</x:v>
      </x:c>
      <x:c r="BP7" s="2" t="s">
        <x:v>3222</x:v>
      </x:c>
      <x:c r="BQ7" s="2" t="s">
        <x:v>3222</x:v>
      </x:c>
      <x:c r="BR7" s="2" t="s">
        <x:v>3222</x:v>
      </x:c>
      <x:c r="BS7" s="2" t="s">
        <x:v>3222</x:v>
      </x:c>
      <x:c r="BT7" s="2" t="s">
        <x:v>3222</x:v>
      </x:c>
      <x:c r="BU7" s="2" t="s">
        <x:v>3222</x:v>
      </x:c>
      <x:c r="BV7" s="2" t="s">
        <x:v>3222</x:v>
      </x:c>
      <x:c r="BW7" s="2" t="s">
        <x:v>3222</x:v>
      </x:c>
      <x:c r="BX7" s="2" t="s">
        <x:v>3222</x:v>
      </x:c>
      <x:c r="BY7" s="2" t="s">
        <x:v>3222</x:v>
      </x:c>
      <x:c r="BZ7" s="2" t="s">
        <x:v>3222</x:v>
      </x:c>
      <x:c r="CA7" s="2" t="s">
        <x:v>3222</x:v>
      </x:c>
      <x:c r="CB7" s="2" t="s">
        <x:v>3222</x:v>
      </x:c>
      <x:c r="CC7" s="2" t="s">
        <x:v>3222</x:v>
      </x:c>
      <x:c r="CD7" s="2" t="s">
        <x:v>3222</x:v>
      </x:c>
      <x:c r="CE7" s="2" t="s">
        <x:v>3222</x:v>
      </x:c>
      <x:c r="CF7" s="2" t="s">
        <x:v>3222</x:v>
      </x:c>
      <x:c r="CG7" s="2" t="s">
        <x:v>3222</x:v>
      </x:c>
      <x:c r="CH7" s="2" t="s">
        <x:v>3222</x:v>
      </x:c>
      <x:c r="CI7" s="2" t="s">
        <x:v>3222</x:v>
      </x:c>
      <x:c r="CJ7" s="2" t="s">
        <x:v>3222</x:v>
      </x:c>
      <x:c r="CK7" s="2" t="s">
        <x:v>3222</x:v>
      </x:c>
      <x:c r="CL7" s="2" t="s">
        <x:v>3222</x:v>
      </x:c>
      <x:c r="CM7" s="2" t="s">
        <x:v>3222</x:v>
      </x:c>
      <x:c r="CN7" s="2" t="s">
        <x:v>3222</x:v>
      </x:c>
      <x:c r="CO7" s="2" t="s">
        <x:v>3222</x:v>
      </x:c>
      <x:c r="CP7" s="2" t="s">
        <x:v>3222</x:v>
      </x:c>
      <x:c r="CQ7" s="2" t="s">
        <x:v>3222</x:v>
      </x:c>
      <x:c r="CR7" s="2" t="s">
        <x:v>3222</x:v>
      </x:c>
      <x:c r="CS7" s="2" t="s">
        <x:v>3222</x:v>
      </x:c>
      <x:c r="CT7" s="2" t="s">
        <x:v>3222</x:v>
      </x:c>
      <x:c r="CU7" s="2" t="s">
        <x:v>3222</x:v>
      </x:c>
      <x:c r="CV7" s="2" t="s">
        <x:v>3222</x:v>
      </x:c>
      <x:c r="CW7" s="2" t="s">
        <x:v>3222</x:v>
      </x:c>
      <x:c r="CX7" s="2" t="s">
        <x:v>3222</x:v>
      </x:c>
      <x:c r="CY7" s="2" t="s">
        <x:v>3222</x:v>
      </x:c>
      <x:c r="CZ7" s="2" t="s">
        <x:v>3222</x:v>
      </x:c>
      <x:c r="DA7" s="2" t="s">
        <x:v>3222</x:v>
      </x:c>
      <x:c r="DB7" s="2" t="s">
        <x:v>3222</x:v>
      </x:c>
      <x:c r="DC7" s="2" t="s">
        <x:v>3222</x:v>
      </x:c>
      <x:c r="DD7" s="2" t="s">
        <x:v>3222</x:v>
      </x:c>
      <x:c r="DE7" s="2" t="s">
        <x:v>3222</x:v>
      </x:c>
      <x:c r="DF7" s="2" t="s">
        <x:v>3222</x:v>
      </x:c>
      <x:c r="DG7" s="2" t="s">
        <x:v>3222</x:v>
      </x:c>
      <x:c r="DH7" s="2" t="s">
        <x:v>3222</x:v>
      </x:c>
      <x:c r="DI7" s="2" t="s">
        <x:v>3222</x:v>
      </x:c>
      <x:c r="DJ7" s="2" t="s">
        <x:v>3222</x:v>
      </x:c>
      <x:c r="DK7" s="2" t="s">
        <x:v>3222</x:v>
      </x:c>
      <x:c r="DL7" s="2" t="s">
        <x:v>3222</x:v>
      </x:c>
      <x:c r="DM7" s="2" t="s">
        <x:v>3222</x:v>
      </x:c>
      <x:c r="DN7" s="2" t="s">
        <x:v>3222</x:v>
      </x:c>
      <x:c r="DO7" s="2" t="s">
        <x:v>3222</x:v>
      </x:c>
      <x:c r="DP7" s="2" t="s">
        <x:v>3222</x:v>
      </x:c>
      <x:c r="DQ7" s="2" t="s">
        <x:v>3222</x:v>
      </x:c>
      <x:c r="DR7" s="2" t="s">
        <x:v>3222</x:v>
      </x:c>
      <x:c r="DS7" s="2" t="s">
        <x:v>3222</x:v>
      </x:c>
      <x:c r="DT7" s="2" t="s">
        <x:v>3222</x:v>
      </x:c>
      <x:c r="DU7" s="2" t="s">
        <x:v>3222</x:v>
      </x:c>
      <x:c r="DV7" s="2" t="s">
        <x:v>3222</x:v>
      </x:c>
      <x:c r="DW7" s="2" t="s">
        <x:v>3222</x:v>
      </x:c>
      <x:c r="DX7" s="2" t="s">
        <x:v>3222</x:v>
      </x:c>
      <x:c r="DY7" s="2" t="s">
        <x:v>3222</x:v>
      </x:c>
      <x:c r="DZ7" s="2" t="s">
        <x:v>3222</x:v>
      </x:c>
      <x:c r="EA7" s="2" t="s">
        <x:v>3222</x:v>
      </x:c>
      <x:c r="EB7" s="2" t="s">
        <x:v>3222</x:v>
      </x:c>
      <x:c r="EC7" s="2" t="s">
        <x:v>3222</x:v>
      </x:c>
      <x:c r="ED7" s="2" t="s">
        <x:v>3222</x:v>
      </x:c>
      <x:c r="EE7" s="2" t="s">
        <x:v>3222</x:v>
      </x:c>
      <x:c r="EF7" s="2" t="s">
        <x:v>3222</x:v>
      </x:c>
      <x:c r="EG7" s="2" t="s">
        <x:v>3222</x:v>
      </x:c>
      <x:c r="EH7" s="2" t="s">
        <x:v>3222</x:v>
      </x:c>
      <x:c r="EI7" s="2" t="s">
        <x:v>3222</x:v>
      </x:c>
      <x:c r="EJ7" s="2" t="s">
        <x:v>3222</x:v>
      </x:c>
      <x:c r="EK7" s="2" t="s">
        <x:v>3222</x:v>
      </x:c>
      <x:c r="EL7" s="2" t="s">
        <x:v>3222</x:v>
      </x:c>
      <x:c r="EM7" s="2" t="s">
        <x:v>3222</x:v>
      </x:c>
    </x:row>
    <x:row r="8" ht="84">
      <x:c r="A8" s="2" t="s">
        <x:v>71</x:v>
      </x:c>
      <x:c r="B8" s="2" t="s">
        <x:v>1353</x:v>
      </x:c>
      <x:c r="C8" s="2" t="s">
        <x:v>3225</x:v>
      </x:c>
      <x:c r="D8" s="2" t="s">
        <x:v>295</x:v>
      </x:c>
      <x:c r="E8" s="2" t="s">
        <x:v>1336</x:v>
      </x:c>
      <x:c r="F8" s="2" t="s">
        <x:v>1409</x:v>
      </x:c>
      <x:c r="G8" s="2" t="s">
        <x:v>314</x:v>
      </x:c>
      <x:c r="H8" s="2" t="s">
        <x:v>297</x:v>
      </x:c>
      <x:c r="I8" s="2" t="s">
        <x:v>218</x:v>
      </x:c>
      <x:c r="J8" s="2" t="s">
        <x:v>298</x:v>
      </x:c>
      <x:c r="K8" s="2" t="s">
        <x:v>527</x:v>
      </x:c>
      <x:c r="L8" s="2" t="s">
        <x:v>3235</x:v>
      </x:c>
      <x:c r="M8" s="2" t="s">
        <x:v>3236</x:v>
      </x:c>
      <x:c r="N8" s="2" t="s">
        <x:v>169</x:v>
      </x:c>
      <x:c r="O8" s="2" t="s">
        <x:v>1934</x:v>
      </x:c>
      <x:c r="P8" s="2" t="s">
        <x:v>632</x:v>
      </x:c>
      <x:c r="Q8" s="2" t="s">
        <x:v>172</x:v>
      </x:c>
      <x:c r="R8" s="2" t="s">
        <x:v>1381</x:v>
      </x:c>
      <x:c r="S8" s="2" t="s">
        <x:v>3219</x:v>
      </x:c>
      <x:c r="T8" s="2" t="s">
        <x:v>3915</x:v>
      </x:c>
      <x:c r="U8" s="2" t="s">
        <x:v>3237</x:v>
      </x:c>
      <x:c r="V8" s="2"/>
      <x:c r="W8" s="2" t="s">
        <x:v>73</x:v>
      </x:c>
      <x:c r="X8" s="2">
        <x:v>1</x:v>
      </x:c>
      <x:c r="Y8" s="2" t="s">
        <x:v>3</x:v>
      </x:c>
      <x:c r="Z8" s="2" t="s">
        <x:v>457</x:v>
      </x:c>
      <x:c r="AA8" s="2">
        <x:v>0.2</x:v>
      </x:c>
      <x:c r="AB8" s="2">
        <x:v>61053</x:v>
      </x:c>
      <x:c r="AC8" s="2">
        <x:v>0</x:v>
      </x:c>
      <x:c r="AD8" s="2">
        <x:v>0.2</x:v>
      </x:c>
      <x:c r="AE8" s="2">
        <x:v>61053</x:v>
      </x:c>
      <x:c r="AF8" s="2">
        <x:v>30572.59864316</x:v>
      </x:c>
      <x:c r="AG8" s="2">
        <x:v>30570.15652316</x:v>
      </x:c>
      <x:c r="AH8" s="2">
        <x:v>0</x:v>
      </x:c>
      <x:c r="AI8" s="2" t="s">
        <x:v>172</x:v>
      </x:c>
      <x:c r="AJ8" s="2">
        <x:v>2</x:v>
      </x:c>
      <x:c r="AK8" s="2" t="s">
        <x:v>3225</x:v>
      </x:c>
      <x:c r="AL8" s="2" t="s">
        <x:v>461</x:v>
      </x:c>
      <x:c r="AM8" s="2">
        <x:v>0.1</x:v>
      </x:c>
      <x:c r="AN8" s="2">
        <x:v>60556</x:v>
      </x:c>
      <x:c r="AO8" s="2">
        <x:v>0.2</x:v>
      </x:c>
      <x:c r="AP8" s="2">
        <x:v>0.3</x:v>
      </x:c>
      <x:c r="AQ8" s="2">
        <x:v>60887.3333333333</x:v>
      </x:c>
      <x:c r="AR8" s="2">
        <x:v>30570.15652316</x:v>
      </x:c>
      <x:c r="AS8" s="2">
        <x:v>30568.94540316</x:v>
      </x:c>
      <x:c r="AT8" s="2">
        <x:v>0</x:v>
      </x:c>
      <x:c r="AU8" s="2" t="s">
        <x:v>172</x:v>
      </x:c>
      <x:c r="AV8" s="2">
        <x:v>3</x:v>
      </x:c>
      <x:c r="AW8" s="2" t="s">
        <x:v>3916</x:v>
      </x:c>
      <x:c r="AX8" s="2" t="s">
        <x:v>465</x:v>
      </x:c>
      <x:c r="AY8" s="2">
        <x:v>0.2</x:v>
      </x:c>
      <x:c r="AZ8" s="2">
        <x:v>61200</x:v>
      </x:c>
      <x:c r="BA8" s="2">
        <x:v>0.3</x:v>
      </x:c>
      <x:c r="BB8" s="2">
        <x:v>0.1</x:v>
      </x:c>
      <x:c r="BC8" s="2">
        <x:v>60887.3333333333</x:v>
      </x:c>
      <x:c r="BD8" s="2">
        <x:v>30571.47371501</x:v>
      </x:c>
      <x:c r="BE8" s="2">
        <x:v>30631.55904834</x:v>
      </x:c>
      <x:c r="BF8" s="2">
        <x:v>0</x:v>
      </x:c>
      <x:c r="BG8" s="2" t="s">
        <x:v>172</x:v>
      </x:c>
      <x:c r="BH8" s="2">
        <x:v>4</x:v>
      </x:c>
      <x:c r="BI8" s="2" t="s">
        <x:v>3230</x:v>
      </x:c>
      <x:c r="BJ8" s="2" t="s">
        <x:v>469</x:v>
      </x:c>
      <x:c r="BK8" s="2">
        <x:v>0.1</x:v>
      </x:c>
      <x:c r="BL8" s="2">
        <x:v>60511</x:v>
      </x:c>
      <x:c r="BM8" s="2">
        <x:v>0.1</x:v>
      </x:c>
      <x:c r="BN8" s="2">
        <x:v>0.2</x:v>
      </x:c>
      <x:c r="BO8" s="2">
        <x:v>60699.1666666667</x:v>
      </x:c>
      <x:c r="BP8" s="2">
        <x:v>30631.55904834</x:v>
      </x:c>
      <x:c r="BQ8" s="2">
        <x:v>30630.34882834</x:v>
      </x:c>
      <x:c r="BR8" s="2">
        <x:v>0</x:v>
      </x:c>
      <x:c r="BS8" s="2" t="s">
        <x:v>172</x:v>
      </x:c>
      <x:c r="BT8" s="2">
        <x:v>5</x:v>
      </x:c>
      <x:c r="BU8" s="2" t="s">
        <x:v>3231</x:v>
      </x:c>
      <x:c r="BV8" s="2" t="s">
        <x:v>472</x:v>
      </x:c>
      <x:c r="BW8" s="2">
        <x:v>0.1</x:v>
      </x:c>
      <x:c r="BX8" s="2">
        <x:v>60360</x:v>
      </x:c>
      <x:c r="BY8" s="2">
        <x:v>0.2</x:v>
      </x:c>
      <x:c r="BZ8" s="2">
        <x:v>0.3</x:v>
      </x:c>
      <x:c r="CA8" s="2">
        <x:v>60586.1111111111</x:v>
      </x:c>
      <x:c r="CB8" s="2">
        <x:v>30631.15248355</x:v>
      </x:c>
      <x:c r="CC8" s="2">
        <x:v>30629.94528355</x:v>
      </x:c>
      <x:c r="CD8" s="2">
        <x:v>0</x:v>
      </x:c>
      <x:c r="CE8" s="2" t="s">
        <x:v>172</x:v>
      </x:c>
      <x:c r="CF8" s="2" t="s">
        <x:v>3222</x:v>
      </x:c>
      <x:c r="CG8" s="2" t="s">
        <x:v>3222</x:v>
      </x:c>
      <x:c r="CH8" s="2" t="s">
        <x:v>3222</x:v>
      </x:c>
      <x:c r="CI8" s="2" t="s">
        <x:v>3222</x:v>
      </x:c>
      <x:c r="CJ8" s="2" t="s">
        <x:v>3222</x:v>
      </x:c>
      <x:c r="CK8" s="2" t="s">
        <x:v>3222</x:v>
      </x:c>
      <x:c r="CL8" s="2" t="s">
        <x:v>3222</x:v>
      </x:c>
      <x:c r="CM8" s="2" t="s">
        <x:v>3222</x:v>
      </x:c>
      <x:c r="CN8" s="2" t="s">
        <x:v>3222</x:v>
      </x:c>
      <x:c r="CO8" s="2" t="s">
        <x:v>3222</x:v>
      </x:c>
      <x:c r="CP8" s="2" t="s">
        <x:v>3222</x:v>
      </x:c>
      <x:c r="CQ8" s="2" t="s">
        <x:v>3222</x:v>
      </x:c>
      <x:c r="CR8" s="2" t="s">
        <x:v>3222</x:v>
      </x:c>
      <x:c r="CS8" s="2" t="s">
        <x:v>3222</x:v>
      </x:c>
      <x:c r="CT8" s="2" t="s">
        <x:v>3222</x:v>
      </x:c>
      <x:c r="CU8" s="2" t="s">
        <x:v>3222</x:v>
      </x:c>
      <x:c r="CV8" s="2" t="s">
        <x:v>3222</x:v>
      </x:c>
      <x:c r="CW8" s="2" t="s">
        <x:v>3222</x:v>
      </x:c>
      <x:c r="CX8" s="2" t="s">
        <x:v>3222</x:v>
      </x:c>
      <x:c r="CY8" s="2" t="s">
        <x:v>3222</x:v>
      </x:c>
      <x:c r="CZ8" s="2" t="s">
        <x:v>3222</x:v>
      </x:c>
      <x:c r="DA8" s="2" t="s">
        <x:v>3222</x:v>
      </x:c>
      <x:c r="DB8" s="2" t="s">
        <x:v>3222</x:v>
      </x:c>
      <x:c r="DC8" s="2" t="s">
        <x:v>3222</x:v>
      </x:c>
      <x:c r="DD8" s="2" t="s">
        <x:v>3222</x:v>
      </x:c>
      <x:c r="DE8" s="2" t="s">
        <x:v>3222</x:v>
      </x:c>
      <x:c r="DF8" s="2" t="s">
        <x:v>3222</x:v>
      </x:c>
      <x:c r="DG8" s="2" t="s">
        <x:v>3222</x:v>
      </x:c>
      <x:c r="DH8" s="2" t="s">
        <x:v>3222</x:v>
      </x:c>
      <x:c r="DI8" s="2" t="s">
        <x:v>3222</x:v>
      </x:c>
      <x:c r="DJ8" s="2" t="s">
        <x:v>3222</x:v>
      </x:c>
      <x:c r="DK8" s="2" t="s">
        <x:v>3222</x:v>
      </x:c>
      <x:c r="DL8" s="2" t="s">
        <x:v>3222</x:v>
      </x:c>
      <x:c r="DM8" s="2" t="s">
        <x:v>3222</x:v>
      </x:c>
      <x:c r="DN8" s="2" t="s">
        <x:v>3222</x:v>
      </x:c>
      <x:c r="DO8" s="2" t="s">
        <x:v>3222</x:v>
      </x:c>
      <x:c r="DP8" s="2" t="s">
        <x:v>3222</x:v>
      </x:c>
      <x:c r="DQ8" s="2" t="s">
        <x:v>3222</x:v>
      </x:c>
      <x:c r="DR8" s="2" t="s">
        <x:v>3222</x:v>
      </x:c>
      <x:c r="DS8" s="2" t="s">
        <x:v>3222</x:v>
      </x:c>
      <x:c r="DT8" s="2" t="s">
        <x:v>3222</x:v>
      </x:c>
      <x:c r="DU8" s="2" t="s">
        <x:v>3222</x:v>
      </x:c>
      <x:c r="DV8" s="2" t="s">
        <x:v>3222</x:v>
      </x:c>
      <x:c r="DW8" s="2" t="s">
        <x:v>3222</x:v>
      </x:c>
      <x:c r="DX8" s="2" t="s">
        <x:v>3222</x:v>
      </x:c>
      <x:c r="DY8" s="2" t="s">
        <x:v>3222</x:v>
      </x:c>
      <x:c r="DZ8" s="2" t="s">
        <x:v>3222</x:v>
      </x:c>
      <x:c r="EA8" s="2" t="s">
        <x:v>3222</x:v>
      </x:c>
      <x:c r="EB8" s="2" t="s">
        <x:v>3222</x:v>
      </x:c>
      <x:c r="EC8" s="2" t="s">
        <x:v>3222</x:v>
      </x:c>
      <x:c r="ED8" s="2" t="s">
        <x:v>3222</x:v>
      </x:c>
      <x:c r="EE8" s="2" t="s">
        <x:v>3222</x:v>
      </x:c>
      <x:c r="EF8" s="2" t="s">
        <x:v>3222</x:v>
      </x:c>
      <x:c r="EG8" s="2" t="s">
        <x:v>3222</x:v>
      </x:c>
      <x:c r="EH8" s="2" t="s">
        <x:v>3222</x:v>
      </x:c>
      <x:c r="EI8" s="2" t="s">
        <x:v>3222</x:v>
      </x:c>
      <x:c r="EJ8" s="2" t="s">
        <x:v>3222</x:v>
      </x:c>
      <x:c r="EK8" s="2" t="s">
        <x:v>3222</x:v>
      </x:c>
      <x:c r="EL8" s="2" t="s">
        <x:v>3222</x:v>
      </x:c>
      <x:c r="EM8" s="2" t="s">
        <x:v>3222</x:v>
      </x:c>
    </x:row>
    <x:row r="9" ht="101">
      <x:c r="A9" s="2" t="s">
        <x:v>71</x:v>
      </x:c>
      <x:c r="B9" s="2" t="s">
        <x:v>1466</x:v>
      </x:c>
      <x:c r="C9" s="2" t="s">
        <x:v>3916</x:v>
      </x:c>
      <x:c r="D9" s="2" t="s">
        <x:v>311</x:v>
      </x:c>
      <x:c r="E9" s="2" t="s">
        <x:v>1336</x:v>
      </x:c>
      <x:c r="F9" s="2" t="s">
        <x:v>1409</x:v>
      </x:c>
      <x:c r="G9" s="2" t="s">
        <x:v>218</x:v>
      </x:c>
      <x:c r="H9" s="2" t="s">
        <x:v>313</x:v>
      </x:c>
      <x:c r="I9" s="2" t="s">
        <x:v>298</x:v>
      </x:c>
      <x:c r="J9" s="2" t="s">
        <x:v>314</x:v>
      </x:c>
      <x:c r="K9" s="2" t="s">
        <x:v>527</x:v>
      </x:c>
      <x:c r="L9" s="2" t="s">
        <x:v>3917</x:v>
      </x:c>
      <x:c r="M9" s="2" t="s">
        <x:v>3918</x:v>
      </x:c>
      <x:c r="N9" s="2" t="s">
        <x:v>169</x:v>
      </x:c>
      <x:c r="O9" s="2" t="s">
        <x:v>1952</x:v>
      </x:c>
      <x:c r="P9" s="2" t="s">
        <x:v>200</x:v>
      </x:c>
      <x:c r="Q9" s="2" t="s">
        <x:v>172</x:v>
      </x:c>
      <x:c r="R9" s="2" t="s">
        <x:v>1381</x:v>
      </x:c>
      <x:c r="S9" s="2" t="s">
        <x:v>3219</x:v>
      </x:c>
      <x:c r="T9" s="2" t="s">
        <x:v>3915</x:v>
      </x:c>
      <x:c r="U9" s="2" t="s">
        <x:v>3241</x:v>
      </x:c>
      <x:c r="V9" s="2"/>
      <x:c r="W9" s="2" t="s">
        <x:v>74</x:v>
      </x:c>
      <x:c r="X9" s="2">
        <x:v>1</x:v>
      </x:c>
      <x:c r="Y9" s="2" t="s">
        <x:v>3</x:v>
      </x:c>
      <x:c r="Z9" s="2" t="s">
        <x:v>501</x:v>
      </x:c>
      <x:c r="AA9" s="2">
        <x:v>5</x:v>
      </x:c>
      <x:c r="AB9" s="2">
        <x:v>65211</x:v>
      </x:c>
      <x:c r="AC9" s="2">
        <x:v>0</x:v>
      </x:c>
      <x:c r="AD9" s="2">
        <x:v>5</x:v>
      </x:c>
      <x:c r="AE9" s="2">
        <x:v>65211</x:v>
      </x:c>
      <x:c r="AF9" s="2">
        <x:v>42729.67235219</x:v>
      </x:c>
      <x:c r="AG9" s="2">
        <x:v>42664.46135223</x:v>
      </x:c>
      <x:c r="AH9" s="2">
        <x:v>0</x:v>
      </x:c>
      <x:c r="AI9" s="2" t="s">
        <x:v>172</x:v>
      </x:c>
      <x:c r="AJ9" s="2">
        <x:v>2</x:v>
      </x:c>
      <x:c r="AK9" s="2" t="s">
        <x:v>3225</x:v>
      </x:c>
      <x:c r="AL9" s="2" t="s">
        <x:v>520</x:v>
      </x:c>
      <x:c r="AM9" s="2">
        <x:v>1.226</x:v>
      </x:c>
      <x:c r="AN9" s="2">
        <x:v>65487</x:v>
      </x:c>
      <x:c r="AO9" s="2">
        <x:v>5</x:v>
      </x:c>
      <x:c r="AP9" s="2">
        <x:v>6.226</x:v>
      </x:c>
      <x:c r="AQ9" s="2">
        <x:v>65265.3488596209</x:v>
      </x:c>
      <x:c r="AR9" s="2">
        <x:v>42677.50355223</x:v>
      </x:c>
      <x:c r="AS9" s="2">
        <x:v>42661.44613983</x:v>
      </x:c>
      <x:c r="AT9" s="2">
        <x:v>0</x:v>
      </x:c>
      <x:c r="AU9" s="2" t="s">
        <x:v>171</x:v>
      </x:c>
      <x:c r="AV9" s="2">
        <x:v>3</x:v>
      </x:c>
      <x:c r="AW9" s="2" t="s">
        <x:v>3230</x:v>
      </x:c>
      <x:c r="AX9" s="2" t="s">
        <x:v>528</x:v>
      </x:c>
      <x:c r="AY9" s="2">
        <x:v>3.8</x:v>
      </x:c>
      <x:c r="AZ9" s="2">
        <x:v>65721</x:v>
      </x:c>
      <x:c r="BA9" s="2">
        <x:v>6.226</x:v>
      </x:c>
      <x:c r="BB9" s="2">
        <x:v>10.026</x:v>
      </x:c>
      <x:c r="BC9" s="2">
        <x:v>65438.0472770796</x:v>
      </x:c>
      <x:c r="BD9" s="2">
        <x:v>42664.65762231</x:v>
      </x:c>
      <x:c r="BE9" s="2">
        <x:v>42614.70966231</x:v>
      </x:c>
      <x:c r="BF9" s="2">
        <x:v>0</x:v>
      </x:c>
      <x:c r="BG9" s="2" t="s">
        <x:v>172</x:v>
      </x:c>
      <x:c r="BH9" s="2" t="s">
        <x:v>3222</x:v>
      </x:c>
      <x:c r="BI9" s="2" t="s">
        <x:v>3222</x:v>
      </x:c>
      <x:c r="BJ9" s="2" t="s">
        <x:v>3222</x:v>
      </x:c>
      <x:c r="BK9" s="2" t="s">
        <x:v>3222</x:v>
      </x:c>
      <x:c r="BL9" s="2" t="s">
        <x:v>3222</x:v>
      </x:c>
      <x:c r="BM9" s="2" t="s">
        <x:v>3222</x:v>
      </x:c>
      <x:c r="BN9" s="2" t="s">
        <x:v>3222</x:v>
      </x:c>
      <x:c r="BO9" s="2" t="s">
        <x:v>3222</x:v>
      </x:c>
      <x:c r="BP9" s="2" t="s">
        <x:v>3222</x:v>
      </x:c>
      <x:c r="BQ9" s="2" t="s">
        <x:v>3222</x:v>
      </x:c>
      <x:c r="BR9" s="2" t="s">
        <x:v>3222</x:v>
      </x:c>
      <x:c r="BS9" s="2" t="s">
        <x:v>3222</x:v>
      </x:c>
      <x:c r="BT9" s="2" t="s">
        <x:v>3222</x:v>
      </x:c>
      <x:c r="BU9" s="2" t="s">
        <x:v>3222</x:v>
      </x:c>
      <x:c r="BV9" s="2" t="s">
        <x:v>3222</x:v>
      </x:c>
      <x:c r="BW9" s="2" t="s">
        <x:v>3222</x:v>
      </x:c>
      <x:c r="BX9" s="2" t="s">
        <x:v>3222</x:v>
      </x:c>
      <x:c r="BY9" s="2" t="s">
        <x:v>3222</x:v>
      </x:c>
      <x:c r="BZ9" s="2" t="s">
        <x:v>3222</x:v>
      </x:c>
      <x:c r="CA9" s="2" t="s">
        <x:v>3222</x:v>
      </x:c>
      <x:c r="CB9" s="2" t="s">
        <x:v>3222</x:v>
      </x:c>
      <x:c r="CC9" s="2" t="s">
        <x:v>3222</x:v>
      </x:c>
      <x:c r="CD9" s="2" t="s">
        <x:v>3222</x:v>
      </x:c>
      <x:c r="CE9" s="2" t="s">
        <x:v>3222</x:v>
      </x:c>
      <x:c r="CF9" s="2" t="s">
        <x:v>3222</x:v>
      </x:c>
      <x:c r="CG9" s="2" t="s">
        <x:v>3222</x:v>
      </x:c>
      <x:c r="CH9" s="2" t="s">
        <x:v>3222</x:v>
      </x:c>
      <x:c r="CI9" s="2" t="s">
        <x:v>3222</x:v>
      </x:c>
      <x:c r="CJ9" s="2" t="s">
        <x:v>3222</x:v>
      </x:c>
      <x:c r="CK9" s="2" t="s">
        <x:v>3222</x:v>
      </x:c>
      <x:c r="CL9" s="2" t="s">
        <x:v>3222</x:v>
      </x:c>
      <x:c r="CM9" s="2" t="s">
        <x:v>3222</x:v>
      </x:c>
      <x:c r="CN9" s="2" t="s">
        <x:v>3222</x:v>
      </x:c>
      <x:c r="CO9" s="2" t="s">
        <x:v>3222</x:v>
      </x:c>
      <x:c r="CP9" s="2" t="s">
        <x:v>3222</x:v>
      </x:c>
      <x:c r="CQ9" s="2" t="s">
        <x:v>3222</x:v>
      </x:c>
      <x:c r="CR9" s="2" t="s">
        <x:v>3222</x:v>
      </x:c>
      <x:c r="CS9" s="2" t="s">
        <x:v>3222</x:v>
      </x:c>
      <x:c r="CT9" s="2" t="s">
        <x:v>3222</x:v>
      </x:c>
      <x:c r="CU9" s="2" t="s">
        <x:v>3222</x:v>
      </x:c>
      <x:c r="CV9" s="2" t="s">
        <x:v>3222</x:v>
      </x:c>
      <x:c r="CW9" s="2" t="s">
        <x:v>3222</x:v>
      </x:c>
      <x:c r="CX9" s="2" t="s">
        <x:v>3222</x:v>
      </x:c>
      <x:c r="CY9" s="2" t="s">
        <x:v>3222</x:v>
      </x:c>
      <x:c r="CZ9" s="2" t="s">
        <x:v>3222</x:v>
      </x:c>
      <x:c r="DA9" s="2" t="s">
        <x:v>3222</x:v>
      </x:c>
      <x:c r="DB9" s="2" t="s">
        <x:v>3222</x:v>
      </x:c>
      <x:c r="DC9" s="2" t="s">
        <x:v>3222</x:v>
      </x:c>
      <x:c r="DD9" s="2" t="s">
        <x:v>3222</x:v>
      </x:c>
      <x:c r="DE9" s="2" t="s">
        <x:v>3222</x:v>
      </x:c>
      <x:c r="DF9" s="2" t="s">
        <x:v>3222</x:v>
      </x:c>
      <x:c r="DG9" s="2" t="s">
        <x:v>3222</x:v>
      </x:c>
      <x:c r="DH9" s="2" t="s">
        <x:v>3222</x:v>
      </x:c>
      <x:c r="DI9" s="2" t="s">
        <x:v>3222</x:v>
      </x:c>
      <x:c r="DJ9" s="2" t="s">
        <x:v>3222</x:v>
      </x:c>
      <x:c r="DK9" s="2" t="s">
        <x:v>3222</x:v>
      </x:c>
      <x:c r="DL9" s="2" t="s">
        <x:v>3222</x:v>
      </x:c>
      <x:c r="DM9" s="2" t="s">
        <x:v>3222</x:v>
      </x:c>
      <x:c r="DN9" s="2" t="s">
        <x:v>3222</x:v>
      </x:c>
      <x:c r="DO9" s="2" t="s">
        <x:v>3222</x:v>
      </x:c>
      <x:c r="DP9" s="2" t="s">
        <x:v>3222</x:v>
      </x:c>
      <x:c r="DQ9" s="2" t="s">
        <x:v>3222</x:v>
      </x:c>
      <x:c r="DR9" s="2" t="s">
        <x:v>3222</x:v>
      </x:c>
      <x:c r="DS9" s="2" t="s">
        <x:v>3222</x:v>
      </x:c>
      <x:c r="DT9" s="2" t="s">
        <x:v>3222</x:v>
      </x:c>
      <x:c r="DU9" s="2" t="s">
        <x:v>3222</x:v>
      </x:c>
      <x:c r="DV9" s="2" t="s">
        <x:v>3222</x:v>
      </x:c>
      <x:c r="DW9" s="2" t="s">
        <x:v>3222</x:v>
      </x:c>
      <x:c r="DX9" s="2" t="s">
        <x:v>3222</x:v>
      </x:c>
      <x:c r="DY9" s="2" t="s">
        <x:v>3222</x:v>
      </x:c>
      <x:c r="DZ9" s="2" t="s">
        <x:v>3222</x:v>
      </x:c>
      <x:c r="EA9" s="2" t="s">
        <x:v>3222</x:v>
      </x:c>
      <x:c r="EB9" s="2" t="s">
        <x:v>3222</x:v>
      </x:c>
      <x:c r="EC9" s="2" t="s">
        <x:v>3222</x:v>
      </x:c>
      <x:c r="ED9" s="2" t="s">
        <x:v>3222</x:v>
      </x:c>
      <x:c r="EE9" s="2" t="s">
        <x:v>3222</x:v>
      </x:c>
      <x:c r="EF9" s="2" t="s">
        <x:v>3222</x:v>
      </x:c>
      <x:c r="EG9" s="2" t="s">
        <x:v>3222</x:v>
      </x:c>
      <x:c r="EH9" s="2" t="s">
        <x:v>3222</x:v>
      </x:c>
      <x:c r="EI9" s="2" t="s">
        <x:v>3222</x:v>
      </x:c>
      <x:c r="EJ9" s="2" t="s">
        <x:v>3222</x:v>
      </x:c>
      <x:c r="EK9" s="2" t="s">
        <x:v>3222</x:v>
      </x:c>
      <x:c r="EL9" s="2" t="s">
        <x:v>3222</x:v>
      </x:c>
      <x:c r="EM9" s="2" t="s">
        <x:v>3222</x:v>
      </x:c>
    </x:row>
    <x:row r="10" ht="84">
      <x:c r="A10" s="2" t="s">
        <x:v>71</x:v>
      </x:c>
      <x:c r="B10" s="2" t="s">
        <x:v>218</x:v>
      </x:c>
      <x:c r="C10" s="2" t="s">
        <x:v>3230</x:v>
      </x:c>
      <x:c r="D10" s="2" t="s">
        <x:v>328</x:v>
      </x:c>
      <x:c r="E10" s="2" t="s">
        <x:v>1336</x:v>
      </x:c>
      <x:c r="F10" s="2" t="s">
        <x:v>1409</x:v>
      </x:c>
      <x:c r="G10" s="2" t="s">
        <x:v>1353</x:v>
      </x:c>
      <x:c r="H10" s="2" t="s">
        <x:v>329</x:v>
      </x:c>
      <x:c r="I10" s="2" t="s">
        <x:v>314</x:v>
      </x:c>
      <x:c r="J10" s="2" t="s">
        <x:v>330</x:v>
      </x:c>
      <x:c r="K10" s="2" t="s">
        <x:v>3238</x:v>
      </x:c>
      <x:c r="L10" s="2" t="s">
        <x:v>3239</x:v>
      </x:c>
      <x:c r="M10" s="2" t="s">
        <x:v>3240</x:v>
      </x:c>
      <x:c r="N10" s="2" t="s">
        <x:v>2658</x:v>
      </x:c>
      <x:c r="O10" s="2" t="s">
        <x:v>1974</x:v>
      </x:c>
      <x:c r="P10" s="2" t="s">
        <x:v>1607</x:v>
      </x:c>
      <x:c r="Q10" s="2" t="s">
        <x:v>172</x:v>
      </x:c>
      <x:c r="R10" s="2" t="s">
        <x:v>1381</x:v>
      </x:c>
      <x:c r="S10" s="2" t="s">
        <x:v>3219</x:v>
      </x:c>
      <x:c r="T10" s="2" t="s">
        <x:v>3915</x:v>
      </x:c>
      <x:c r="U10" s="2" t="s">
        <x:v>3245</x:v>
      </x:c>
      <x:c r="V10" s="2"/>
      <x:c r="W10" s="2" t="s">
        <x:v>75</x:v>
      </x:c>
      <x:c r="X10" s="2">
        <x:v>1</x:v>
      </x:c>
      <x:c r="Y10" s="2" t="s">
        <x:v>3</x:v>
      </x:c>
      <x:c r="Z10" s="2" t="s">
        <x:v>561</x:v>
      </x:c>
      <x:c r="AA10" s="2">
        <x:v>100</x:v>
      </x:c>
      <x:c r="AB10" s="2">
        <x:v>2095</x:v>
      </x:c>
      <x:c r="AC10" s="2">
        <x:v>0</x:v>
      </x:c>
      <x:c r="AD10" s="2">
        <x:v>100</x:v>
      </x:c>
      <x:c r="AE10" s="2">
        <x:v>2095</x:v>
      </x:c>
      <x:c r="AF10" s="2">
        <x:v>25262.72207512</x:v>
      </x:c>
      <x:c r="AG10" s="2">
        <x:v>25262.72207512</x:v>
      </x:c>
      <x:c r="AH10" s="2">
        <x:v>0</x:v>
      </x:c>
      <x:c r="AI10" s="2" t="s">
        <x:v>172</x:v>
      </x:c>
      <x:c r="AJ10" s="2">
        <x:v>2</x:v>
      </x:c>
      <x:c r="AK10" s="2" t="s">
        <x:v>3225</x:v>
      </x:c>
      <x:c r="AL10" s="2" t="s">
        <x:v>2113</x:v>
      </x:c>
      <x:c r="AM10" s="2">
        <x:v>100</x:v>
      </x:c>
      <x:c r="AN10" s="2">
        <x:v>2135.2</x:v>
      </x:c>
      <x:c r="AO10" s="2">
        <x:v>100</x:v>
      </x:c>
      <x:c r="AP10" s="2">
        <x:v>200</x:v>
      </x:c>
      <x:c r="AQ10" s="2">
        <x:v>2115.1</x:v>
      </x:c>
      <x:c r="AR10" s="2">
        <x:v>25262.72207512</x:v>
      </x:c>
      <x:c r="AS10" s="2">
        <x:v>25262.72207512</x:v>
      </x:c>
      <x:c r="AT10" s="2">
        <x:v>0</x:v>
      </x:c>
      <x:c r="AU10" s="2" t="s">
        <x:v>172</x:v>
      </x:c>
      <x:c r="AV10" s="2" t="s">
        <x:v>3222</x:v>
      </x:c>
      <x:c r="AW10" s="2" t="s">
        <x:v>3222</x:v>
      </x:c>
      <x:c r="AX10" s="2" t="s">
        <x:v>3222</x:v>
      </x:c>
      <x:c r="AY10" s="2" t="s">
        <x:v>3222</x:v>
      </x:c>
      <x:c r="AZ10" s="2" t="s">
        <x:v>3222</x:v>
      </x:c>
      <x:c r="BA10" s="2" t="s">
        <x:v>3222</x:v>
      </x:c>
      <x:c r="BB10" s="2" t="s">
        <x:v>3222</x:v>
      </x:c>
      <x:c r="BC10" s="2" t="s">
        <x:v>3222</x:v>
      </x:c>
      <x:c r="BD10" s="2" t="s">
        <x:v>3222</x:v>
      </x:c>
      <x:c r="BE10" s="2" t="s">
        <x:v>3222</x:v>
      </x:c>
      <x:c r="BF10" s="2" t="s">
        <x:v>3222</x:v>
      </x:c>
      <x:c r="BG10" s="2" t="s">
        <x:v>3222</x:v>
      </x:c>
      <x:c r="BH10" s="2" t="s">
        <x:v>3222</x:v>
      </x:c>
      <x:c r="BI10" s="2" t="s">
        <x:v>3222</x:v>
      </x:c>
      <x:c r="BJ10" s="2" t="s">
        <x:v>3222</x:v>
      </x:c>
      <x:c r="BK10" s="2" t="s">
        <x:v>3222</x:v>
      </x:c>
      <x:c r="BL10" s="2" t="s">
        <x:v>3222</x:v>
      </x:c>
      <x:c r="BM10" s="2" t="s">
        <x:v>3222</x:v>
      </x:c>
      <x:c r="BN10" s="2" t="s">
        <x:v>3222</x:v>
      </x:c>
      <x:c r="BO10" s="2" t="s">
        <x:v>3222</x:v>
      </x:c>
      <x:c r="BP10" s="2" t="s">
        <x:v>3222</x:v>
      </x:c>
      <x:c r="BQ10" s="2" t="s">
        <x:v>3222</x:v>
      </x:c>
      <x:c r="BR10" s="2" t="s">
        <x:v>3222</x:v>
      </x:c>
      <x:c r="BS10" s="2" t="s">
        <x:v>3222</x:v>
      </x:c>
      <x:c r="BT10" s="2" t="s">
        <x:v>3222</x:v>
      </x:c>
      <x:c r="BU10" s="2" t="s">
        <x:v>3222</x:v>
      </x:c>
      <x:c r="BV10" s="2" t="s">
        <x:v>3222</x:v>
      </x:c>
      <x:c r="BW10" s="2" t="s">
        <x:v>3222</x:v>
      </x:c>
      <x:c r="BX10" s="2" t="s">
        <x:v>3222</x:v>
      </x:c>
      <x:c r="BY10" s="2" t="s">
        <x:v>3222</x:v>
      </x:c>
      <x:c r="BZ10" s="2" t="s">
        <x:v>3222</x:v>
      </x:c>
      <x:c r="CA10" s="2" t="s">
        <x:v>3222</x:v>
      </x:c>
      <x:c r="CB10" s="2" t="s">
        <x:v>3222</x:v>
      </x:c>
      <x:c r="CC10" s="2" t="s">
        <x:v>3222</x:v>
      </x:c>
      <x:c r="CD10" s="2" t="s">
        <x:v>3222</x:v>
      </x:c>
      <x:c r="CE10" s="2" t="s">
        <x:v>3222</x:v>
      </x:c>
      <x:c r="CF10" s="2" t="s">
        <x:v>3222</x:v>
      </x:c>
      <x:c r="CG10" s="2" t="s">
        <x:v>3222</x:v>
      </x:c>
      <x:c r="CH10" s="2" t="s">
        <x:v>3222</x:v>
      </x:c>
      <x:c r="CI10" s="2" t="s">
        <x:v>3222</x:v>
      </x:c>
      <x:c r="CJ10" s="2" t="s">
        <x:v>3222</x:v>
      </x:c>
      <x:c r="CK10" s="2" t="s">
        <x:v>3222</x:v>
      </x:c>
      <x:c r="CL10" s="2" t="s">
        <x:v>3222</x:v>
      </x:c>
      <x:c r="CM10" s="2" t="s">
        <x:v>3222</x:v>
      </x:c>
      <x:c r="CN10" s="2" t="s">
        <x:v>3222</x:v>
      </x:c>
      <x:c r="CO10" s="2" t="s">
        <x:v>3222</x:v>
      </x:c>
      <x:c r="CP10" s="2" t="s">
        <x:v>3222</x:v>
      </x:c>
      <x:c r="CQ10" s="2" t="s">
        <x:v>3222</x:v>
      </x:c>
      <x:c r="CR10" s="2" t="s">
        <x:v>3222</x:v>
      </x:c>
      <x:c r="CS10" s="2" t="s">
        <x:v>3222</x:v>
      </x:c>
      <x:c r="CT10" s="2" t="s">
        <x:v>3222</x:v>
      </x:c>
      <x:c r="CU10" s="2" t="s">
        <x:v>3222</x:v>
      </x:c>
      <x:c r="CV10" s="2" t="s">
        <x:v>3222</x:v>
      </x:c>
      <x:c r="CW10" s="2" t="s">
        <x:v>3222</x:v>
      </x:c>
      <x:c r="CX10" s="2" t="s">
        <x:v>3222</x:v>
      </x:c>
      <x:c r="CY10" s="2" t="s">
        <x:v>3222</x:v>
      </x:c>
      <x:c r="CZ10" s="2" t="s">
        <x:v>3222</x:v>
      </x:c>
      <x:c r="DA10" s="2" t="s">
        <x:v>3222</x:v>
      </x:c>
      <x:c r="DB10" s="2" t="s">
        <x:v>3222</x:v>
      </x:c>
      <x:c r="DC10" s="2" t="s">
        <x:v>3222</x:v>
      </x:c>
      <x:c r="DD10" s="2" t="s">
        <x:v>3222</x:v>
      </x:c>
      <x:c r="DE10" s="2" t="s">
        <x:v>3222</x:v>
      </x:c>
      <x:c r="DF10" s="2" t="s">
        <x:v>3222</x:v>
      </x:c>
      <x:c r="DG10" s="2" t="s">
        <x:v>3222</x:v>
      </x:c>
      <x:c r="DH10" s="2" t="s">
        <x:v>3222</x:v>
      </x:c>
      <x:c r="DI10" s="2" t="s">
        <x:v>3222</x:v>
      </x:c>
      <x:c r="DJ10" s="2" t="s">
        <x:v>3222</x:v>
      </x:c>
      <x:c r="DK10" s="2" t="s">
        <x:v>3222</x:v>
      </x:c>
      <x:c r="DL10" s="2" t="s">
        <x:v>3222</x:v>
      </x:c>
      <x:c r="DM10" s="2" t="s">
        <x:v>3222</x:v>
      </x:c>
      <x:c r="DN10" s="2" t="s">
        <x:v>3222</x:v>
      </x:c>
      <x:c r="DO10" s="2" t="s">
        <x:v>3222</x:v>
      </x:c>
      <x:c r="DP10" s="2" t="s">
        <x:v>3222</x:v>
      </x:c>
      <x:c r="DQ10" s="2" t="s">
        <x:v>3222</x:v>
      </x:c>
      <x:c r="DR10" s="2" t="s">
        <x:v>3222</x:v>
      </x:c>
      <x:c r="DS10" s="2" t="s">
        <x:v>3222</x:v>
      </x:c>
      <x:c r="DT10" s="2" t="s">
        <x:v>3222</x:v>
      </x:c>
      <x:c r="DU10" s="2" t="s">
        <x:v>3222</x:v>
      </x:c>
      <x:c r="DV10" s="2" t="s">
        <x:v>3222</x:v>
      </x:c>
      <x:c r="DW10" s="2" t="s">
        <x:v>3222</x:v>
      </x:c>
      <x:c r="DX10" s="2" t="s">
        <x:v>3222</x:v>
      </x:c>
      <x:c r="DY10" s="2" t="s">
        <x:v>3222</x:v>
      </x:c>
      <x:c r="DZ10" s="2" t="s">
        <x:v>3222</x:v>
      </x:c>
      <x:c r="EA10" s="2" t="s">
        <x:v>3222</x:v>
      </x:c>
      <x:c r="EB10" s="2" t="s">
        <x:v>3222</x:v>
      </x:c>
      <x:c r="EC10" s="2" t="s">
        <x:v>3222</x:v>
      </x:c>
      <x:c r="ED10" s="2" t="s">
        <x:v>3222</x:v>
      </x:c>
      <x:c r="EE10" s="2" t="s">
        <x:v>3222</x:v>
      </x:c>
      <x:c r="EF10" s="2" t="s">
        <x:v>3222</x:v>
      </x:c>
      <x:c r="EG10" s="2" t="s">
        <x:v>3222</x:v>
      </x:c>
      <x:c r="EH10" s="2" t="s">
        <x:v>3222</x:v>
      </x:c>
      <x:c r="EI10" s="2" t="s">
        <x:v>3222</x:v>
      </x:c>
      <x:c r="EJ10" s="2" t="s">
        <x:v>3222</x:v>
      </x:c>
      <x:c r="EK10" s="2" t="s">
        <x:v>3222</x:v>
      </x:c>
      <x:c r="EL10" s="2" t="s">
        <x:v>3222</x:v>
      </x:c>
      <x:c r="EM10" s="2" t="s">
        <x:v>3222</x:v>
      </x:c>
    </x:row>
    <x:row r="11" ht="101">
      <x:c r="A11" s="2" t="s">
        <x:v>71</x:v>
      </x:c>
      <x:c r="B11" s="2" t="s">
        <x:v>314</x:v>
      </x:c>
      <x:c r="C11" s="2" t="s">
        <x:v>3231</x:v>
      </x:c>
      <x:c r="D11" s="2" t="s">
        <x:v>356</x:v>
      </x:c>
      <x:c r="E11" s="2" t="s">
        <x:v>1336</x:v>
      </x:c>
      <x:c r="F11" s="2" t="s">
        <x:v>1409</x:v>
      </x:c>
      <x:c r="G11" s="2" t="s">
        <x:v>314</x:v>
      </x:c>
      <x:c r="H11" s="2" t="s">
        <x:v>357</x:v>
      </x:c>
      <x:c r="I11" s="2" t="s">
        <x:v>330</x:v>
      </x:c>
      <x:c r="J11" s="2" t="s">
        <x:v>358</x:v>
      </x:c>
      <x:c r="K11" s="2" t="s">
        <x:v>3242</x:v>
      </x:c>
      <x:c r="L11" s="2" t="s">
        <x:v>3243</x:v>
      </x:c>
      <x:c r="M11" s="2" t="s">
        <x:v>3244</x:v>
      </x:c>
      <x:c r="N11" s="2" t="s">
        <x:v>169</x:v>
      </x:c>
      <x:c r="O11" s="2" t="s">
        <x:v>2012</x:v>
      </x:c>
      <x:c r="P11" s="2" t="s">
        <x:v>1353</x:v>
      </x:c>
      <x:c r="Q11" s="2" t="s">
        <x:v>172</x:v>
      </x:c>
      <x:c r="R11" s="2" t="s">
        <x:v>1381</x:v>
      </x:c>
      <x:c r="S11" s="2" t="s">
        <x:v>3219</x:v>
      </x:c>
      <x:c r="T11" s="2" t="s">
        <x:v>3915</x:v>
      </x:c>
      <x:c r="U11" s="2" t="s">
        <x:v>3249</x:v>
      </x:c>
      <x:c r="V11" s="2"/>
      <x:c r="W11" s="2" t="s">
        <x:v>76</x:v>
      </x:c>
      <x:c r="X11" s="2">
        <x:v>1</x:v>
      </x:c>
      <x:c r="Y11" s="2" t="s">
        <x:v>3</x:v>
      </x:c>
      <x:c r="Z11" s="2" t="s">
        <x:v>630</x:v>
      </x:c>
      <x:c r="AA11" s="2">
        <x:v>10</x:v>
      </x:c>
      <x:c r="AB11" s="2">
        <x:v>62509.1</x:v>
      </x:c>
      <x:c r="AC11" s="2">
        <x:v>0</x:v>
      </x:c>
      <x:c r="AD11" s="2">
        <x:v>10</x:v>
      </x:c>
      <x:c r="AE11" s="2">
        <x:v>62509.1</x:v>
      </x:c>
      <x:c r="AF11" s="2">
        <x:v>13741.67101695</x:v>
      </x:c>
      <x:c r="AG11" s="2">
        <x:v>13616.65281695</x:v>
      </x:c>
      <x:c r="AH11" s="2">
        <x:v>0</x:v>
      </x:c>
      <x:c r="AI11" s="2" t="s">
        <x:v>172</x:v>
      </x:c>
      <x:c r="AJ11" s="2">
        <x:v>2</x:v>
      </x:c>
      <x:c r="AK11" s="2" t="s">
        <x:v>3225</x:v>
      </x:c>
      <x:c r="AL11" s="2" t="s">
        <x:v>637</x:v>
      </x:c>
      <x:c r="AM11" s="2">
        <x:v>5</x:v>
      </x:c>
      <x:c r="AN11" s="2">
        <x:v>62622</x:v>
      </x:c>
      <x:c r="AO11" s="2">
        <x:v>10</x:v>
      </x:c>
      <x:c r="AP11" s="2">
        <x:v>15</x:v>
      </x:c>
      <x:c r="AQ11" s="2">
        <x:v>62546.7333333333</x:v>
      </x:c>
      <x:c r="AR11" s="2">
        <x:v>13641.65645695</x:v>
      </x:c>
      <x:c r="AS11" s="2">
        <x:v>13579.03445695</x:v>
      </x:c>
      <x:c r="AT11" s="2">
        <x:v>0</x:v>
      </x:c>
      <x:c r="AU11" s="2" t="s">
        <x:v>172</x:v>
      </x:c>
      <x:c r="AV11" s="2">
        <x:v>3</x:v>
      </x:c>
      <x:c r="AW11" s="2" t="s">
        <x:v>3916</x:v>
      </x:c>
      <x:c r="AX11" s="2" t="s">
        <x:v>654</x:v>
      </x:c>
      <x:c r="AY11" s="2">
        <x:v>7.5</x:v>
      </x:c>
      <x:c r="AZ11" s="2">
        <x:v>63716</x:v>
      </x:c>
      <x:c r="BA11" s="2">
        <x:v>15</x:v>
      </x:c>
      <x:c r="BB11" s="2">
        <x:v>7.5</x:v>
      </x:c>
      <x:c r="BC11" s="2">
        <x:v>62546.7333333333</x:v>
      </x:c>
      <x:c r="BD11" s="2">
        <x:v>13666.65620302</x:v>
      </x:c>
      <x:c r="BE11" s="2">
        <x:v>4801.58220307</x:v>
      </x:c>
      <x:c r="BF11" s="2">
        <x:v>0</x:v>
      </x:c>
      <x:c r="BG11" s="2" t="s">
        <x:v>172</x:v>
      </x:c>
      <x:c r="BH11" s="2" t="s">
        <x:v>3222</x:v>
      </x:c>
      <x:c r="BI11" s="2" t="s">
        <x:v>3222</x:v>
      </x:c>
      <x:c r="BJ11" s="2" t="s">
        <x:v>3222</x:v>
      </x:c>
      <x:c r="BK11" s="2" t="s">
        <x:v>3222</x:v>
      </x:c>
      <x:c r="BL11" s="2" t="s">
        <x:v>3222</x:v>
      </x:c>
      <x:c r="BM11" s="2" t="s">
        <x:v>3222</x:v>
      </x:c>
      <x:c r="BN11" s="2" t="s">
        <x:v>3222</x:v>
      </x:c>
      <x:c r="BO11" s="2" t="s">
        <x:v>3222</x:v>
      </x:c>
      <x:c r="BP11" s="2" t="s">
        <x:v>3222</x:v>
      </x:c>
      <x:c r="BQ11" s="2" t="s">
        <x:v>3222</x:v>
      </x:c>
      <x:c r="BR11" s="2" t="s">
        <x:v>3222</x:v>
      </x:c>
      <x:c r="BS11" s="2" t="s">
        <x:v>3222</x:v>
      </x:c>
      <x:c r="BT11" s="2" t="s">
        <x:v>3222</x:v>
      </x:c>
      <x:c r="BU11" s="2" t="s">
        <x:v>3222</x:v>
      </x:c>
      <x:c r="BV11" s="2" t="s">
        <x:v>3222</x:v>
      </x:c>
      <x:c r="BW11" s="2" t="s">
        <x:v>3222</x:v>
      </x:c>
      <x:c r="BX11" s="2" t="s">
        <x:v>3222</x:v>
      </x:c>
      <x:c r="BY11" s="2" t="s">
        <x:v>3222</x:v>
      </x:c>
      <x:c r="BZ11" s="2" t="s">
        <x:v>3222</x:v>
      </x:c>
      <x:c r="CA11" s="2" t="s">
        <x:v>3222</x:v>
      </x:c>
      <x:c r="CB11" s="2" t="s">
        <x:v>3222</x:v>
      </x:c>
      <x:c r="CC11" s="2" t="s">
        <x:v>3222</x:v>
      </x:c>
      <x:c r="CD11" s="2" t="s">
        <x:v>3222</x:v>
      </x:c>
      <x:c r="CE11" s="2" t="s">
        <x:v>3222</x:v>
      </x:c>
      <x:c r="CF11" s="2" t="s">
        <x:v>3222</x:v>
      </x:c>
      <x:c r="CG11" s="2" t="s">
        <x:v>3222</x:v>
      </x:c>
      <x:c r="CH11" s="2" t="s">
        <x:v>3222</x:v>
      </x:c>
      <x:c r="CI11" s="2" t="s">
        <x:v>3222</x:v>
      </x:c>
      <x:c r="CJ11" s="2" t="s">
        <x:v>3222</x:v>
      </x:c>
      <x:c r="CK11" s="2" t="s">
        <x:v>3222</x:v>
      </x:c>
      <x:c r="CL11" s="2" t="s">
        <x:v>3222</x:v>
      </x:c>
      <x:c r="CM11" s="2" t="s">
        <x:v>3222</x:v>
      </x:c>
      <x:c r="CN11" s="2" t="s">
        <x:v>3222</x:v>
      </x:c>
      <x:c r="CO11" s="2" t="s">
        <x:v>3222</x:v>
      </x:c>
      <x:c r="CP11" s="2" t="s">
        <x:v>3222</x:v>
      </x:c>
      <x:c r="CQ11" s="2" t="s">
        <x:v>3222</x:v>
      </x:c>
      <x:c r="CR11" s="2" t="s">
        <x:v>3222</x:v>
      </x:c>
      <x:c r="CS11" s="2" t="s">
        <x:v>3222</x:v>
      </x:c>
      <x:c r="CT11" s="2" t="s">
        <x:v>3222</x:v>
      </x:c>
      <x:c r="CU11" s="2" t="s">
        <x:v>3222</x:v>
      </x:c>
      <x:c r="CV11" s="2" t="s">
        <x:v>3222</x:v>
      </x:c>
      <x:c r="CW11" s="2" t="s">
        <x:v>3222</x:v>
      </x:c>
      <x:c r="CX11" s="2" t="s">
        <x:v>3222</x:v>
      </x:c>
      <x:c r="CY11" s="2" t="s">
        <x:v>3222</x:v>
      </x:c>
      <x:c r="CZ11" s="2" t="s">
        <x:v>3222</x:v>
      </x:c>
      <x:c r="DA11" s="2" t="s">
        <x:v>3222</x:v>
      </x:c>
      <x:c r="DB11" s="2" t="s">
        <x:v>3222</x:v>
      </x:c>
      <x:c r="DC11" s="2" t="s">
        <x:v>3222</x:v>
      </x:c>
      <x:c r="DD11" s="2" t="s">
        <x:v>3222</x:v>
      </x:c>
      <x:c r="DE11" s="2" t="s">
        <x:v>3222</x:v>
      </x:c>
      <x:c r="DF11" s="2" t="s">
        <x:v>3222</x:v>
      </x:c>
      <x:c r="DG11" s="2" t="s">
        <x:v>3222</x:v>
      </x:c>
      <x:c r="DH11" s="2" t="s">
        <x:v>3222</x:v>
      </x:c>
      <x:c r="DI11" s="2" t="s">
        <x:v>3222</x:v>
      </x:c>
      <x:c r="DJ11" s="2" t="s">
        <x:v>3222</x:v>
      </x:c>
      <x:c r="DK11" s="2" t="s">
        <x:v>3222</x:v>
      </x:c>
      <x:c r="DL11" s="2" t="s">
        <x:v>3222</x:v>
      </x:c>
      <x:c r="DM11" s="2" t="s">
        <x:v>3222</x:v>
      </x:c>
      <x:c r="DN11" s="2" t="s">
        <x:v>3222</x:v>
      </x:c>
      <x:c r="DO11" s="2" t="s">
        <x:v>3222</x:v>
      </x:c>
      <x:c r="DP11" s="2" t="s">
        <x:v>3222</x:v>
      </x:c>
      <x:c r="DQ11" s="2" t="s">
        <x:v>3222</x:v>
      </x:c>
      <x:c r="DR11" s="2" t="s">
        <x:v>3222</x:v>
      </x:c>
      <x:c r="DS11" s="2" t="s">
        <x:v>3222</x:v>
      </x:c>
      <x:c r="DT11" s="2" t="s">
        <x:v>3222</x:v>
      </x:c>
      <x:c r="DU11" s="2" t="s">
        <x:v>3222</x:v>
      </x:c>
      <x:c r="DV11" s="2" t="s">
        <x:v>3222</x:v>
      </x:c>
      <x:c r="DW11" s="2" t="s">
        <x:v>3222</x:v>
      </x:c>
      <x:c r="DX11" s="2" t="s">
        <x:v>3222</x:v>
      </x:c>
      <x:c r="DY11" s="2" t="s">
        <x:v>3222</x:v>
      </x:c>
      <x:c r="DZ11" s="2" t="s">
        <x:v>3222</x:v>
      </x:c>
      <x:c r="EA11" s="2" t="s">
        <x:v>3222</x:v>
      </x:c>
      <x:c r="EB11" s="2" t="s">
        <x:v>3222</x:v>
      </x:c>
      <x:c r="EC11" s="2" t="s">
        <x:v>3222</x:v>
      </x:c>
      <x:c r="ED11" s="2" t="s">
        <x:v>3222</x:v>
      </x:c>
      <x:c r="EE11" s="2" t="s">
        <x:v>3222</x:v>
      </x:c>
      <x:c r="EF11" s="2" t="s">
        <x:v>3222</x:v>
      </x:c>
      <x:c r="EG11" s="2" t="s">
        <x:v>3222</x:v>
      </x:c>
      <x:c r="EH11" s="2" t="s">
        <x:v>3222</x:v>
      </x:c>
      <x:c r="EI11" s="2" t="s">
        <x:v>3222</x:v>
      </x:c>
      <x:c r="EJ11" s="2" t="s">
        <x:v>3222</x:v>
      </x:c>
      <x:c r="EK11" s="2" t="s">
        <x:v>3222</x:v>
      </x:c>
      <x:c r="EL11" s="2" t="s">
        <x:v>3222</x:v>
      </x:c>
      <x:c r="EM11" s="2" t="s">
        <x:v>3222</x:v>
      </x:c>
    </x:row>
    <x:row r="12" ht="101">
      <x:c r="A12" s="2" t="s">
        <x:v>71</x:v>
      </x:c>
      <x:c r="B12" s="2" t="s">
        <x:v>1573</x:v>
      </x:c>
      <x:c r="C12" s="2" t="s">
        <x:v>3232</x:v>
      </x:c>
      <x:c r="D12" s="2" t="s">
        <x:v>371</x:v>
      </x:c>
      <x:c r="E12" s="2" t="s">
        <x:v>1336</x:v>
      </x:c>
      <x:c r="F12" s="2" t="s">
        <x:v>1409</x:v>
      </x:c>
      <x:c r="G12" s="2" t="s">
        <x:v>314</x:v>
      </x:c>
      <x:c r="H12" s="2" t="s">
        <x:v>372</x:v>
      </x:c>
      <x:c r="I12" s="2" t="s">
        <x:v>358</x:v>
      </x:c>
      <x:c r="J12" s="2" t="s">
        <x:v>373</x:v>
      </x:c>
      <x:c r="K12" s="2" t="s">
        <x:v>3246</x:v>
      </x:c>
      <x:c r="L12" s="2" t="s">
        <x:v>3247</x:v>
      </x:c>
      <x:c r="M12" s="2" t="s">
        <x:v>3248</x:v>
      </x:c>
      <x:c r="N12" s="2" t="s">
        <x:v>169</x:v>
      </x:c>
      <x:c r="O12" s="2" t="s">
        <x:v>2033</x:v>
      </x:c>
      <x:c r="P12" s="2" t="s">
        <x:v>200</x:v>
      </x:c>
      <x:c r="Q12" s="2" t="s">
        <x:v>172</x:v>
      </x:c>
      <x:c r="R12" s="2" t="s">
        <x:v>1381</x:v>
      </x:c>
      <x:c r="S12" s="2" t="s">
        <x:v>3219</x:v>
      </x:c>
      <x:c r="T12" s="2" t="s">
        <x:v>3915</x:v>
      </x:c>
      <x:c r="U12" s="2" t="s">
        <x:v>3251</x:v>
      </x:c>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2"/>
      <x:c r="CO12" s="2"/>
      <x:c r="CP12" s="2"/>
      <x:c r="CQ12" s="2"/>
      <x:c r="CR12" s="2"/>
      <x:c r="CS12" s="2"/>
      <x:c r="CT12" s="2"/>
      <x:c r="CU12" s="2"/>
      <x:c r="CV12" s="2"/>
      <x:c r="CW12" s="2"/>
      <x:c r="CX12" s="2"/>
      <x:c r="CY12" s="2"/>
      <x:c r="CZ12" s="2"/>
      <x:c r="DA12" s="2"/>
      <x:c r="DB12" s="2"/>
      <x:c r="DC12" s="2"/>
      <x:c r="DD12" s="2"/>
      <x:c r="DE12" s="2"/>
      <x:c r="DF12" s="2"/>
      <x:c r="DG12" s="2"/>
      <x:c r="DH12" s="2"/>
      <x:c r="DI12" s="2"/>
      <x:c r="DJ12" s="2"/>
      <x:c r="DK12" s="2"/>
      <x:c r="DL12" s="2"/>
      <x:c r="DM12" s="2"/>
      <x:c r="DN12" s="2"/>
      <x:c r="DO12" s="2"/>
      <x:c r="DP12" s="2"/>
      <x:c r="DQ12" s="2"/>
      <x:c r="DR12" s="2"/>
      <x:c r="DS12" s="2"/>
      <x:c r="DT12" s="2"/>
      <x:c r="DU12" s="2"/>
      <x:c r="DV12" s="2"/>
      <x:c r="DW12" s="2"/>
      <x:c r="DX12" s="2"/>
      <x:c r="DY12" s="2"/>
      <x:c r="DZ12" s="2"/>
      <x:c r="EA12" s="2"/>
      <x:c r="EB12" s="2"/>
      <x:c r="EC12" s="2"/>
      <x:c r="ED12" s="2"/>
      <x:c r="EE12" s="2"/>
      <x:c r="EF12" s="2"/>
      <x:c r="EG12" s="2"/>
      <x:c r="EH12" s="2"/>
      <x:c r="EI12" s="2"/>
      <x:c r="EJ12" s="2"/>
      <x:c r="EK12" s="2"/>
      <x:c r="EL12" s="2"/>
      <x:c r="EM12" s="2"/>
    </x:row>
    <x:row r="13" ht="84">
      <x:c r="A13" s="2" t="s">
        <x:v>71</x:v>
      </x:c>
      <x:c r="B13" s="2" t="s">
        <x:v>330</x:v>
      </x:c>
      <x:c r="C13" s="2" t="s">
        <x:v>3233</x:v>
      </x:c>
      <x:c r="D13" s="2" t="s">
        <x:v>381</x:v>
      </x:c>
      <x:c r="E13" s="2" t="s">
        <x:v>1336</x:v>
      </x:c>
      <x:c r="F13" s="2" t="s">
        <x:v>1409</x:v>
      </x:c>
      <x:c r="G13" s="2" t="s">
        <x:v>2045</x:v>
      </x:c>
      <x:c r="H13" s="2" t="s">
        <x:v>382</x:v>
      </x:c>
      <x:c r="I13" s="2" t="s">
        <x:v>373</x:v>
      </x:c>
      <x:c r="J13" s="2" t="s">
        <x:v>383</x:v>
      </x:c>
      <x:c r="K13" s="2" t="s">
        <x:v>3060</x:v>
      </x:c>
      <x:c r="L13" s="2" t="s">
        <x:v>3250</x:v>
      </x:c>
      <x:c r="M13" s="2" t="s">
        <x:v>1473</x:v>
      </x:c>
      <x:c r="N13" s="2" t="s">
        <x:v>169</x:v>
      </x:c>
      <x:c r="O13" s="2" t="s">
        <x:v>2047</x:v>
      </x:c>
      <x:c r="P13" s="2" t="s">
        <x:v>358</x:v>
      </x:c>
      <x:c r="Q13" s="2" t="s">
        <x:v>172</x:v>
      </x:c>
      <x:c r="R13" s="2" t="s">
        <x:v>1381</x:v>
      </x:c>
      <x:c r="S13" s="2" t="s">
        <x:v>3219</x:v>
      </x:c>
      <x:c r="T13" s="2" t="s">
        <x:v>3915</x:v>
      </x:c>
      <x:c r="U13" s="2" t="s">
        <x:v>3458</x:v>
      </x:c>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2"/>
      <x:c r="CO13" s="2"/>
      <x:c r="CP13" s="2"/>
      <x:c r="CQ13" s="2"/>
      <x:c r="CR13" s="2"/>
      <x:c r="CS13" s="2"/>
      <x:c r="CT13" s="2"/>
      <x:c r="CU13" s="2"/>
      <x:c r="CV13" s="2"/>
      <x:c r="CW13" s="2"/>
      <x:c r="CX13" s="2"/>
      <x:c r="CY13" s="2"/>
      <x:c r="CZ13" s="2"/>
      <x:c r="DA13" s="2"/>
      <x:c r="DB13" s="2"/>
      <x:c r="DC13" s="2"/>
      <x:c r="DD13" s="2"/>
      <x:c r="DE13" s="2"/>
      <x:c r="DF13" s="2"/>
      <x:c r="DG13" s="2"/>
      <x:c r="DH13" s="2"/>
      <x:c r="DI13" s="2"/>
      <x:c r="DJ13" s="2"/>
      <x:c r="DK13" s="2"/>
      <x:c r="DL13" s="2"/>
      <x:c r="DM13" s="2"/>
      <x:c r="DN13" s="2"/>
      <x:c r="DO13" s="2"/>
      <x:c r="DP13" s="2"/>
      <x:c r="DQ13" s="2"/>
      <x:c r="DR13" s="2"/>
      <x:c r="DS13" s="2"/>
      <x:c r="DT13" s="2"/>
      <x:c r="DU13" s="2"/>
      <x:c r="DV13" s="2"/>
      <x:c r="DW13" s="2"/>
      <x:c r="DX13" s="2"/>
      <x:c r="DY13" s="2"/>
      <x:c r="DZ13" s="2"/>
      <x:c r="EA13" s="2"/>
      <x:c r="EB13" s="2"/>
      <x:c r="EC13" s="2"/>
      <x:c r="ED13" s="2"/>
      <x:c r="EE13" s="2"/>
      <x:c r="EF13" s="2"/>
      <x:c r="EG13" s="2"/>
      <x:c r="EH13" s="2"/>
      <x:c r="EI13" s="2"/>
      <x:c r="EJ13" s="2"/>
      <x:c r="EK13" s="2"/>
      <x:c r="EL13" s="2"/>
      <x:c r="EM13" s="2"/>
    </x:row>
    <x:row r="14" ht="84">
      <x:c r="A14" s="2" t="s">
        <x:v>72</x:v>
      </x:c>
      <x:c r="B14" s="2" t="s">
        <x:v>200</x:v>
      </x:c>
      <x:c r="C14" s="2" t="s">
        <x:v>3</x:v>
      </x:c>
      <x:c r="D14" s="2" t="s">
        <x:v>2347</x:v>
      </x:c>
      <x:c r="E14" s="2" t="s">
        <x:v>1336</x:v>
      </x:c>
      <x:c r="F14" s="2" t="s">
        <x:v>1337</x:v>
      </x:c>
      <x:c r="G14" s="2" t="s">
        <x:v>314</x:v>
      </x:c>
      <x:c r="H14" s="2" t="s">
        <x:v>405</x:v>
      </x:c>
      <x:c r="I14" s="2" t="s">
        <x:v>169</x:v>
      </x:c>
      <x:c r="J14" s="2" t="s">
        <x:v>314</x:v>
      </x:c>
      <x:c r="K14" s="2" t="s">
        <x:v>405</x:v>
      </x:c>
      <x:c r="L14" s="2" t="s">
        <x:v>3252</x:v>
      </x:c>
      <x:c r="M14" s="2" t="s">
        <x:v>3253</x:v>
      </x:c>
      <x:c r="N14" s="2" t="s">
        <x:v>169</x:v>
      </x:c>
      <x:c r="O14" s="2" t="s">
        <x:v>1707</x:v>
      </x:c>
      <x:c r="P14" s="2" t="s">
        <x:v>1465</x:v>
      </x:c>
      <x:c r="Q14" s="2" t="s">
        <x:v>172</x:v>
      </x:c>
      <x:c r="R14" s="2" t="s">
        <x:v>1381</x:v>
      </x:c>
      <x:c r="S14" s="2" t="s">
        <x:v>3219</x:v>
      </x:c>
      <x:c r="T14" s="2" t="s">
        <x:v>3919</x:v>
      </x:c>
      <x:c r="U14" s="2" t="s">
        <x:v>3254</x:v>
      </x:c>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2"/>
      <x:c r="CO14" s="2"/>
      <x:c r="CP14" s="2"/>
      <x:c r="CQ14" s="2"/>
      <x:c r="CR14" s="2"/>
      <x:c r="CS14" s="2"/>
      <x:c r="CT14" s="2"/>
      <x:c r="CU14" s="2"/>
      <x:c r="CV14" s="2"/>
      <x:c r="CW14" s="2"/>
      <x:c r="CX14" s="2"/>
      <x:c r="CY14" s="2"/>
      <x:c r="CZ14" s="2"/>
      <x:c r="DA14" s="2"/>
      <x:c r="DB14" s="2"/>
      <x:c r="DC14" s="2"/>
      <x:c r="DD14" s="2"/>
      <x:c r="DE14" s="2"/>
      <x:c r="DF14" s="2"/>
      <x:c r="DG14" s="2"/>
      <x:c r="DH14" s="2"/>
      <x:c r="DI14" s="2"/>
      <x:c r="DJ14" s="2"/>
      <x:c r="DK14" s="2"/>
      <x:c r="DL14" s="2"/>
      <x:c r="DM14" s="2"/>
      <x:c r="DN14" s="2"/>
      <x:c r="DO14" s="2"/>
      <x:c r="DP14" s="2"/>
      <x:c r="DQ14" s="2"/>
      <x:c r="DR14" s="2"/>
      <x:c r="DS14" s="2"/>
      <x:c r="DT14" s="2"/>
      <x:c r="DU14" s="2"/>
      <x:c r="DV14" s="2"/>
      <x:c r="DW14" s="2"/>
      <x:c r="DX14" s="2"/>
      <x:c r="DY14" s="2"/>
      <x:c r="DZ14" s="2"/>
      <x:c r="EA14" s="2"/>
      <x:c r="EB14" s="2"/>
      <x:c r="EC14" s="2"/>
      <x:c r="ED14" s="2"/>
      <x:c r="EE14" s="2"/>
      <x:c r="EF14" s="2"/>
      <x:c r="EG14" s="2"/>
      <x:c r="EH14" s="2"/>
      <x:c r="EI14" s="2"/>
      <x:c r="EJ14" s="2"/>
      <x:c r="EK14" s="2"/>
      <x:c r="EL14" s="2"/>
      <x:c r="EM14" s="2"/>
    </x:row>
    <x:row r="15" ht="84">
      <x:c r="A15" s="2" t="s">
        <x:v>72</x:v>
      </x:c>
      <x:c r="B15" s="2" t="s">
        <x:v>1353</x:v>
      </x:c>
      <x:c r="C15" s="2" t="s">
        <x:v>3225</x:v>
      </x:c>
      <x:c r="D15" s="2" t="s">
        <x:v>410</x:v>
      </x:c>
      <x:c r="E15" s="2" t="s">
        <x:v>1336</x:v>
      </x:c>
      <x:c r="F15" s="2" t="s">
        <x:v>1337</x:v>
      </x:c>
      <x:c r="G15" s="2" t="s">
        <x:v>1466</x:v>
      </x:c>
      <x:c r="H15" s="2" t="s">
        <x:v>411</x:v>
      </x:c>
      <x:c r="I15" s="2" t="s">
        <x:v>314</x:v>
      </x:c>
      <x:c r="J15" s="2" t="s">
        <x:v>229</x:v>
      </x:c>
      <x:c r="K15" s="2" t="s">
        <x:v>1717</x:v>
      </x:c>
      <x:c r="L15" s="2" t="s">
        <x:v>3255</x:v>
      </x:c>
      <x:c r="M15" s="2" t="s">
        <x:v>3256</x:v>
      </x:c>
      <x:c r="N15" s="2" t="s">
        <x:v>169</x:v>
      </x:c>
      <x:c r="O15" s="2" t="s">
        <x:v>2353</x:v>
      </x:c>
      <x:c r="P15" s="2" t="s">
        <x:v>1573</x:v>
      </x:c>
      <x:c r="Q15" s="2" t="s">
        <x:v>172</x:v>
      </x:c>
      <x:c r="R15" s="2" t="s">
        <x:v>1381</x:v>
      </x:c>
      <x:c r="S15" s="2" t="s">
        <x:v>3219</x:v>
      </x:c>
      <x:c r="T15" s="2" t="s">
        <x:v>3919</x:v>
      </x:c>
      <x:c r="U15" s="2" t="s">
        <x:v>3257</x:v>
      </x:c>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x:c r="CB15" s="2"/>
      <x:c r="CC15" s="2"/>
      <x:c r="CD15" s="2"/>
      <x:c r="CE15" s="2"/>
      <x:c r="CF15" s="2"/>
      <x:c r="CG15" s="2"/>
      <x:c r="CH15" s="2"/>
      <x:c r="CI15" s="2"/>
      <x:c r="CJ15" s="2"/>
      <x:c r="CK15" s="2"/>
      <x:c r="CL15" s="2"/>
      <x:c r="CM15" s="2"/>
      <x:c r="CN15" s="2"/>
      <x:c r="CO15" s="2"/>
      <x:c r="CP15" s="2"/>
      <x:c r="CQ15" s="2"/>
      <x:c r="CR15" s="2"/>
      <x:c r="CS15" s="2"/>
      <x:c r="CT15" s="2"/>
      <x:c r="CU15" s="2"/>
      <x:c r="CV15" s="2"/>
      <x:c r="CW15" s="2"/>
      <x:c r="CX15" s="2"/>
      <x:c r="CY15" s="2"/>
      <x:c r="CZ15" s="2"/>
      <x:c r="DA15" s="2"/>
      <x:c r="DB15" s="2"/>
      <x:c r="DC15" s="2"/>
      <x:c r="DD15" s="2"/>
      <x:c r="DE15" s="2"/>
      <x:c r="DF15" s="2"/>
      <x:c r="DG15" s="2"/>
      <x:c r="DH15" s="2"/>
      <x:c r="DI15" s="2"/>
      <x:c r="DJ15" s="2"/>
      <x:c r="DK15" s="2"/>
      <x:c r="DL15" s="2"/>
      <x:c r="DM15" s="2"/>
      <x:c r="DN15" s="2"/>
      <x:c r="DO15" s="2"/>
      <x:c r="DP15" s="2"/>
      <x:c r="DQ15" s="2"/>
      <x:c r="DR15" s="2"/>
      <x:c r="DS15" s="2"/>
      <x:c r="DT15" s="2"/>
      <x:c r="DU15" s="2"/>
      <x:c r="DV15" s="2"/>
      <x:c r="DW15" s="2"/>
      <x:c r="DX15" s="2"/>
      <x:c r="DY15" s="2"/>
      <x:c r="DZ15" s="2"/>
      <x:c r="EA15" s="2"/>
      <x:c r="EB15" s="2"/>
      <x:c r="EC15" s="2"/>
      <x:c r="ED15" s="2"/>
      <x:c r="EE15" s="2"/>
      <x:c r="EF15" s="2"/>
      <x:c r="EG15" s="2"/>
      <x:c r="EH15" s="2"/>
      <x:c r="EI15" s="2"/>
      <x:c r="EJ15" s="2"/>
      <x:c r="EK15" s="2"/>
      <x:c r="EL15" s="2"/>
      <x:c r="EM15" s="2"/>
    </x:row>
    <x:row r="16" ht="101">
      <x:c r="A16" s="2" t="s">
        <x:v>73</x:v>
      </x:c>
      <x:c r="B16" s="2" t="s">
        <x:v>200</x:v>
      </x:c>
      <x:c r="C16" s="2" t="s">
        <x:v>3</x:v>
      </x:c>
      <x:c r="D16" s="2" t="s">
        <x:v>457</x:v>
      </x:c>
      <x:c r="E16" s="2" t="s">
        <x:v>1336</x:v>
      </x:c>
      <x:c r="F16" s="2" t="s">
        <x:v>1409</x:v>
      </x:c>
      <x:c r="G16" s="2" t="s">
        <x:v>459</x:v>
      </x:c>
      <x:c r="H16" s="2" t="s">
        <x:v>458</x:v>
      </x:c>
      <x:c r="I16" s="2" t="s">
        <x:v>169</x:v>
      </x:c>
      <x:c r="J16" s="2" t="s">
        <x:v>459</x:v>
      </x:c>
      <x:c r="K16" s="2" t="s">
        <x:v>458</x:v>
      </x:c>
      <x:c r="L16" s="2" t="s">
        <x:v>1524</x:v>
      </x:c>
      <x:c r="M16" s="2" t="s">
        <x:v>1526</x:v>
      </x:c>
      <x:c r="N16" s="2" t="s">
        <x:v>169</x:v>
      </x:c>
      <x:c r="O16" s="2" t="s">
        <x:v>1506</x:v>
      </x:c>
      <x:c r="P16" s="2" t="s">
        <x:v>1353</x:v>
      </x:c>
      <x:c r="Q16" s="2" t="s">
        <x:v>172</x:v>
      </x:c>
      <x:c r="R16" s="2" t="s">
        <x:v>1541</x:v>
      </x:c>
      <x:c r="S16" s="2" t="s">
        <x:v>3219</x:v>
      </x:c>
      <x:c r="T16" s="2" t="s">
        <x:v>3915</x:v>
      </x:c>
      <x:c r="U16" s="2" t="s">
        <x:v>3258</x:v>
      </x:c>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c r="AY16" s="2"/>
      <x:c r="AZ16" s="2"/>
      <x:c r="BA16" s="2"/>
      <x:c r="BB16" s="2"/>
      <x:c r="BC16" s="2"/>
      <x:c r="BD16" s="2"/>
      <x:c r="BE16" s="2"/>
      <x:c r="BF16" s="2"/>
      <x:c r="BG16" s="2"/>
      <x:c r="BH16" s="2"/>
      <x:c r="BI16" s="2"/>
      <x:c r="BJ16" s="2"/>
      <x:c r="BK16" s="2"/>
      <x:c r="BL16" s="2"/>
      <x:c r="BM16" s="2"/>
      <x:c r="BN16" s="2"/>
      <x:c r="BO16" s="2"/>
      <x:c r="BP16" s="2"/>
      <x:c r="BQ16" s="2"/>
      <x:c r="BR16" s="2"/>
      <x:c r="BS16" s="2"/>
      <x:c r="BT16" s="2"/>
      <x:c r="BU16" s="2"/>
      <x:c r="BV16" s="2"/>
      <x:c r="BW16" s="2"/>
      <x:c r="BX16" s="2"/>
      <x:c r="BY16" s="2"/>
      <x:c r="BZ16" s="2"/>
      <x:c r="CA16" s="2"/>
      <x:c r="CB16" s="2"/>
      <x:c r="CC16" s="2"/>
      <x:c r="CD16" s="2"/>
      <x:c r="CE16" s="2"/>
      <x:c r="CF16" s="2"/>
      <x:c r="CG16" s="2"/>
      <x:c r="CH16" s="2"/>
      <x:c r="CI16" s="2"/>
      <x:c r="CJ16" s="2"/>
      <x:c r="CK16" s="2"/>
      <x:c r="CL16" s="2"/>
      <x:c r="CM16" s="2"/>
      <x:c r="CN16" s="2"/>
      <x:c r="CO16" s="2"/>
      <x:c r="CP16" s="2"/>
      <x:c r="CQ16" s="2"/>
      <x:c r="CR16" s="2"/>
      <x:c r="CS16" s="2"/>
      <x:c r="CT16" s="2"/>
      <x:c r="CU16" s="2"/>
      <x:c r="CV16" s="2"/>
      <x:c r="CW16" s="2"/>
      <x:c r="CX16" s="2"/>
      <x:c r="CY16" s="2"/>
      <x:c r="CZ16" s="2"/>
      <x:c r="DA16" s="2"/>
      <x:c r="DB16" s="2"/>
      <x:c r="DC16" s="2"/>
      <x:c r="DD16" s="2"/>
      <x:c r="DE16" s="2"/>
      <x:c r="DF16" s="2"/>
      <x:c r="DG16" s="2"/>
      <x:c r="DH16" s="2"/>
      <x:c r="DI16" s="2"/>
      <x:c r="DJ16" s="2"/>
      <x:c r="DK16" s="2"/>
      <x:c r="DL16" s="2"/>
      <x:c r="DM16" s="2"/>
      <x:c r="DN16" s="2"/>
      <x:c r="DO16" s="2"/>
      <x:c r="DP16" s="2"/>
      <x:c r="DQ16" s="2"/>
      <x:c r="DR16" s="2"/>
      <x:c r="DS16" s="2"/>
      <x:c r="DT16" s="2"/>
      <x:c r="DU16" s="2"/>
      <x:c r="DV16" s="2"/>
      <x:c r="DW16" s="2"/>
      <x:c r="DX16" s="2"/>
      <x:c r="DY16" s="2"/>
      <x:c r="DZ16" s="2"/>
      <x:c r="EA16" s="2"/>
      <x:c r="EB16" s="2"/>
      <x:c r="EC16" s="2"/>
      <x:c r="ED16" s="2"/>
      <x:c r="EE16" s="2"/>
      <x:c r="EF16" s="2"/>
      <x:c r="EG16" s="2"/>
      <x:c r="EH16" s="2"/>
      <x:c r="EI16" s="2"/>
      <x:c r="EJ16" s="2"/>
      <x:c r="EK16" s="2"/>
      <x:c r="EL16" s="2"/>
      <x:c r="EM16" s="2"/>
    </x:row>
    <x:row r="17" ht="101">
      <x:c r="A17" s="2" t="s">
        <x:v>73</x:v>
      </x:c>
      <x:c r="B17" s="2" t="s">
        <x:v>1353</x:v>
      </x:c>
      <x:c r="C17" s="2" t="s">
        <x:v>3225</x:v>
      </x:c>
      <x:c r="D17" s="2" t="s">
        <x:v>461</x:v>
      </x:c>
      <x:c r="E17" s="2" t="s">
        <x:v>1336</x:v>
      </x:c>
      <x:c r="F17" s="2" t="s">
        <x:v>1409</x:v>
      </x:c>
      <x:c r="G17" s="2" t="s">
        <x:v>467</x:v>
      </x:c>
      <x:c r="H17" s="2" t="s">
        <x:v>462</x:v>
      </x:c>
      <x:c r="I17" s="2" t="s">
        <x:v>459</x:v>
      </x:c>
      <x:c r="J17" s="2" t="s">
        <x:v>463</x:v>
      </x:c>
      <x:c r="K17" s="2" t="s">
        <x:v>3067</x:v>
      </x:c>
      <x:c r="L17" s="2" t="s">
        <x:v>1526</x:v>
      </x:c>
      <x:c r="M17" s="2" t="s">
        <x:v>1528</x:v>
      </x:c>
      <x:c r="N17" s="2" t="s">
        <x:v>169</x:v>
      </x:c>
      <x:c r="O17" s="2" t="s">
        <x:v>2082</x:v>
      </x:c>
      <x:c r="P17" s="2" t="s">
        <x:v>200</x:v>
      </x:c>
      <x:c r="Q17" s="2" t="s">
        <x:v>172</x:v>
      </x:c>
      <x:c r="R17" s="2" t="s">
        <x:v>1541</x:v>
      </x:c>
      <x:c r="S17" s="2" t="s">
        <x:v>3219</x:v>
      </x:c>
      <x:c r="T17" s="2" t="s">
        <x:v>3915</x:v>
      </x:c>
      <x:c r="U17" s="2" t="s">
        <x:v>3259</x:v>
      </x:c>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2"/>
      <x:c r="CO17" s="2"/>
      <x:c r="CP17" s="2"/>
      <x:c r="CQ17" s="2"/>
      <x:c r="CR17" s="2"/>
      <x:c r="CS17" s="2"/>
      <x:c r="CT17" s="2"/>
      <x:c r="CU17" s="2"/>
      <x:c r="CV17" s="2"/>
      <x:c r="CW17" s="2"/>
      <x:c r="CX17" s="2"/>
      <x:c r="CY17" s="2"/>
      <x:c r="CZ17" s="2"/>
      <x:c r="DA17" s="2"/>
      <x:c r="DB17" s="2"/>
      <x:c r="DC17" s="2"/>
      <x:c r="DD17" s="2"/>
      <x:c r="DE17" s="2"/>
      <x:c r="DF17" s="2"/>
      <x:c r="DG17" s="2"/>
      <x:c r="DH17" s="2"/>
      <x:c r="DI17" s="2"/>
      <x:c r="DJ17" s="2"/>
      <x:c r="DK17" s="2"/>
      <x:c r="DL17" s="2"/>
      <x:c r="DM17" s="2"/>
      <x:c r="DN17" s="2"/>
      <x:c r="DO17" s="2"/>
      <x:c r="DP17" s="2"/>
      <x:c r="DQ17" s="2"/>
      <x:c r="DR17" s="2"/>
      <x:c r="DS17" s="2"/>
      <x:c r="DT17" s="2"/>
      <x:c r="DU17" s="2"/>
      <x:c r="DV17" s="2"/>
      <x:c r="DW17" s="2"/>
      <x:c r="DX17" s="2"/>
      <x:c r="DY17" s="2"/>
      <x:c r="DZ17" s="2"/>
      <x:c r="EA17" s="2"/>
      <x:c r="EB17" s="2"/>
      <x:c r="EC17" s="2"/>
      <x:c r="ED17" s="2"/>
      <x:c r="EE17" s="2"/>
      <x:c r="EF17" s="2"/>
      <x:c r="EG17" s="2"/>
      <x:c r="EH17" s="2"/>
      <x:c r="EI17" s="2"/>
      <x:c r="EJ17" s="2"/>
      <x:c r="EK17" s="2"/>
      <x:c r="EL17" s="2"/>
      <x:c r="EM17" s="2"/>
    </x:row>
    <x:row r="18" ht="84">
      <x:c r="A18" s="2" t="s">
        <x:v>73</x:v>
      </x:c>
      <x:c r="B18" s="2" t="s">
        <x:v>1466</x:v>
      </x:c>
      <x:c r="C18" s="2" t="s">
        <x:v>3916</x:v>
      </x:c>
      <x:c r="D18" s="2" t="s">
        <x:v>465</x:v>
      </x:c>
      <x:c r="E18" s="2" t="s">
        <x:v>1336</x:v>
      </x:c>
      <x:c r="F18" s="2" t="s">
        <x:v>1409</x:v>
      </x:c>
      <x:c r="G18" s="2" t="s">
        <x:v>459</x:v>
      </x:c>
      <x:c r="H18" s="2" t="s">
        <x:v>466</x:v>
      </x:c>
      <x:c r="I18" s="2" t="s">
        <x:v>463</x:v>
      </x:c>
      <x:c r="J18" s="2" t="s">
        <x:v>467</x:v>
      </x:c>
      <x:c r="K18" s="2" t="s">
        <x:v>3067</x:v>
      </x:c>
      <x:c r="L18" s="2" t="s">
        <x:v>3920</x:v>
      </x:c>
      <x:c r="M18" s="2" t="s">
        <x:v>3261</x:v>
      </x:c>
      <x:c r="N18" s="2" t="s">
        <x:v>169</x:v>
      </x:c>
      <x:c r="O18" s="2" t="s">
        <x:v>2085</x:v>
      </x:c>
      <x:c r="P18" s="2" t="s">
        <x:v>200</x:v>
      </x:c>
      <x:c r="Q18" s="2" t="s">
        <x:v>172</x:v>
      </x:c>
      <x:c r="R18" s="2" t="s">
        <x:v>1541</x:v>
      </x:c>
      <x:c r="S18" s="2" t="s">
        <x:v>3219</x:v>
      </x:c>
      <x:c r="T18" s="2" t="s">
        <x:v>3915</x:v>
      </x:c>
      <x:c r="U18" s="2" t="s">
        <x:v>3263</x:v>
      </x:c>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2"/>
      <x:c r="CO18" s="2"/>
      <x:c r="CP18" s="2"/>
      <x:c r="CQ18" s="2"/>
      <x:c r="CR18" s="2"/>
      <x:c r="CS18" s="2"/>
      <x:c r="CT18" s="2"/>
      <x:c r="CU18" s="2"/>
      <x:c r="CV18" s="2"/>
      <x:c r="CW18" s="2"/>
      <x:c r="CX18" s="2"/>
      <x:c r="CY18" s="2"/>
      <x:c r="CZ18" s="2"/>
      <x:c r="DA18" s="2"/>
      <x:c r="DB18" s="2"/>
      <x:c r="DC18" s="2"/>
      <x:c r="DD18" s="2"/>
      <x:c r="DE18" s="2"/>
      <x:c r="DF18" s="2"/>
      <x:c r="DG18" s="2"/>
      <x:c r="DH18" s="2"/>
      <x:c r="DI18" s="2"/>
      <x:c r="DJ18" s="2"/>
      <x:c r="DK18" s="2"/>
      <x:c r="DL18" s="2"/>
      <x:c r="DM18" s="2"/>
      <x:c r="DN18" s="2"/>
      <x:c r="DO18" s="2"/>
      <x:c r="DP18" s="2"/>
      <x:c r="DQ18" s="2"/>
      <x:c r="DR18" s="2"/>
      <x:c r="DS18" s="2"/>
      <x:c r="DT18" s="2"/>
      <x:c r="DU18" s="2"/>
      <x:c r="DV18" s="2"/>
      <x:c r="DW18" s="2"/>
      <x:c r="DX18" s="2"/>
      <x:c r="DY18" s="2"/>
      <x:c r="DZ18" s="2"/>
      <x:c r="EA18" s="2"/>
      <x:c r="EB18" s="2"/>
      <x:c r="EC18" s="2"/>
      <x:c r="ED18" s="2"/>
      <x:c r="EE18" s="2"/>
      <x:c r="EF18" s="2"/>
      <x:c r="EG18" s="2"/>
      <x:c r="EH18" s="2"/>
      <x:c r="EI18" s="2"/>
      <x:c r="EJ18" s="2"/>
      <x:c r="EK18" s="2"/>
      <x:c r="EL18" s="2"/>
      <x:c r="EM18" s="2"/>
    </x:row>
    <x:row r="19" ht="84">
      <x:c r="A19" s="2" t="s">
        <x:v>73</x:v>
      </x:c>
      <x:c r="B19" s="2" t="s">
        <x:v>218</x:v>
      </x:c>
      <x:c r="C19" s="2" t="s">
        <x:v>3230</x:v>
      </x:c>
      <x:c r="D19" s="2" t="s">
        <x:v>469</x:v>
      </x:c>
      <x:c r="E19" s="2" t="s">
        <x:v>1336</x:v>
      </x:c>
      <x:c r="F19" s="2" t="s">
        <x:v>1409</x:v>
      </x:c>
      <x:c r="G19" s="2" t="s">
        <x:v>467</x:v>
      </x:c>
      <x:c r="H19" s="2" t="s">
        <x:v>470</x:v>
      </x:c>
      <x:c r="I19" s="2" t="s">
        <x:v>467</x:v>
      </x:c>
      <x:c r="J19" s="2" t="s">
        <x:v>459</x:v>
      </x:c>
      <x:c r="K19" s="2" t="s">
        <x:v>3260</x:v>
      </x:c>
      <x:c r="L19" s="2" t="s">
        <x:v>3261</x:v>
      </x:c>
      <x:c r="M19" s="2" t="s">
        <x:v>3262</x:v>
      </x:c>
      <x:c r="N19" s="2" t="s">
        <x:v>169</x:v>
      </x:c>
      <x:c r="O19" s="2" t="s">
        <x:v>2088</x:v>
      </x:c>
      <x:c r="P19" s="2" t="s">
        <x:v>200</x:v>
      </x:c>
      <x:c r="Q19" s="2" t="s">
        <x:v>172</x:v>
      </x:c>
      <x:c r="R19" s="2" t="s">
        <x:v>1541</x:v>
      </x:c>
      <x:c r="S19" s="2" t="s">
        <x:v>3219</x:v>
      </x:c>
      <x:c r="T19" s="2" t="s">
        <x:v>3915</x:v>
      </x:c>
      <x:c r="U19" s="2" t="s">
        <x:v>3267</x:v>
      </x:c>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c r="AT19" s="2"/>
      <x:c r="AU19" s="2"/>
      <x:c r="AV19" s="2"/>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2"/>
      <x:c r="CO19" s="2"/>
      <x:c r="CP19" s="2"/>
      <x:c r="CQ19" s="2"/>
      <x:c r="CR19" s="2"/>
      <x:c r="CS19" s="2"/>
      <x:c r="CT19" s="2"/>
      <x:c r="CU19" s="2"/>
      <x:c r="CV19" s="2"/>
      <x:c r="CW19" s="2"/>
      <x:c r="CX19" s="2"/>
      <x:c r="CY19" s="2"/>
      <x:c r="CZ19" s="2"/>
      <x:c r="DA19" s="2"/>
      <x:c r="DB19" s="2"/>
      <x:c r="DC19" s="2"/>
      <x:c r="DD19" s="2"/>
      <x:c r="DE19" s="2"/>
      <x:c r="DF19" s="2"/>
      <x:c r="DG19" s="2"/>
      <x:c r="DH19" s="2"/>
      <x:c r="DI19" s="2"/>
      <x:c r="DJ19" s="2"/>
      <x:c r="DK19" s="2"/>
      <x:c r="DL19" s="2"/>
      <x:c r="DM19" s="2"/>
      <x:c r="DN19" s="2"/>
      <x:c r="DO19" s="2"/>
      <x:c r="DP19" s="2"/>
      <x:c r="DQ19" s="2"/>
      <x:c r="DR19" s="2"/>
      <x:c r="DS19" s="2"/>
      <x:c r="DT19" s="2"/>
      <x:c r="DU19" s="2"/>
      <x:c r="DV19" s="2"/>
      <x:c r="DW19" s="2"/>
      <x:c r="DX19" s="2"/>
      <x:c r="DY19" s="2"/>
      <x:c r="DZ19" s="2"/>
      <x:c r="EA19" s="2"/>
      <x:c r="EB19" s="2"/>
      <x:c r="EC19" s="2"/>
      <x:c r="ED19" s="2"/>
      <x:c r="EE19" s="2"/>
      <x:c r="EF19" s="2"/>
      <x:c r="EG19" s="2"/>
      <x:c r="EH19" s="2"/>
      <x:c r="EI19" s="2"/>
      <x:c r="EJ19" s="2"/>
      <x:c r="EK19" s="2"/>
      <x:c r="EL19" s="2"/>
      <x:c r="EM19" s="2"/>
    </x:row>
    <x:row r="20" ht="101">
      <x:c r="A20" s="2" t="s">
        <x:v>73</x:v>
      </x:c>
      <x:c r="B20" s="2" t="s">
        <x:v>314</x:v>
      </x:c>
      <x:c r="C20" s="2" t="s">
        <x:v>3231</x:v>
      </x:c>
      <x:c r="D20" s="2" t="s">
        <x:v>472</x:v>
      </x:c>
      <x:c r="E20" s="2" t="s">
        <x:v>1336</x:v>
      </x:c>
      <x:c r="F20" s="2" t="s">
        <x:v>1409</x:v>
      </x:c>
      <x:c r="G20" s="2" t="s">
        <x:v>467</x:v>
      </x:c>
      <x:c r="H20" s="2" t="s">
        <x:v>473</x:v>
      </x:c>
      <x:c r="I20" s="2" t="s">
        <x:v>459</x:v>
      </x:c>
      <x:c r="J20" s="2" t="s">
        <x:v>463</x:v>
      </x:c>
      <x:c r="K20" s="2" t="s">
        <x:v>3264</x:v>
      </x:c>
      <x:c r="L20" s="2" t="s">
        <x:v>3265</x:v>
      </x:c>
      <x:c r="M20" s="2" t="s">
        <x:v>3266</x:v>
      </x:c>
      <x:c r="N20" s="2" t="s">
        <x:v>169</x:v>
      </x:c>
      <x:c r="O20" s="2" t="s">
        <x:v>2091</x:v>
      </x:c>
      <x:c r="P20" s="2" t="s">
        <x:v>200</x:v>
      </x:c>
      <x:c r="Q20" s="2" t="s">
        <x:v>172</x:v>
      </x:c>
      <x:c r="R20" s="2" t="s">
        <x:v>1541</x:v>
      </x:c>
      <x:c r="S20" s="2" t="s">
        <x:v>3219</x:v>
      </x:c>
      <x:c r="T20" s="2" t="s">
        <x:v>3915</x:v>
      </x:c>
      <x:c r="U20" s="2" t="s">
        <x:v>3921</x:v>
      </x:c>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2"/>
      <x:c r="CO20" s="2"/>
      <x:c r="CP20" s="2"/>
      <x:c r="CQ20" s="2"/>
      <x:c r="CR20" s="2"/>
      <x:c r="CS20" s="2"/>
      <x:c r="CT20" s="2"/>
      <x:c r="CU20" s="2"/>
      <x:c r="CV20" s="2"/>
      <x:c r="CW20" s="2"/>
      <x:c r="CX20" s="2"/>
      <x:c r="CY20" s="2"/>
      <x:c r="CZ20" s="2"/>
      <x:c r="DA20" s="2"/>
      <x:c r="DB20" s="2"/>
      <x:c r="DC20" s="2"/>
      <x:c r="DD20" s="2"/>
      <x:c r="DE20" s="2"/>
      <x:c r="DF20" s="2"/>
      <x:c r="DG20" s="2"/>
      <x:c r="DH20" s="2"/>
      <x:c r="DI20" s="2"/>
      <x:c r="DJ20" s="2"/>
      <x:c r="DK20" s="2"/>
      <x:c r="DL20" s="2"/>
      <x:c r="DM20" s="2"/>
      <x:c r="DN20" s="2"/>
      <x:c r="DO20" s="2"/>
      <x:c r="DP20" s="2"/>
      <x:c r="DQ20" s="2"/>
      <x:c r="DR20" s="2"/>
      <x:c r="DS20" s="2"/>
      <x:c r="DT20" s="2"/>
      <x:c r="DU20" s="2"/>
      <x:c r="DV20" s="2"/>
      <x:c r="DW20" s="2"/>
      <x:c r="DX20" s="2"/>
      <x:c r="DY20" s="2"/>
      <x:c r="DZ20" s="2"/>
      <x:c r="EA20" s="2"/>
      <x:c r="EB20" s="2"/>
      <x:c r="EC20" s="2"/>
      <x:c r="ED20" s="2"/>
      <x:c r="EE20" s="2"/>
      <x:c r="EF20" s="2"/>
      <x:c r="EG20" s="2"/>
      <x:c r="EH20" s="2"/>
      <x:c r="EI20" s="2"/>
      <x:c r="EJ20" s="2"/>
      <x:c r="EK20" s="2"/>
      <x:c r="EL20" s="2"/>
      <x:c r="EM20" s="2"/>
    </x:row>
    <x:row r="21" ht="101">
      <x:c r="A21" s="2" t="s">
        <x:v>74</x:v>
      </x:c>
      <x:c r="B21" s="2" t="s">
        <x:v>200</x:v>
      </x:c>
      <x:c r="C21" s="2" t="s">
        <x:v>3</x:v>
      </x:c>
      <x:c r="D21" s="2" t="s">
        <x:v>501</x:v>
      </x:c>
      <x:c r="E21" s="2" t="s">
        <x:v>1336</x:v>
      </x:c>
      <x:c r="F21" s="2" t="s">
        <x:v>1337</x:v>
      </x:c>
      <x:c r="G21" s="2" t="s">
        <x:v>314</x:v>
      </x:c>
      <x:c r="H21" s="2" t="s">
        <x:v>502</x:v>
      </x:c>
      <x:c r="I21" s="2" t="s">
        <x:v>169</x:v>
      </x:c>
      <x:c r="J21" s="2" t="s">
        <x:v>314</x:v>
      </x:c>
      <x:c r="K21" s="2" t="s">
        <x:v>502</x:v>
      </x:c>
      <x:c r="L21" s="2" t="s">
        <x:v>3268</x:v>
      </x:c>
      <x:c r="M21" s="2" t="s">
        <x:v>3269</x:v>
      </x:c>
      <x:c r="N21" s="2" t="s">
        <x:v>169</x:v>
      </x:c>
      <x:c r="O21" s="2" t="s">
        <x:v>1661</x:v>
      </x:c>
      <x:c r="P21" s="2" t="s">
        <x:v>1927</x:v>
      </x:c>
      <x:c r="Q21" s="2" t="s">
        <x:v>172</x:v>
      </x:c>
      <x:c r="R21" s="2" t="s">
        <x:v>1381</x:v>
      </x:c>
      <x:c r="S21" s="2" t="s">
        <x:v>3219</x:v>
      </x:c>
      <x:c r="T21" s="2" t="s">
        <x:v>3915</x:v>
      </x:c>
      <x:c r="U21" s="2" t="s">
        <x:v>3270</x:v>
      </x:c>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2"/>
      <x:c r="CO21" s="2"/>
      <x:c r="CP21" s="2"/>
      <x:c r="CQ21" s="2"/>
      <x:c r="CR21" s="2"/>
      <x:c r="CS21" s="2"/>
      <x:c r="CT21" s="2"/>
      <x:c r="CU21" s="2"/>
      <x:c r="CV21" s="2"/>
      <x:c r="CW21" s="2"/>
      <x:c r="CX21" s="2"/>
      <x:c r="CY21" s="2"/>
      <x:c r="CZ21" s="2"/>
      <x:c r="DA21" s="2"/>
      <x:c r="DB21" s="2"/>
      <x:c r="DC21" s="2"/>
      <x:c r="DD21" s="2"/>
      <x:c r="DE21" s="2"/>
      <x:c r="DF21" s="2"/>
      <x:c r="DG21" s="2"/>
      <x:c r="DH21" s="2"/>
      <x:c r="DI21" s="2"/>
      <x:c r="DJ21" s="2"/>
      <x:c r="DK21" s="2"/>
      <x:c r="DL21" s="2"/>
      <x:c r="DM21" s="2"/>
      <x:c r="DN21" s="2"/>
      <x:c r="DO21" s="2"/>
      <x:c r="DP21" s="2"/>
      <x:c r="DQ21" s="2"/>
      <x:c r="DR21" s="2"/>
      <x:c r="DS21" s="2"/>
      <x:c r="DT21" s="2"/>
      <x:c r="DU21" s="2"/>
      <x:c r="DV21" s="2"/>
      <x:c r="DW21" s="2"/>
      <x:c r="DX21" s="2"/>
      <x:c r="DY21" s="2"/>
      <x:c r="DZ21" s="2"/>
      <x:c r="EA21" s="2"/>
      <x:c r="EB21" s="2"/>
      <x:c r="EC21" s="2"/>
      <x:c r="ED21" s="2"/>
      <x:c r="EE21" s="2"/>
      <x:c r="EF21" s="2"/>
      <x:c r="EG21" s="2"/>
      <x:c r="EH21" s="2"/>
      <x:c r="EI21" s="2"/>
      <x:c r="EJ21" s="2"/>
      <x:c r="EK21" s="2"/>
      <x:c r="EL21" s="2"/>
      <x:c r="EM21" s="2"/>
    </x:row>
    <x:row r="22" ht="84">
      <x:c r="A22" s="2" t="s">
        <x:v>74</x:v>
      </x:c>
      <x:c r="B22" s="2" t="s">
        <x:v>1353</x:v>
      </x:c>
      <x:c r="C22" s="2" t="s">
        <x:v>3225</x:v>
      </x:c>
      <x:c r="D22" s="2" t="s">
        <x:v>520</x:v>
      </x:c>
      <x:c r="E22" s="2" t="s">
        <x:v>1336</x:v>
      </x:c>
      <x:c r="F22" s="2" t="s">
        <x:v>1337</x:v>
      </x:c>
      <x:c r="G22" s="2" t="s">
        <x:v>2301</x:v>
      </x:c>
      <x:c r="H22" s="2" t="s">
        <x:v>518</x:v>
      </x:c>
      <x:c r="I22" s="2" t="s">
        <x:v>314</x:v>
      </x:c>
      <x:c r="J22" s="2" t="s">
        <x:v>521</x:v>
      </x:c>
      <x:c r="K22" s="2" t="s">
        <x:v>3271</x:v>
      </x:c>
      <x:c r="L22" s="2" t="s">
        <x:v>3272</x:v>
      </x:c>
      <x:c r="M22" s="2" t="s">
        <x:v>3273</x:v>
      </x:c>
      <x:c r="N22" s="2" t="s">
        <x:v>169</x:v>
      </x:c>
      <x:c r="O22" s="2" t="s">
        <x:v>2303</x:v>
      </x:c>
      <x:c r="P22" s="2" t="s">
        <x:v>200</x:v>
      </x:c>
      <x:c r="Q22" s="2" t="s">
        <x:v>171</x:v>
      </x:c>
      <x:c r="R22" s="2" t="s">
        <x:v>1381</x:v>
      </x:c>
      <x:c r="S22" s="2" t="s">
        <x:v>3219</x:v>
      </x:c>
      <x:c r="T22" s="2" t="s">
        <x:v>3915</x:v>
      </x:c>
      <x:c r="U22" s="2" t="s">
        <x:v>3274</x:v>
      </x:c>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c r="AY22" s="2"/>
      <x:c r="AZ22" s="2"/>
      <x:c r="BA22" s="2"/>
      <x:c r="BB22" s="2"/>
      <x:c r="BC22" s="2"/>
      <x:c r="BD22" s="2"/>
      <x:c r="BE22" s="2"/>
      <x:c r="BF22" s="2"/>
      <x:c r="BG22" s="2"/>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2"/>
      <x:c r="CO22" s="2"/>
      <x:c r="CP22" s="2"/>
      <x:c r="CQ22" s="2"/>
      <x:c r="CR22" s="2"/>
      <x:c r="CS22" s="2"/>
      <x:c r="CT22" s="2"/>
      <x:c r="CU22" s="2"/>
      <x:c r="CV22" s="2"/>
      <x:c r="CW22" s="2"/>
      <x:c r="CX22" s="2"/>
      <x:c r="CY22" s="2"/>
      <x:c r="CZ22" s="2"/>
      <x:c r="DA22" s="2"/>
      <x:c r="DB22" s="2"/>
      <x:c r="DC22" s="2"/>
      <x:c r="DD22" s="2"/>
      <x:c r="DE22" s="2"/>
      <x:c r="DF22" s="2"/>
      <x:c r="DG22" s="2"/>
      <x:c r="DH22" s="2"/>
      <x:c r="DI22" s="2"/>
      <x:c r="DJ22" s="2"/>
      <x:c r="DK22" s="2"/>
      <x:c r="DL22" s="2"/>
      <x:c r="DM22" s="2"/>
      <x:c r="DN22" s="2"/>
      <x:c r="DO22" s="2"/>
      <x:c r="DP22" s="2"/>
      <x:c r="DQ22" s="2"/>
      <x:c r="DR22" s="2"/>
      <x:c r="DS22" s="2"/>
      <x:c r="DT22" s="2"/>
      <x:c r="DU22" s="2"/>
      <x:c r="DV22" s="2"/>
      <x:c r="DW22" s="2"/>
      <x:c r="DX22" s="2"/>
      <x:c r="DY22" s="2"/>
      <x:c r="DZ22" s="2"/>
      <x:c r="EA22" s="2"/>
      <x:c r="EB22" s="2"/>
      <x:c r="EC22" s="2"/>
      <x:c r="ED22" s="2"/>
      <x:c r="EE22" s="2"/>
      <x:c r="EF22" s="2"/>
      <x:c r="EG22" s="2"/>
      <x:c r="EH22" s="2"/>
      <x:c r="EI22" s="2"/>
      <x:c r="EJ22" s="2"/>
      <x:c r="EK22" s="2"/>
      <x:c r="EL22" s="2"/>
      <x:c r="EM22" s="2"/>
    </x:row>
    <x:row r="23" ht="84">
      <x:c r="A23" s="2" t="s">
        <x:v>74</x:v>
      </x:c>
      <x:c r="B23" s="2" t="s">
        <x:v>1466</x:v>
      </x:c>
      <x:c r="C23" s="2" t="s">
        <x:v>3230</x:v>
      </x:c>
      <x:c r="D23" s="2" t="s">
        <x:v>528</x:v>
      </x:c>
      <x:c r="E23" s="2" t="s">
        <x:v>1336</x:v>
      </x:c>
      <x:c r="F23" s="2" t="s">
        <x:v>1337</x:v>
      </x:c>
      <x:c r="G23" s="2" t="s">
        <x:v>2305</x:v>
      </x:c>
      <x:c r="H23" s="2" t="s">
        <x:v>529</x:v>
      </x:c>
      <x:c r="I23" s="2" t="s">
        <x:v>521</x:v>
      </x:c>
      <x:c r="J23" s="2" t="s">
        <x:v>530</x:v>
      </x:c>
      <x:c r="K23" s="2" t="s">
        <x:v>3072</x:v>
      </x:c>
      <x:c r="L23" s="2" t="s">
        <x:v>3275</x:v>
      </x:c>
      <x:c r="M23" s="2" t="s">
        <x:v>3276</x:v>
      </x:c>
      <x:c r="N23" s="2" t="s">
        <x:v>169</x:v>
      </x:c>
      <x:c r="O23" s="2" t="s">
        <x:v>2312</x:v>
      </x:c>
      <x:c r="P23" s="2" t="s">
        <x:v>638</x:v>
      </x:c>
      <x:c r="Q23" s="2" t="s">
        <x:v>172</x:v>
      </x:c>
      <x:c r="R23" s="2" t="s">
        <x:v>1381</x:v>
      </x:c>
      <x:c r="S23" s="2" t="s">
        <x:v>3219</x:v>
      </x:c>
      <x:c r="T23" s="2" t="s">
        <x:v>3915</x:v>
      </x:c>
      <x:c r="U23" s="2" t="s">
        <x:v>3277</x:v>
      </x:c>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c r="AY23" s="2"/>
      <x:c r="AZ23" s="2"/>
      <x:c r="BA23" s="2"/>
      <x:c r="BB23" s="2"/>
      <x:c r="BC23" s="2"/>
      <x:c r="BD23" s="2"/>
      <x:c r="BE23" s="2"/>
      <x:c r="BF23" s="2"/>
      <x:c r="BG23" s="2"/>
      <x:c r="BH23" s="2"/>
      <x:c r="BI23" s="2"/>
      <x:c r="BJ23" s="2"/>
      <x:c r="BK23" s="2"/>
      <x:c r="BL23" s="2"/>
      <x:c r="BM23" s="2"/>
      <x:c r="BN23" s="2"/>
      <x:c r="BO23" s="2"/>
      <x:c r="BP23" s="2"/>
      <x:c r="BQ23" s="2"/>
      <x:c r="BR23" s="2"/>
      <x:c r="BS23" s="2"/>
      <x:c r="BT23" s="2"/>
      <x:c r="BU23" s="2"/>
      <x:c r="BV23" s="2"/>
      <x:c r="BW23" s="2"/>
      <x:c r="BX23" s="2"/>
      <x:c r="BY23" s="2"/>
      <x:c r="BZ23" s="2"/>
      <x:c r="CA23" s="2"/>
      <x:c r="CB23" s="2"/>
      <x:c r="CC23" s="2"/>
      <x:c r="CD23" s="2"/>
      <x:c r="CE23" s="2"/>
      <x:c r="CF23" s="2"/>
      <x:c r="CG23" s="2"/>
      <x:c r="CH23" s="2"/>
      <x:c r="CI23" s="2"/>
      <x:c r="CJ23" s="2"/>
      <x:c r="CK23" s="2"/>
      <x:c r="CL23" s="2"/>
      <x:c r="CM23" s="2"/>
      <x:c r="CN23" s="2"/>
      <x:c r="CO23" s="2"/>
      <x:c r="CP23" s="2"/>
      <x:c r="CQ23" s="2"/>
      <x:c r="CR23" s="2"/>
      <x:c r="CS23" s="2"/>
      <x:c r="CT23" s="2"/>
      <x:c r="CU23" s="2"/>
      <x:c r="CV23" s="2"/>
      <x:c r="CW23" s="2"/>
      <x:c r="CX23" s="2"/>
      <x:c r="CY23" s="2"/>
      <x:c r="CZ23" s="2"/>
      <x:c r="DA23" s="2"/>
      <x:c r="DB23" s="2"/>
      <x:c r="DC23" s="2"/>
      <x:c r="DD23" s="2"/>
      <x:c r="DE23" s="2"/>
      <x:c r="DF23" s="2"/>
      <x:c r="DG23" s="2"/>
      <x:c r="DH23" s="2"/>
      <x:c r="DI23" s="2"/>
      <x:c r="DJ23" s="2"/>
      <x:c r="DK23" s="2"/>
      <x:c r="DL23" s="2"/>
      <x:c r="DM23" s="2"/>
      <x:c r="DN23" s="2"/>
      <x:c r="DO23" s="2"/>
      <x:c r="DP23" s="2"/>
      <x:c r="DQ23" s="2"/>
      <x:c r="DR23" s="2"/>
      <x:c r="DS23" s="2"/>
      <x:c r="DT23" s="2"/>
      <x:c r="DU23" s="2"/>
      <x:c r="DV23" s="2"/>
      <x:c r="DW23" s="2"/>
      <x:c r="DX23" s="2"/>
      <x:c r="DY23" s="2"/>
      <x:c r="DZ23" s="2"/>
      <x:c r="EA23" s="2"/>
      <x:c r="EB23" s="2"/>
      <x:c r="EC23" s="2"/>
      <x:c r="ED23" s="2"/>
      <x:c r="EE23" s="2"/>
      <x:c r="EF23" s="2"/>
      <x:c r="EG23" s="2"/>
      <x:c r="EH23" s="2"/>
      <x:c r="EI23" s="2"/>
      <x:c r="EJ23" s="2"/>
      <x:c r="EK23" s="2"/>
      <x:c r="EL23" s="2"/>
      <x:c r="EM23" s="2"/>
    </x:row>
    <x:row r="24" ht="84">
      <x:c r="A24" s="2" t="s">
        <x:v>75</x:v>
      </x:c>
      <x:c r="B24" s="2" t="s">
        <x:v>200</x:v>
      </x:c>
      <x:c r="C24" s="2" t="s">
        <x:v>3</x:v>
      </x:c>
      <x:c r="D24" s="2" t="s">
        <x:v>561</x:v>
      </x:c>
      <x:c r="E24" s="2" t="s">
        <x:v>1561</x:v>
      </x:c>
      <x:c r="F24" s="2" t="s">
        <x:v>1337</x:v>
      </x:c>
      <x:c r="G24" s="2" t="s">
        <x:v>563</x:v>
      </x:c>
      <x:c r="H24" s="2" t="s">
        <x:v>562</x:v>
      </x:c>
      <x:c r="I24" s="2" t="s">
        <x:v>169</x:v>
      </x:c>
      <x:c r="J24" s="2" t="s">
        <x:v>563</x:v>
      </x:c>
      <x:c r="K24" s="2" t="s">
        <x:v>562</x:v>
      </x:c>
      <x:c r="L24" s="2" t="s">
        <x:v>3278</x:v>
      </x:c>
      <x:c r="M24" s="2" t="s">
        <x:v>3278</x:v>
      </x:c>
      <x:c r="N24" s="2" t="s">
        <x:v>169</x:v>
      </x:c>
      <x:c r="O24" s="2" t="s">
        <x:v>1563</x:v>
      </x:c>
      <x:c r="P24" s="2" t="s">
        <x:v>298</x:v>
      </x:c>
      <x:c r="Q24" s="2" t="s">
        <x:v>172</x:v>
      </x:c>
      <x:c r="R24" s="2" t="s">
        <x:v>1381</x:v>
      </x:c>
      <x:c r="S24" s="2" t="s">
        <x:v>3219</x:v>
      </x:c>
      <x:c r="T24" s="2" t="s">
        <x:v>3915</x:v>
      </x:c>
      <x:c r="U24" s="2" t="s">
        <x:v>3279</x:v>
      </x:c>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x:c r="CB24" s="2"/>
      <x:c r="CC24" s="2"/>
      <x:c r="CD24" s="2"/>
      <x:c r="CE24" s="2"/>
      <x:c r="CF24" s="2"/>
      <x:c r="CG24" s="2"/>
      <x:c r="CH24" s="2"/>
      <x:c r="CI24" s="2"/>
      <x:c r="CJ24" s="2"/>
      <x:c r="CK24" s="2"/>
      <x:c r="CL24" s="2"/>
      <x:c r="CM24" s="2"/>
      <x:c r="CN24" s="2"/>
      <x:c r="CO24" s="2"/>
      <x:c r="CP24" s="2"/>
      <x:c r="CQ24" s="2"/>
      <x:c r="CR24" s="2"/>
      <x:c r="CS24" s="2"/>
      <x:c r="CT24" s="2"/>
      <x:c r="CU24" s="2"/>
      <x:c r="CV24" s="2"/>
      <x:c r="CW24" s="2"/>
      <x:c r="CX24" s="2"/>
      <x:c r="CY24" s="2"/>
      <x:c r="CZ24" s="2"/>
      <x:c r="DA24" s="2"/>
      <x:c r="DB24" s="2"/>
      <x:c r="DC24" s="2"/>
      <x:c r="DD24" s="2"/>
      <x:c r="DE24" s="2"/>
      <x:c r="DF24" s="2"/>
      <x:c r="DG24" s="2"/>
      <x:c r="DH24" s="2"/>
      <x:c r="DI24" s="2"/>
      <x:c r="DJ24" s="2"/>
      <x:c r="DK24" s="2"/>
      <x:c r="DL24" s="2"/>
      <x:c r="DM24" s="2"/>
      <x:c r="DN24" s="2"/>
      <x:c r="DO24" s="2"/>
      <x:c r="DP24" s="2"/>
      <x:c r="DQ24" s="2"/>
      <x:c r="DR24" s="2"/>
      <x:c r="DS24" s="2"/>
      <x:c r="DT24" s="2"/>
      <x:c r="DU24" s="2"/>
      <x:c r="DV24" s="2"/>
      <x:c r="DW24" s="2"/>
      <x:c r="DX24" s="2"/>
      <x:c r="DY24" s="2"/>
      <x:c r="DZ24" s="2"/>
      <x:c r="EA24" s="2"/>
      <x:c r="EB24" s="2"/>
      <x:c r="EC24" s="2"/>
      <x:c r="ED24" s="2"/>
      <x:c r="EE24" s="2"/>
      <x:c r="EF24" s="2"/>
      <x:c r="EG24" s="2"/>
      <x:c r="EH24" s="2"/>
      <x:c r="EI24" s="2"/>
      <x:c r="EJ24" s="2"/>
      <x:c r="EK24" s="2"/>
      <x:c r="EL24" s="2"/>
      <x:c r="EM24" s="2"/>
    </x:row>
    <x:row r="25" ht="101">
      <x:c r="A25" s="2" t="s">
        <x:v>75</x:v>
      </x:c>
      <x:c r="B25" s="2" t="s">
        <x:v>1353</x:v>
      </x:c>
      <x:c r="C25" s="2" t="s">
        <x:v>3225</x:v>
      </x:c>
      <x:c r="D25" s="2" t="s">
        <x:v>2113</x:v>
      </x:c>
      <x:c r="E25" s="2" t="s">
        <x:v>1561</x:v>
      </x:c>
      <x:c r="F25" s="2" t="s">
        <x:v>1337</x:v>
      </x:c>
      <x:c r="G25" s="2" t="s">
        <x:v>563</x:v>
      </x:c>
      <x:c r="H25" s="2" t="s">
        <x:v>570</x:v>
      </x:c>
      <x:c r="I25" s="2" t="s">
        <x:v>563</x:v>
      </x:c>
      <x:c r="J25" s="2" t="s">
        <x:v>571</x:v>
      </x:c>
      <x:c r="K25" s="2" t="s">
        <x:v>1574</x:v>
      </x:c>
      <x:c r="L25" s="2" t="s">
        <x:v>3278</x:v>
      </x:c>
      <x:c r="M25" s="2" t="s">
        <x:v>3278</x:v>
      </x:c>
      <x:c r="N25" s="2" t="s">
        <x:v>169</x:v>
      </x:c>
      <x:c r="O25" s="2" t="s">
        <x:v>2115</x:v>
      </x:c>
      <x:c r="P25" s="2" t="s">
        <x:v>1911</x:v>
      </x:c>
      <x:c r="Q25" s="2" t="s">
        <x:v>172</x:v>
      </x:c>
      <x:c r="R25" s="2" t="s">
        <x:v>1381</x:v>
      </x:c>
      <x:c r="S25" s="2" t="s">
        <x:v>3219</x:v>
      </x:c>
      <x:c r="T25" s="2" t="s">
        <x:v>3915</x:v>
      </x:c>
      <x:c r="U25" s="2" t="s">
        <x:v>3280</x:v>
      </x:c>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2"/>
      <x:c r="CO25" s="2"/>
      <x:c r="CP25" s="2"/>
      <x:c r="CQ25" s="2"/>
      <x:c r="CR25" s="2"/>
      <x:c r="CS25" s="2"/>
      <x:c r="CT25" s="2"/>
      <x:c r="CU25" s="2"/>
      <x:c r="CV25" s="2"/>
      <x:c r="CW25" s="2"/>
      <x:c r="CX25" s="2"/>
      <x:c r="CY25" s="2"/>
      <x:c r="CZ25" s="2"/>
      <x:c r="DA25" s="2"/>
      <x:c r="DB25" s="2"/>
      <x:c r="DC25" s="2"/>
      <x:c r="DD25" s="2"/>
      <x:c r="DE25" s="2"/>
      <x:c r="DF25" s="2"/>
      <x:c r="DG25" s="2"/>
      <x:c r="DH25" s="2"/>
      <x:c r="DI25" s="2"/>
      <x:c r="DJ25" s="2"/>
      <x:c r="DK25" s="2"/>
      <x:c r="DL25" s="2"/>
      <x:c r="DM25" s="2"/>
      <x:c r="DN25" s="2"/>
      <x:c r="DO25" s="2"/>
      <x:c r="DP25" s="2"/>
      <x:c r="DQ25" s="2"/>
      <x:c r="DR25" s="2"/>
      <x:c r="DS25" s="2"/>
      <x:c r="DT25" s="2"/>
      <x:c r="DU25" s="2"/>
      <x:c r="DV25" s="2"/>
      <x:c r="DW25" s="2"/>
      <x:c r="DX25" s="2"/>
      <x:c r="DY25" s="2"/>
      <x:c r="DZ25" s="2"/>
      <x:c r="EA25" s="2"/>
      <x:c r="EB25" s="2"/>
      <x:c r="EC25" s="2"/>
      <x:c r="ED25" s="2"/>
      <x:c r="EE25" s="2"/>
      <x:c r="EF25" s="2"/>
      <x:c r="EG25" s="2"/>
      <x:c r="EH25" s="2"/>
      <x:c r="EI25" s="2"/>
      <x:c r="EJ25" s="2"/>
      <x:c r="EK25" s="2"/>
      <x:c r="EL25" s="2"/>
      <x:c r="EM25" s="2"/>
    </x:row>
    <x:row r="26">
      <x:c r="A26" s="2" t="s">
        <x:v>76</x:v>
      </x:c>
      <x:c r="B26" s="2" t="s">
        <x:v>200</x:v>
      </x:c>
      <x:c r="C26" s="2" t="s">
        <x:v>3</x:v>
      </x:c>
      <x:c r="D26" s="2" t="s">
        <x:v>630</x:v>
      </x:c>
      <x:c r="E26" s="2" t="s">
        <x:v>1336</x:v>
      </x:c>
      <x:c r="F26" s="2" t="s">
        <x:v>1337</x:v>
      </x:c>
      <x:c r="G26" s="2" t="s">
        <x:v>632</x:v>
      </x:c>
      <x:c r="H26" s="2" t="s">
        <x:v>631</x:v>
      </x:c>
      <x:c r="I26" s="2" t="s">
        <x:v>169</x:v>
      </x:c>
      <x:c r="J26" s="2" t="s">
        <x:v>632</x:v>
      </x:c>
      <x:c r="K26" s="2" t="s">
        <x:v>631</x:v>
      </x:c>
      <x:c r="L26" s="2" t="s">
        <x:v>3281</x:v>
      </x:c>
      <x:c r="M26" s="2" t="s">
        <x:v>3282</x:v>
      </x:c>
      <x:c r="N26" s="2" t="s">
        <x:v>169</x:v>
      </x:c>
      <x:c r="O26" s="2" t="s">
        <x:v>1613</x:v>
      </x:c>
      <x:c r="P26" s="2" t="s">
        <x:v>1466</x:v>
      </x:c>
      <x:c r="Q26" s="2" t="s">
        <x:v>172</x:v>
      </x:c>
      <x:c r="R26" s="2" t="s">
        <x:v>1381</x:v>
      </x:c>
      <x:c r="S26" s="2" t="s">
        <x:v>3219</x:v>
      </x:c>
      <x:c r="T26" s="2" t="s">
        <x:v>3915</x:v>
      </x:c>
      <x:c r="U26" s="2" t="s">
        <x:v>3283</x:v>
      </x:c>
    </x:row>
    <x:row r="27">
      <x:c r="A27" s="2" t="s">
        <x:v>76</x:v>
      </x:c>
      <x:c r="B27" s="2" t="s">
        <x:v>1353</x:v>
      </x:c>
      <x:c r="C27" s="2" t="s">
        <x:v>3225</x:v>
      </x:c>
      <x:c r="D27" s="2" t="s">
        <x:v>637</x:v>
      </x:c>
      <x:c r="E27" s="2" t="s">
        <x:v>1336</x:v>
      </x:c>
      <x:c r="F27" s="2" t="s">
        <x:v>1337</x:v>
      </x:c>
      <x:c r="G27" s="2" t="s">
        <x:v>314</x:v>
      </x:c>
      <x:c r="H27" s="2" t="s">
        <x:v>635</x:v>
      </x:c>
      <x:c r="I27" s="2" t="s">
        <x:v>632</x:v>
      </x:c>
      <x:c r="J27" s="2" t="s">
        <x:v>638</x:v>
      </x:c>
      <x:c r="K27" s="2" t="s">
        <x:v>3078</x:v>
      </x:c>
      <x:c r="L27" s="2" t="s">
        <x:v>3284</x:v>
      </x:c>
      <x:c r="M27" s="2" t="s">
        <x:v>3285</x:v>
      </x:c>
      <x:c r="N27" s="2" t="s">
        <x:v>169</x:v>
      </x:c>
      <x:c r="O27" s="2" t="s">
        <x:v>2201</x:v>
      </x:c>
      <x:c r="P27" s="2" t="s">
        <x:v>1466</x:v>
      </x:c>
      <x:c r="Q27" s="2" t="s">
        <x:v>172</x:v>
      </x:c>
      <x:c r="R27" s="2" t="s">
        <x:v>1381</x:v>
      </x:c>
      <x:c r="S27" s="2" t="s">
        <x:v>3219</x:v>
      </x:c>
      <x:c r="T27" s="2" t="s">
        <x:v>3915</x:v>
      </x:c>
      <x:c r="U27" s="2" t="s">
        <x:v>3286</x:v>
      </x:c>
    </x:row>
    <x:row r="28">
      <x:c r="A28" s="2" t="s">
        <x:v>76</x:v>
      </x:c>
      <x:c r="B28" s="2" t="s">
        <x:v>1466</x:v>
      </x:c>
      <x:c r="C28" s="2" t="s">
        <x:v>3916</x:v>
      </x:c>
      <x:c r="D28" s="2" t="s">
        <x:v>654</x:v>
      </x:c>
      <x:c r="E28" s="2" t="s">
        <x:v>1336</x:v>
      </x:c>
      <x:c r="F28" s="2" t="s">
        <x:v>1337</x:v>
      </x:c>
      <x:c r="G28" s="2" t="s">
        <x:v>657</x:v>
      </x:c>
      <x:c r="H28" s="2" t="s">
        <x:v>656</x:v>
      </x:c>
      <x:c r="I28" s="2" t="s">
        <x:v>638</x:v>
      </x:c>
      <x:c r="J28" s="2" t="s">
        <x:v>657</x:v>
      </x:c>
      <x:c r="K28" s="2" t="s">
        <x:v>3078</x:v>
      </x:c>
      <x:c r="L28" s="2" t="s">
        <x:v>3922</x:v>
      </x:c>
      <x:c r="M28" s="2" t="s">
        <x:v>3923</x:v>
      </x:c>
      <x:c r="N28" s="2" t="s">
        <x:v>169</x:v>
      </x:c>
      <x:c r="O28" s="2" t="s">
        <x:v>2215</x:v>
      </x:c>
      <x:c r="P28" s="2" t="s">
        <x:v>200</x:v>
      </x:c>
      <x:c r="Q28" s="2" t="s">
        <x:v>172</x:v>
      </x:c>
      <x:c r="R28" s="2" t="s">
        <x:v>1381</x:v>
      </x:c>
      <x:c r="S28" s="2" t="s">
        <x:v>3219</x:v>
      </x:c>
      <x:c r="T28" s="2" t="s">
        <x:v>3915</x:v>
      </x:c>
      <x:c r="U28" s="2" t="s">
        <x:v>3490</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6.799999237060547"/>
  <x:cols>
    <x:col min="1" max="157" width="16" customWidth="1"/>
  </x:cols>
  <x:sheetData>
    <x:row r="1" ht="34" customHeight="1">
      <x:c r="A1" s="1" t="s">
        <x:v>23</x:v>
      </x:c>
      <x:c r="B1" s="1" t="s">
        <x:v>113</x:v>
      </x:c>
      <x:c r="C1" s="1" t="s">
        <x:v>114</x:v>
      </x:c>
      <x:c r="D1" s="1" t="s">
        <x:v>115</x:v>
      </x:c>
      <x:c r="E1" s="1" t="s">
        <x:v>116</x:v>
      </x:c>
      <x:c r="F1" s="1" t="s">
        <x:v>117</x:v>
      </x:c>
      <x:c r="G1" s="1" t="s">
        <x:v>118</x:v>
      </x:c>
      <x:c r="H1" s="1" t="s">
        <x:v>3287</x:v>
      </x:c>
      <x:c r="I1" s="1" t="s">
        <x:v>3288</x:v>
      </x:c>
      <x:c r="J1" s="1" t="s">
        <x:v>150</x:v>
      </x:c>
      <x:c r="K1" s="1" t="s">
        <x:v>151</x:v>
      </x:c>
      <x:c r="L1" s="1" t="s">
        <x:v>3289</x:v>
      </x:c>
      <x:c r="M1" s="1" t="s">
        <x:v>3290</x:v>
      </x:c>
      <x:c r="N1" s="1" t="s">
        <x:v>1805</x:v>
      </x:c>
      <x:c r="O1" s="1" t="s">
        <x:v>3291</x:v>
      </x:c>
      <x:c r="P1" s="1" t="s">
        <x:v>3292</x:v>
      </x:c>
      <x:c r="Q1" s="1" t="s">
        <x:v>3293</x:v>
      </x:c>
      <x:c r="R1" s="1" t="s">
        <x:v>3294</x:v>
      </x:c>
      <x:c r="S1" s="1" t="s">
        <x:v>3295</x:v>
      </x:c>
      <x:c r="T1" s="1" t="s">
        <x:v>120</x:v>
      </x:c>
      <x:c r="U1" s="1" t="s">
        <x:v>2418</x:v>
      </x:c>
      <x:c r="V1" s="1" t="s">
        <x:v>160</x:v>
      </x:c>
      <x:c r="W1" s="1" t="s">
        <x:v>1811</x:v>
      </x:c>
      <x:c r="X1" s="1" t="s">
        <x:v>1810</x:v>
      </x:c>
      <x:c r="Y1" s="1" t="s">
        <x:v>3296</x:v>
      </x:c>
      <x:c r="Z1" s="1" t="s">
        <x:v>3094</x:v>
      </x:c>
      <x:c r="AA1" s="1"/>
      <x:c r="AB1" s="1"/>
      <x:c r="AC1" s="1" t="s">
        <x:v>3095</x:v>
      </x:c>
      <x:c r="AD1" s="1" t="s">
        <x:v>3297</x:v>
      </x:c>
      <x:c r="AE1" s="1" t="s">
        <x:v>3298</x:v>
      </x:c>
      <x:c r="AF1" s="1" t="s">
        <x:v>3299</x:v>
      </x:c>
      <x:c r="AG1" s="1" t="s">
        <x:v>3300</x:v>
      </x:c>
      <x:c r="AH1" s="1" t="s">
        <x:v>3301</x:v>
      </x:c>
      <x:c r="AI1" s="1" t="s">
        <x:v>3302</x:v>
      </x:c>
      <x:c r="AJ1" s="1" t="s">
        <x:v>3303</x:v>
      </x:c>
      <x:c r="AK1" s="1" t="s">
        <x:v>3304</x:v>
      </x:c>
      <x:c r="AL1" s="1" t="s">
        <x:v>3305</x:v>
      </x:c>
      <x:c r="AM1" s="1" t="s">
        <x:v>3306</x:v>
      </x:c>
      <x:c r="AN1" s="1" t="s">
        <x:v>3307</x:v>
      </x:c>
      <x:c r="AO1" s="1" t="s">
        <x:v>3308</x:v>
      </x:c>
      <x:c r="AP1" s="1" t="s">
        <x:v>3309</x:v>
      </x:c>
      <x:c r="AQ1" s="1" t="s">
        <x:v>3310</x:v>
      </x:c>
      <x:c r="AR1" s="1" t="s">
        <x:v>3311</x:v>
      </x:c>
      <x:c r="AS1" s="1" t="s">
        <x:v>3312</x:v>
      </x:c>
      <x:c r="AT1" s="1" t="s">
        <x:v>3313</x:v>
      </x:c>
      <x:c r="AU1" s="1" t="s">
        <x:v>3314</x:v>
      </x:c>
      <x:c r="AV1" s="1" t="s">
        <x:v>3315</x:v>
      </x:c>
      <x:c r="AW1" s="1" t="s">
        <x:v>3316</x:v>
      </x:c>
      <x:c r="AX1" s="1" t="s">
        <x:v>3317</x:v>
      </x:c>
      <x:c r="AY1" s="1" t="s">
        <x:v>3318</x:v>
      </x:c>
      <x:c r="AZ1" s="1" t="s">
        <x:v>3319</x:v>
      </x:c>
      <x:c r="BA1" s="1" t="s">
        <x:v>3320</x:v>
      </x:c>
      <x:c r="BB1" s="1" t="s">
        <x:v>3321</x:v>
      </x:c>
      <x:c r="BC1" s="1" t="s">
        <x:v>3322</x:v>
      </x:c>
      <x:c r="BD1" s="1" t="s">
        <x:v>3323</x:v>
      </x:c>
      <x:c r="BE1" s="1" t="s">
        <x:v>3324</x:v>
      </x:c>
      <x:c r="BF1" s="1" t="s">
        <x:v>3325</x:v>
      </x:c>
      <x:c r="BG1" s="1" t="s">
        <x:v>3326</x:v>
      </x:c>
      <x:c r="BH1" s="1" t="s">
        <x:v>3327</x:v>
      </x:c>
      <x:c r="BI1" s="1" t="s">
        <x:v>3328</x:v>
      </x:c>
      <x:c r="BJ1" s="1" t="s">
        <x:v>3329</x:v>
      </x:c>
      <x:c r="BK1" s="1" t="s">
        <x:v>3330</x:v>
      </x:c>
      <x:c r="BL1" s="1" t="s">
        <x:v>3331</x:v>
      </x:c>
      <x:c r="BM1" s="1" t="s">
        <x:v>3332</x:v>
      </x:c>
      <x:c r="BN1" s="1" t="s">
        <x:v>3333</x:v>
      </x:c>
      <x:c r="BO1" s="1" t="s">
        <x:v>3334</x:v>
      </x:c>
      <x:c r="BP1" s="1" t="s">
        <x:v>3335</x:v>
      </x:c>
      <x:c r="BQ1" s="1" t="s">
        <x:v>3336</x:v>
      </x:c>
      <x:c r="BR1" s="1" t="s">
        <x:v>3337</x:v>
      </x:c>
      <x:c r="BS1" s="1" t="s">
        <x:v>3338</x:v>
      </x:c>
      <x:c r="BT1" s="1" t="s">
        <x:v>3339</x:v>
      </x:c>
      <x:c r="BU1" s="1" t="s">
        <x:v>3340</x:v>
      </x:c>
      <x:c r="BV1" s="1" t="s">
        <x:v>3341</x:v>
      </x:c>
      <x:c r="BW1" s="1" t="s">
        <x:v>3342</x:v>
      </x:c>
      <x:c r="BX1" s="1" t="s">
        <x:v>3343</x:v>
      </x:c>
      <x:c r="BY1" s="1" t="s">
        <x:v>3344</x:v>
      </x:c>
      <x:c r="BZ1" s="1" t="s">
        <x:v>3345</x:v>
      </x:c>
      <x:c r="CA1" s="1" t="s">
        <x:v>3346</x:v>
      </x:c>
      <x:c r="CB1" s="1" t="s">
        <x:v>3347</x:v>
      </x:c>
      <x:c r="CC1" s="1" t="s">
        <x:v>3348</x:v>
      </x:c>
      <x:c r="CD1" s="1" t="s">
        <x:v>3349</x:v>
      </x:c>
      <x:c r="CE1" s="1" t="s">
        <x:v>3350</x:v>
      </x:c>
      <x:c r="CF1" s="1" t="s">
        <x:v>3351</x:v>
      </x:c>
      <x:c r="CG1" s="1" t="s">
        <x:v>3352</x:v>
      </x:c>
      <x:c r="CH1" s="1" t="s">
        <x:v>3353</x:v>
      </x:c>
      <x:c r="CI1" s="1" t="s">
        <x:v>3354</x:v>
      </x:c>
      <x:c r="CJ1" s="1" t="s">
        <x:v>3355</x:v>
      </x:c>
      <x:c r="CK1" s="1" t="s">
        <x:v>3356</x:v>
      </x:c>
      <x:c r="CL1" s="1" t="s">
        <x:v>3357</x:v>
      </x:c>
      <x:c r="CM1" s="1" t="s">
        <x:v>3358</x:v>
      </x:c>
      <x:c r="CN1" s="1" t="s">
        <x:v>3359</x:v>
      </x:c>
      <x:c r="CO1" s="1" t="s">
        <x:v>3360</x:v>
      </x:c>
      <x:c r="CP1" s="1" t="s">
        <x:v>3361</x:v>
      </x:c>
      <x:c r="CQ1" s="1" t="s">
        <x:v>3362</x:v>
      </x:c>
      <x:c r="CR1" s="1" t="s">
        <x:v>3363</x:v>
      </x:c>
      <x:c r="CS1" s="1" t="s">
        <x:v>3364</x:v>
      </x:c>
      <x:c r="CT1" s="1" t="s">
        <x:v>3365</x:v>
      </x:c>
      <x:c r="CU1" s="1" t="s">
        <x:v>3366</x:v>
      </x:c>
      <x:c r="CV1" s="1" t="s">
        <x:v>3367</x:v>
      </x:c>
      <x:c r="CW1" s="1" t="s">
        <x:v>3368</x:v>
      </x:c>
      <x:c r="CX1" s="1" t="s">
        <x:v>3369</x:v>
      </x:c>
      <x:c r="CY1" s="1" t="s">
        <x:v>3370</x:v>
      </x:c>
      <x:c r="CZ1" s="1" t="s">
        <x:v>3371</x:v>
      </x:c>
      <x:c r="DA1" s="1" t="s">
        <x:v>3372</x:v>
      </x:c>
      <x:c r="DB1" s="1" t="s">
        <x:v>3373</x:v>
      </x:c>
      <x:c r="DC1" s="1" t="s">
        <x:v>3374</x:v>
      </x:c>
      <x:c r="DD1" s="1" t="s">
        <x:v>3375</x:v>
      </x:c>
      <x:c r="DE1" s="1" t="s">
        <x:v>3376</x:v>
      </x:c>
      <x:c r="DF1" s="1" t="s">
        <x:v>3377</x:v>
      </x:c>
      <x:c r="DG1" s="1" t="s">
        <x:v>3378</x:v>
      </x:c>
      <x:c r="DH1" s="1" t="s">
        <x:v>3379</x:v>
      </x:c>
      <x:c r="DI1" s="1" t="s">
        <x:v>3380</x:v>
      </x:c>
      <x:c r="DJ1" s="1" t="s">
        <x:v>3381</x:v>
      </x:c>
      <x:c r="DK1" s="1" t="s">
        <x:v>3382</x:v>
      </x:c>
      <x:c r="DL1" s="1" t="s">
        <x:v>3383</x:v>
      </x:c>
      <x:c r="DM1" s="1" t="s">
        <x:v>3384</x:v>
      </x:c>
      <x:c r="DN1" s="1" t="s">
        <x:v>3385</x:v>
      </x:c>
      <x:c r="DO1" s="1" t="s">
        <x:v>3386</x:v>
      </x:c>
      <x:c r="DP1" s="1" t="s">
        <x:v>3387</x:v>
      </x:c>
      <x:c r="DQ1" s="1" t="s">
        <x:v>3388</x:v>
      </x:c>
      <x:c r="DR1" s="1" t="s">
        <x:v>3389</x:v>
      </x:c>
      <x:c r="DS1" s="1" t="s">
        <x:v>3390</x:v>
      </x:c>
      <x:c r="DT1" s="1" t="s">
        <x:v>3391</x:v>
      </x:c>
      <x:c r="DU1" s="1" t="s">
        <x:v>3392</x:v>
      </x:c>
      <x:c r="DV1" s="1" t="s">
        <x:v>3393</x:v>
      </x:c>
      <x:c r="DW1" s="1" t="s">
        <x:v>3394</x:v>
      </x:c>
      <x:c r="DX1" s="1" t="s">
        <x:v>3395</x:v>
      </x:c>
      <x:c r="DY1" s="1" t="s">
        <x:v>3396</x:v>
      </x:c>
      <x:c r="DZ1" s="1" t="s">
        <x:v>3397</x:v>
      </x:c>
      <x:c r="EA1" s="1" t="s">
        <x:v>3398</x:v>
      </x:c>
      <x:c r="EB1" s="1" t="s">
        <x:v>3399</x:v>
      </x:c>
      <x:c r="EC1" s="1" t="s">
        <x:v>3400</x:v>
      </x:c>
      <x:c r="ED1" s="1" t="s">
        <x:v>3401</x:v>
      </x:c>
      <x:c r="EE1" s="1" t="s">
        <x:v>3402</x:v>
      </x:c>
      <x:c r="EF1" s="1" t="s">
        <x:v>3403</x:v>
      </x:c>
      <x:c r="EG1" s="1" t="s">
        <x:v>3404</x:v>
      </x:c>
      <x:c r="EH1" s="1" t="s">
        <x:v>3405</x:v>
      </x:c>
      <x:c r="EI1" s="1" t="s">
        <x:v>3406</x:v>
      </x:c>
      <x:c r="EJ1" s="1" t="s">
        <x:v>3407</x:v>
      </x:c>
      <x:c r="EK1" s="1" t="s">
        <x:v>3408</x:v>
      </x:c>
      <x:c r="EL1" s="1" t="s">
        <x:v>3409</x:v>
      </x:c>
      <x:c r="EM1" s="1" t="s">
        <x:v>3410</x:v>
      </x:c>
      <x:c r="EN1" s="1" t="s">
        <x:v>3411</x:v>
      </x:c>
      <x:c r="EO1" s="1" t="s">
        <x:v>3412</x:v>
      </x:c>
      <x:c r="EP1" s="1" t="s">
        <x:v>3413</x:v>
      </x:c>
      <x:c r="EQ1" s="1" t="s">
        <x:v>3414</x:v>
      </x:c>
      <x:c r="ER1" s="1" t="s">
        <x:v>3415</x:v>
      </x:c>
      <x:c r="ES1" s="1" t="s">
        <x:v>3416</x:v>
      </x:c>
      <x:c r="ET1" s="1" t="s">
        <x:v>3417</x:v>
      </x:c>
      <x:c r="EU1" s="1" t="s">
        <x:v>3418</x:v>
      </x:c>
      <x:c r="EV1" s="1" t="s">
        <x:v>3419</x:v>
      </x:c>
      <x:c r="EW1" s="1" t="s">
        <x:v>3420</x:v>
      </x:c>
      <x:c r="EX1" s="1" t="s">
        <x:v>3421</x:v>
      </x:c>
      <x:c r="EY1" s="1" t="s">
        <x:v>3422</x:v>
      </x:c>
      <x:c r="EZ1" s="1" t="s">
        <x:v>3423</x:v>
      </x:c>
      <x:c r="FA1" s="1" t="s">
        <x:v>3424</x:v>
      </x:c>
    </x:row>
    <x:row r="2" ht="135">
      <x:c r="A2" s="2" t="s">
        <x:v>68</x:v>
      </x:c>
      <x:c r="B2" s="2" t="s">
        <x:v>2390</x:v>
      </x:c>
      <x:c r="C2" s="2" t="s">
        <x:v>3425</x:v>
      </x:c>
      <x:c r="D2" s="2" t="s">
        <x:v>209</x:v>
      </x:c>
      <x:c r="E2" s="2" t="s">
        <x:v>200</x:v>
      </x:c>
      <x:c r="F2" s="2" t="s">
        <x:v>200</x:v>
      </x:c>
      <x:c r="G2" s="2" t="s">
        <x:v>168</x:v>
      </x:c>
      <x:c r="H2" s="2" t="s">
        <x:v>1817</x:v>
      </x:c>
      <x:c r="I2" s="2" t="s">
        <x:v>1817</x:v>
      </x:c>
      <x:c r="J2" s="2" t="s">
        <x:v>200</x:v>
      </x:c>
      <x:c r="K2" s="2" t="s">
        <x:v>169</x:v>
      </x:c>
      <x:c r="L2" s="2" t="s">
        <x:v>172</x:v>
      </x:c>
      <x:c r="M2" s="2" t="s">
        <x:v>172</x:v>
      </x:c>
      <x:c r="N2" s="2" t="s">
        <x:v>172</x:v>
      </x:c>
      <x:c r="O2" s="2" t="s">
        <x:v>172</x:v>
      </x:c>
      <x:c r="P2" s="2" t="s">
        <x:v>171</x:v>
      </x:c>
      <x:c r="Q2" s="2" t="s">
        <x:v>171</x:v>
      </x:c>
      <x:c r="R2" s="2" t="s">
        <x:v>172</x:v>
      </x:c>
      <x:c r="S2" s="2" t="s">
        <x:v>3426</x:v>
      </x:c>
      <x:c r="T2" s="2" t="s">
        <x:v>3427</x:v>
      </x:c>
      <x:c r="U2" s="2" t="s">
        <x:v>1820</x:v>
      </x:c>
      <x:c r="V2" s="2" t="s">
        <x:v>172</x:v>
      </x:c>
      <x:c r="W2" s="2" t="s">
        <x:v>1756</x:v>
      </x:c>
      <x:c r="X2" s="2" t="s">
        <x:v>1822</x:v>
      </x:c>
      <x:c r="Y2" s="2">
        <x:v>1</x:v>
      </x:c>
      <x:c r="Z2" s="2" t="s">
        <x:v>3223</x:v>
      </x:c>
      <x:c r="AA2" s="2"/>
      <x:c r="AB2" s="2"/>
      <x:c r="AC2" s="2" t="s">
        <x:v>67</x:v>
      </x:c>
      <x:c r="AD2" s="2" t="s">
        <x:v>3222</x:v>
      </x:c>
      <x:c r="AE2" s="2" t="s">
        <x:v>3222</x:v>
      </x:c>
      <x:c r="AF2" s="2" t="s">
        <x:v>3222</x:v>
      </x:c>
      <x:c r="AG2" s="2" t="s">
        <x:v>3222</x:v>
      </x:c>
      <x:c r="AH2" s="2" t="s">
        <x:v>3222</x:v>
      </x:c>
      <x:c r="AI2" s="2" t="s">
        <x:v>3222</x:v>
      </x:c>
      <x:c r="AJ2" s="2" t="s">
        <x:v>3222</x:v>
      </x:c>
      <x:c r="AK2" s="2" t="s">
        <x:v>3222</x:v>
      </x:c>
      <x:c r="AL2" s="2" t="s">
        <x:v>3222</x:v>
      </x:c>
      <x:c r="AM2" s="2" t="s">
        <x:v>3222</x:v>
      </x:c>
      <x:c r="AN2" s="2" t="s">
        <x:v>3222</x:v>
      </x:c>
      <x:c r="AO2" s="2" t="s">
        <x:v>3222</x:v>
      </x:c>
      <x:c r="AP2" s="2" t="s">
        <x:v>3222</x:v>
      </x:c>
      <x:c r="AQ2" s="2" t="s">
        <x:v>3222</x:v>
      </x:c>
      <x:c r="AR2" s="2" t="s">
        <x:v>3222</x:v>
      </x:c>
      <x:c r="AS2" s="2" t="s">
        <x:v>3222</x:v>
      </x:c>
      <x:c r="AT2" s="2" t="s">
        <x:v>3222</x:v>
      </x:c>
      <x:c r="AU2" s="2" t="s">
        <x:v>3222</x:v>
      </x:c>
      <x:c r="AV2" s="2" t="s">
        <x:v>3222</x:v>
      </x:c>
      <x:c r="AW2" s="2" t="s">
        <x:v>3222</x:v>
      </x:c>
      <x:c r="AX2" s="2" t="s">
        <x:v>3222</x:v>
      </x:c>
      <x:c r="AY2" s="2" t="s">
        <x:v>3222</x:v>
      </x:c>
      <x:c r="AZ2" s="2" t="s">
        <x:v>3222</x:v>
      </x:c>
      <x:c r="BA2" s="2" t="s">
        <x:v>3222</x:v>
      </x:c>
      <x:c r="BB2" s="2" t="s">
        <x:v>3222</x:v>
      </x:c>
      <x:c r="BC2" s="2" t="s">
        <x:v>3222</x:v>
      </x:c>
      <x:c r="BD2" s="2" t="s">
        <x:v>3222</x:v>
      </x:c>
      <x:c r="BE2" s="2" t="s">
        <x:v>3222</x:v>
      </x:c>
      <x:c r="BF2" s="2" t="s">
        <x:v>3222</x:v>
      </x:c>
      <x:c r="BG2" s="2" t="s">
        <x:v>3222</x:v>
      </x:c>
      <x:c r="BH2" s="2" t="s">
        <x:v>3222</x:v>
      </x:c>
      <x:c r="BI2" s="2" t="s">
        <x:v>3222</x:v>
      </x:c>
      <x:c r="BJ2" s="2" t="s">
        <x:v>3222</x:v>
      </x:c>
      <x:c r="BK2" s="2" t="s">
        <x:v>3222</x:v>
      </x:c>
      <x:c r="BL2" s="2" t="s">
        <x:v>3222</x:v>
      </x:c>
      <x:c r="BM2" s="2" t="s">
        <x:v>3222</x:v>
      </x:c>
      <x:c r="BN2" s="2" t="s">
        <x:v>3222</x:v>
      </x:c>
      <x:c r="BO2" s="2" t="s">
        <x:v>3222</x:v>
      </x:c>
      <x:c r="BP2" s="2" t="s">
        <x:v>3222</x:v>
      </x:c>
      <x:c r="BQ2" s="2" t="s">
        <x:v>3222</x:v>
      </x:c>
      <x:c r="BR2" s="2" t="s">
        <x:v>3222</x:v>
      </x:c>
      <x:c r="BS2" s="2" t="s">
        <x:v>3222</x:v>
      </x:c>
      <x:c r="BT2" s="2" t="s">
        <x:v>3222</x:v>
      </x:c>
      <x:c r="BU2" s="2" t="s">
        <x:v>3222</x:v>
      </x:c>
      <x:c r="BV2" s="2" t="s">
        <x:v>3222</x:v>
      </x:c>
      <x:c r="BW2" s="2" t="s">
        <x:v>3222</x:v>
      </x:c>
      <x:c r="BX2" s="2" t="s">
        <x:v>3222</x:v>
      </x:c>
      <x:c r="BY2" s="2" t="s">
        <x:v>3222</x:v>
      </x:c>
      <x:c r="BZ2" s="2" t="s">
        <x:v>3222</x:v>
      </x:c>
      <x:c r="CA2" s="2" t="s">
        <x:v>3222</x:v>
      </x:c>
      <x:c r="CB2" s="2" t="s">
        <x:v>3222</x:v>
      </x:c>
      <x:c r="CC2" s="2" t="s">
        <x:v>3222</x:v>
      </x:c>
      <x:c r="CD2" s="2" t="s">
        <x:v>3222</x:v>
      </x:c>
      <x:c r="CE2" s="2" t="s">
        <x:v>3222</x:v>
      </x:c>
      <x:c r="CF2" s="2" t="s">
        <x:v>3222</x:v>
      </x:c>
      <x:c r="CG2" s="2" t="s">
        <x:v>3222</x:v>
      </x:c>
      <x:c r="CH2" s="2" t="s">
        <x:v>3222</x:v>
      </x:c>
      <x:c r="CI2" s="2" t="s">
        <x:v>3222</x:v>
      </x:c>
      <x:c r="CJ2" s="2" t="s">
        <x:v>3222</x:v>
      </x:c>
      <x:c r="CK2" s="2" t="s">
        <x:v>3222</x:v>
      </x:c>
      <x:c r="CL2" s="2" t="s">
        <x:v>3222</x:v>
      </x:c>
      <x:c r="CM2" s="2" t="s">
        <x:v>3222</x:v>
      </x:c>
      <x:c r="CN2" s="2" t="s">
        <x:v>3222</x:v>
      </x:c>
      <x:c r="CO2" s="2" t="s">
        <x:v>3222</x:v>
      </x:c>
      <x:c r="CP2" s="2" t="s">
        <x:v>3222</x:v>
      </x:c>
      <x:c r="CQ2" s="2" t="s">
        <x:v>3222</x:v>
      </x:c>
      <x:c r="CR2" s="2" t="s">
        <x:v>3222</x:v>
      </x:c>
      <x:c r="CS2" s="2" t="s">
        <x:v>3222</x:v>
      </x:c>
      <x:c r="CT2" s="2" t="s">
        <x:v>3222</x:v>
      </x:c>
      <x:c r="CU2" s="2" t="s">
        <x:v>3222</x:v>
      </x:c>
      <x:c r="CV2" s="2" t="s">
        <x:v>3222</x:v>
      </x:c>
      <x:c r="CW2" s="2" t="s">
        <x:v>3222</x:v>
      </x:c>
      <x:c r="CX2" s="2" t="s">
        <x:v>3222</x:v>
      </x:c>
      <x:c r="CY2" s="2" t="s">
        <x:v>3222</x:v>
      </x:c>
      <x:c r="CZ2" s="2" t="s">
        <x:v>3222</x:v>
      </x:c>
      <x:c r="DA2" s="2" t="s">
        <x:v>3222</x:v>
      </x:c>
      <x:c r="DB2" s="2" t="s">
        <x:v>3222</x:v>
      </x:c>
      <x:c r="DC2" s="2" t="s">
        <x:v>3222</x:v>
      </x:c>
      <x:c r="DD2" s="2" t="s">
        <x:v>3222</x:v>
      </x:c>
      <x:c r="DE2" s="2" t="s">
        <x:v>3222</x:v>
      </x:c>
      <x:c r="DF2" s="2" t="s">
        <x:v>3222</x:v>
      </x:c>
      <x:c r="DG2" s="2" t="s">
        <x:v>3222</x:v>
      </x:c>
      <x:c r="DH2" s="2" t="s">
        <x:v>3222</x:v>
      </x:c>
      <x:c r="DI2" s="2" t="s">
        <x:v>3222</x:v>
      </x:c>
      <x:c r="DJ2" s="2" t="s">
        <x:v>3222</x:v>
      </x:c>
      <x:c r="DK2" s="2" t="s">
        <x:v>3222</x:v>
      </x:c>
      <x:c r="DL2" s="2" t="s">
        <x:v>3222</x:v>
      </x:c>
      <x:c r="DM2" s="2" t="s">
        <x:v>3222</x:v>
      </x:c>
      <x:c r="DN2" s="2" t="s">
        <x:v>3222</x:v>
      </x:c>
      <x:c r="DO2" s="2" t="s">
        <x:v>3222</x:v>
      </x:c>
      <x:c r="DP2" s="2" t="s">
        <x:v>3222</x:v>
      </x:c>
      <x:c r="DQ2" s="2" t="s">
        <x:v>3222</x:v>
      </x:c>
      <x:c r="DR2" s="2" t="s">
        <x:v>3222</x:v>
      </x:c>
      <x:c r="DS2" s="2" t="s">
        <x:v>3222</x:v>
      </x:c>
      <x:c r="DT2" s="2" t="s">
        <x:v>3222</x:v>
      </x:c>
      <x:c r="DU2" s="2" t="s">
        <x:v>3222</x:v>
      </x:c>
      <x:c r="DV2" s="2" t="s">
        <x:v>3222</x:v>
      </x:c>
      <x:c r="DW2" s="2" t="s">
        <x:v>3222</x:v>
      </x:c>
      <x:c r="DX2" s="2" t="s">
        <x:v>3222</x:v>
      </x:c>
      <x:c r="DY2" s="2" t="s">
        <x:v>3222</x:v>
      </x:c>
      <x:c r="DZ2" s="2" t="s">
        <x:v>3222</x:v>
      </x:c>
      <x:c r="EA2" s="2" t="s">
        <x:v>3222</x:v>
      </x:c>
      <x:c r="EB2" s="2" t="s">
        <x:v>3222</x:v>
      </x:c>
      <x:c r="EC2" s="2" t="s">
        <x:v>3222</x:v>
      </x:c>
      <x:c r="ED2" s="2" t="s">
        <x:v>3222</x:v>
      </x:c>
      <x:c r="EE2" s="2" t="s">
        <x:v>3222</x:v>
      </x:c>
      <x:c r="EF2" s="2" t="s">
        <x:v>3222</x:v>
      </x:c>
      <x:c r="EG2" s="2" t="s">
        <x:v>3222</x:v>
      </x:c>
      <x:c r="EH2" s="2" t="s">
        <x:v>3222</x:v>
      </x:c>
      <x:c r="EI2" s="2" t="s">
        <x:v>3222</x:v>
      </x:c>
      <x:c r="EJ2" s="2" t="s">
        <x:v>3222</x:v>
      </x:c>
      <x:c r="EK2" s="2" t="s">
        <x:v>3222</x:v>
      </x:c>
      <x:c r="EL2" s="2" t="s">
        <x:v>3222</x:v>
      </x:c>
      <x:c r="EM2" s="2" t="s">
        <x:v>3222</x:v>
      </x:c>
      <x:c r="EN2" s="2" t="s">
        <x:v>3222</x:v>
      </x:c>
      <x:c r="EO2" s="2" t="s">
        <x:v>3222</x:v>
      </x:c>
      <x:c r="EP2" s="2" t="s">
        <x:v>3222</x:v>
      </x:c>
      <x:c r="EQ2" s="2" t="s">
        <x:v>3222</x:v>
      </x:c>
      <x:c r="ER2" s="2" t="s">
        <x:v>3222</x:v>
      </x:c>
      <x:c r="ES2" s="2" t="s">
        <x:v>3222</x:v>
      </x:c>
      <x:c r="ET2" s="2" t="s">
        <x:v>3222</x:v>
      </x:c>
      <x:c r="EU2" s="2" t="s">
        <x:v>3222</x:v>
      </x:c>
      <x:c r="EV2" s="2" t="s">
        <x:v>3222</x:v>
      </x:c>
      <x:c r="EW2" s="2" t="s">
        <x:v>3222</x:v>
      </x:c>
      <x:c r="EX2" s="2" t="s">
        <x:v>3222</x:v>
      </x:c>
      <x:c r="EY2" s="2" t="s">
        <x:v>3222</x:v>
      </x:c>
      <x:c r="EZ2" s="2" t="s">
        <x:v>3222</x:v>
      </x:c>
      <x:c r="FA2" s="2" t="s">
        <x:v>3222</x:v>
      </x:c>
    </x:row>
    <x:row r="3" ht="135">
      <x:c r="A3" s="2" t="s">
        <x:v>69</x:v>
      </x:c>
      <x:c r="B3" s="2" t="s">
        <x:v>233</x:v>
      </x:c>
      <x:c r="C3" s="2" t="s">
        <x:v>3425</x:v>
      </x:c>
      <x:c r="D3" s="2" t="s">
        <x:v>235</x:v>
      </x:c>
      <x:c r="E3" s="2" t="s">
        <x:v>229</x:v>
      </x:c>
      <x:c r="F3" s="2" t="s">
        <x:v>169</x:v>
      </x:c>
      <x:c r="G3" s="2" t="s">
        <x:v>236</x:v>
      </x:c>
      <x:c r="H3" s="2" t="s">
        <x:v>1817</x:v>
      </x:c>
      <x:c r="I3" s="2" t="s">
        <x:v>1817</x:v>
      </x:c>
      <x:c r="J3" s="2" t="s">
        <x:v>229</x:v>
      </x:c>
      <x:c r="K3" s="2" t="s">
        <x:v>229</x:v>
      </x:c>
      <x:c r="L3" s="2" t="s">
        <x:v>172</x:v>
      </x:c>
      <x:c r="M3" s="2" t="s">
        <x:v>171</x:v>
      </x:c>
      <x:c r="N3" s="2" t="s">
        <x:v>172</x:v>
      </x:c>
      <x:c r="O3" s="2" t="s">
        <x:v>172</x:v>
      </x:c>
      <x:c r="P3" s="2" t="s">
        <x:v>172</x:v>
      </x:c>
      <x:c r="Q3" s="2" t="s">
        <x:v>171</x:v>
      </x:c>
      <x:c r="R3" s="2" t="s">
        <x:v>172</x:v>
      </x:c>
      <x:c r="S3" s="2" t="s">
        <x:v>3426</x:v>
      </x:c>
      <x:c r="T3" s="2" t="s">
        <x:v>3428</x:v>
      </x:c>
      <x:c r="U3" s="2" t="s">
        <x:v>1830</x:v>
      </x:c>
      <x:c r="V3" s="2" t="s">
        <x:v>171</x:v>
      </x:c>
      <x:c r="W3" s="2" t="s">
        <x:v>1851</x:v>
      </x:c>
      <x:c r="X3" s="2" t="s">
        <x:v>1850</x:v>
      </x:c>
      <x:c r="Y3" s="2">
        <x:v>1</x:v>
      </x:c>
      <x:c r="Z3" s="2" t="s">
        <x:v>3224</x:v>
      </x:c>
      <x:c r="AA3" s="2"/>
      <x:c r="AB3" s="2"/>
      <x:c r="AC3" s="2" t="s">
        <x:v>68</x:v>
      </x:c>
      <x:c r="AD3" s="2" t="s">
        <x:v>2390</x:v>
      </x:c>
      <x:c r="AE3" s="2" t="s">
        <x:v>3425</x:v>
      </x:c>
      <x:c r="AF3" s="2">
        <x:v>73556</x:v>
      </x:c>
      <x:c r="AG3" s="2">
        <x:v>1</x:v>
      </x:c>
      <x:c r="AH3" s="2">
        <x:v>1</x:v>
      </x:c>
      <x:c r="AI3" s="2" t="s">
        <x:v>168</x:v>
      </x:c>
      <x:c r="AJ3" s="2" t="s">
        <x:v>3429</x:v>
      </x:c>
      <x:c r="AK3" s="2" t="s">
        <x:v>3427</x:v>
      </x:c>
      <x:c r="AL3" s="2" t="s">
        <x:v>3222</x:v>
      </x:c>
      <x:c r="AM3" s="2" t="s">
        <x:v>3222</x:v>
      </x:c>
      <x:c r="AN3" s="2" t="s">
        <x:v>3222</x:v>
      </x:c>
      <x:c r="AO3" s="2" t="s">
        <x:v>3222</x:v>
      </x:c>
      <x:c r="AP3" s="2" t="s">
        <x:v>3222</x:v>
      </x:c>
      <x:c r="AQ3" s="2" t="s">
        <x:v>3222</x:v>
      </x:c>
      <x:c r="AR3" s="2" t="s">
        <x:v>3222</x:v>
      </x:c>
      <x:c r="AS3" s="2" t="s">
        <x:v>3222</x:v>
      </x:c>
      <x:c r="AT3" s="2" t="s">
        <x:v>3222</x:v>
      </x:c>
      <x:c r="AU3" s="2" t="s">
        <x:v>3222</x:v>
      </x:c>
      <x:c r="AV3" s="2" t="s">
        <x:v>3222</x:v>
      </x:c>
      <x:c r="AW3" s="2" t="s">
        <x:v>3222</x:v>
      </x:c>
      <x:c r="AX3" s="2" t="s">
        <x:v>3222</x:v>
      </x:c>
      <x:c r="AY3" s="2" t="s">
        <x:v>3222</x:v>
      </x:c>
      <x:c r="AZ3" s="2" t="s">
        <x:v>3222</x:v>
      </x:c>
      <x:c r="BA3" s="2" t="s">
        <x:v>3222</x:v>
      </x:c>
      <x:c r="BB3" s="2" t="s">
        <x:v>3222</x:v>
      </x:c>
      <x:c r="BC3" s="2" t="s">
        <x:v>3222</x:v>
      </x:c>
      <x:c r="BD3" s="2" t="s">
        <x:v>3222</x:v>
      </x:c>
      <x:c r="BE3" s="2" t="s">
        <x:v>3222</x:v>
      </x:c>
      <x:c r="BF3" s="2" t="s">
        <x:v>3222</x:v>
      </x:c>
      <x:c r="BG3" s="2" t="s">
        <x:v>3222</x:v>
      </x:c>
      <x:c r="BH3" s="2" t="s">
        <x:v>3222</x:v>
      </x:c>
      <x:c r="BI3" s="2" t="s">
        <x:v>3222</x:v>
      </x:c>
      <x:c r="BJ3" s="2" t="s">
        <x:v>3222</x:v>
      </x:c>
      <x:c r="BK3" s="2" t="s">
        <x:v>3222</x:v>
      </x:c>
      <x:c r="BL3" s="2" t="s">
        <x:v>3222</x:v>
      </x:c>
      <x:c r="BM3" s="2" t="s">
        <x:v>3222</x:v>
      </x:c>
      <x:c r="BN3" s="2" t="s">
        <x:v>3222</x:v>
      </x:c>
      <x:c r="BO3" s="2" t="s">
        <x:v>3222</x:v>
      </x:c>
      <x:c r="BP3" s="2" t="s">
        <x:v>3222</x:v>
      </x:c>
      <x:c r="BQ3" s="2" t="s">
        <x:v>3222</x:v>
      </x:c>
      <x:c r="BR3" s="2" t="s">
        <x:v>3222</x:v>
      </x:c>
      <x:c r="BS3" s="2" t="s">
        <x:v>3222</x:v>
      </x:c>
      <x:c r="BT3" s="2" t="s">
        <x:v>3222</x:v>
      </x:c>
      <x:c r="BU3" s="2" t="s">
        <x:v>3222</x:v>
      </x:c>
      <x:c r="BV3" s="2" t="s">
        <x:v>3222</x:v>
      </x:c>
      <x:c r="BW3" s="2" t="s">
        <x:v>3222</x:v>
      </x:c>
      <x:c r="BX3" s="2" t="s">
        <x:v>3222</x:v>
      </x:c>
      <x:c r="BY3" s="2" t="s">
        <x:v>3222</x:v>
      </x:c>
      <x:c r="BZ3" s="2" t="s">
        <x:v>3222</x:v>
      </x:c>
      <x:c r="CA3" s="2" t="s">
        <x:v>3222</x:v>
      </x:c>
      <x:c r="CB3" s="2" t="s">
        <x:v>3222</x:v>
      </x:c>
      <x:c r="CC3" s="2" t="s">
        <x:v>3222</x:v>
      </x:c>
      <x:c r="CD3" s="2" t="s">
        <x:v>3222</x:v>
      </x:c>
      <x:c r="CE3" s="2" t="s">
        <x:v>3222</x:v>
      </x:c>
      <x:c r="CF3" s="2" t="s">
        <x:v>3222</x:v>
      </x:c>
      <x:c r="CG3" s="2" t="s">
        <x:v>3222</x:v>
      </x:c>
      <x:c r="CH3" s="2" t="s">
        <x:v>3222</x:v>
      </x:c>
      <x:c r="CI3" s="2" t="s">
        <x:v>3222</x:v>
      </x:c>
      <x:c r="CJ3" s="2" t="s">
        <x:v>3222</x:v>
      </x:c>
      <x:c r="CK3" s="2" t="s">
        <x:v>3222</x:v>
      </x:c>
      <x:c r="CL3" s="2" t="s">
        <x:v>3222</x:v>
      </x:c>
      <x:c r="CM3" s="2" t="s">
        <x:v>3222</x:v>
      </x:c>
      <x:c r="CN3" s="2" t="s">
        <x:v>3222</x:v>
      </x:c>
      <x:c r="CO3" s="2" t="s">
        <x:v>3222</x:v>
      </x:c>
      <x:c r="CP3" s="2" t="s">
        <x:v>3222</x:v>
      </x:c>
      <x:c r="CQ3" s="2" t="s">
        <x:v>3222</x:v>
      </x:c>
      <x:c r="CR3" s="2" t="s">
        <x:v>3222</x:v>
      </x:c>
      <x:c r="CS3" s="2" t="s">
        <x:v>3222</x:v>
      </x:c>
      <x:c r="CT3" s="2" t="s">
        <x:v>3222</x:v>
      </x:c>
      <x:c r="CU3" s="2" t="s">
        <x:v>3222</x:v>
      </x:c>
      <x:c r="CV3" s="2" t="s">
        <x:v>3222</x:v>
      </x:c>
      <x:c r="CW3" s="2" t="s">
        <x:v>3222</x:v>
      </x:c>
      <x:c r="CX3" s="2" t="s">
        <x:v>3222</x:v>
      </x:c>
      <x:c r="CY3" s="2" t="s">
        <x:v>3222</x:v>
      </x:c>
      <x:c r="CZ3" s="2" t="s">
        <x:v>3222</x:v>
      </x:c>
      <x:c r="DA3" s="2" t="s">
        <x:v>3222</x:v>
      </x:c>
      <x:c r="DB3" s="2" t="s">
        <x:v>3222</x:v>
      </x:c>
      <x:c r="DC3" s="2" t="s">
        <x:v>3222</x:v>
      </x:c>
      <x:c r="DD3" s="2" t="s">
        <x:v>3222</x:v>
      </x:c>
      <x:c r="DE3" s="2" t="s">
        <x:v>3222</x:v>
      </x:c>
      <x:c r="DF3" s="2" t="s">
        <x:v>3222</x:v>
      </x:c>
      <x:c r="DG3" s="2" t="s">
        <x:v>3222</x:v>
      </x:c>
      <x:c r="DH3" s="2" t="s">
        <x:v>3222</x:v>
      </x:c>
      <x:c r="DI3" s="2" t="s">
        <x:v>3222</x:v>
      </x:c>
      <x:c r="DJ3" s="2" t="s">
        <x:v>3222</x:v>
      </x:c>
      <x:c r="DK3" s="2" t="s">
        <x:v>3222</x:v>
      </x:c>
      <x:c r="DL3" s="2" t="s">
        <x:v>3222</x:v>
      </x:c>
      <x:c r="DM3" s="2" t="s">
        <x:v>3222</x:v>
      </x:c>
      <x:c r="DN3" s="2" t="s">
        <x:v>3222</x:v>
      </x:c>
      <x:c r="DO3" s="2" t="s">
        <x:v>3222</x:v>
      </x:c>
      <x:c r="DP3" s="2" t="s">
        <x:v>3222</x:v>
      </x:c>
      <x:c r="DQ3" s="2" t="s">
        <x:v>3222</x:v>
      </x:c>
      <x:c r="DR3" s="2" t="s">
        <x:v>3222</x:v>
      </x:c>
      <x:c r="DS3" s="2" t="s">
        <x:v>3222</x:v>
      </x:c>
      <x:c r="DT3" s="2" t="s">
        <x:v>3222</x:v>
      </x:c>
      <x:c r="DU3" s="2" t="s">
        <x:v>3222</x:v>
      </x:c>
      <x:c r="DV3" s="2" t="s">
        <x:v>3222</x:v>
      </x:c>
      <x:c r="DW3" s="2" t="s">
        <x:v>3222</x:v>
      </x:c>
      <x:c r="DX3" s="2" t="s">
        <x:v>3222</x:v>
      </x:c>
      <x:c r="DY3" s="2" t="s">
        <x:v>3222</x:v>
      </x:c>
      <x:c r="DZ3" s="2" t="s">
        <x:v>3222</x:v>
      </x:c>
      <x:c r="EA3" s="2" t="s">
        <x:v>3222</x:v>
      </x:c>
      <x:c r="EB3" s="2" t="s">
        <x:v>3222</x:v>
      </x:c>
      <x:c r="EC3" s="2" t="s">
        <x:v>3222</x:v>
      </x:c>
      <x:c r="ED3" s="2" t="s">
        <x:v>3222</x:v>
      </x:c>
      <x:c r="EE3" s="2" t="s">
        <x:v>3222</x:v>
      </x:c>
      <x:c r="EF3" s="2" t="s">
        <x:v>3222</x:v>
      </x:c>
      <x:c r="EG3" s="2" t="s">
        <x:v>3222</x:v>
      </x:c>
      <x:c r="EH3" s="2" t="s">
        <x:v>3222</x:v>
      </x:c>
      <x:c r="EI3" s="2" t="s">
        <x:v>3222</x:v>
      </x:c>
      <x:c r="EJ3" s="2" t="s">
        <x:v>3222</x:v>
      </x:c>
      <x:c r="EK3" s="2" t="s">
        <x:v>3222</x:v>
      </x:c>
      <x:c r="EL3" s="2" t="s">
        <x:v>3222</x:v>
      </x:c>
      <x:c r="EM3" s="2" t="s">
        <x:v>3222</x:v>
      </x:c>
      <x:c r="EN3" s="2" t="s">
        <x:v>3222</x:v>
      </x:c>
      <x:c r="EO3" s="2" t="s">
        <x:v>3222</x:v>
      </x:c>
      <x:c r="EP3" s="2" t="s">
        <x:v>3222</x:v>
      </x:c>
      <x:c r="EQ3" s="2" t="s">
        <x:v>3222</x:v>
      </x:c>
      <x:c r="ER3" s="2" t="s">
        <x:v>3222</x:v>
      </x:c>
      <x:c r="ES3" s="2" t="s">
        <x:v>3222</x:v>
      </x:c>
      <x:c r="ET3" s="2" t="s">
        <x:v>3222</x:v>
      </x:c>
      <x:c r="EU3" s="2" t="s">
        <x:v>3222</x:v>
      </x:c>
      <x:c r="EV3" s="2" t="s">
        <x:v>3222</x:v>
      </x:c>
      <x:c r="EW3" s="2" t="s">
        <x:v>3222</x:v>
      </x:c>
      <x:c r="EX3" s="2" t="s">
        <x:v>3222</x:v>
      </x:c>
      <x:c r="EY3" s="2" t="s">
        <x:v>3222</x:v>
      </x:c>
      <x:c r="EZ3" s="2" t="s">
        <x:v>3222</x:v>
      </x:c>
      <x:c r="FA3" s="2" t="s">
        <x:v>3222</x:v>
      </x:c>
    </x:row>
    <x:row r="4" ht="135">
      <x:c r="A4" s="2" t="s">
        <x:v>71</x:v>
      </x:c>
      <x:c r="B4" s="2" t="s">
        <x:v>270</x:v>
      </x:c>
      <x:c r="C4" s="2" t="s">
        <x:v>3430</x:v>
      </x:c>
      <x:c r="D4" s="2" t="s">
        <x:v>271</x:v>
      </x:c>
      <x:c r="E4" s="2" t="s">
        <x:v>218</x:v>
      </x:c>
      <x:c r="F4" s="2" t="s">
        <x:v>169</x:v>
      </x:c>
      <x:c r="G4" s="2" t="s">
        <x:v>187</x:v>
      </x:c>
      <x:c r="H4" s="2" t="s">
        <x:v>1817</x:v>
      </x:c>
      <x:c r="I4" s="2" t="s">
        <x:v>1817</x:v>
      </x:c>
      <x:c r="J4" s="2" t="s">
        <x:v>218</x:v>
      </x:c>
      <x:c r="K4" s="2" t="s">
        <x:v>218</x:v>
      </x:c>
      <x:c r="L4" s="2" t="s">
        <x:v>171</x:v>
      </x:c>
      <x:c r="M4" s="2" t="s">
        <x:v>172</x:v>
      </x:c>
      <x:c r="N4" s="2" t="s">
        <x:v>172</x:v>
      </x:c>
      <x:c r="O4" s="2" t="s">
        <x:v>172</x:v>
      </x:c>
      <x:c r="P4" s="2" t="s">
        <x:v>172</x:v>
      </x:c>
      <x:c r="Q4" s="2" t="s">
        <x:v>171</x:v>
      </x:c>
      <x:c r="R4" s="2" t="s">
        <x:v>172</x:v>
      </x:c>
      <x:c r="S4" s="2" t="s">
        <x:v>3426</x:v>
      </x:c>
      <x:c r="T4" s="2" t="s">
        <x:v>3431</x:v>
      </x:c>
      <x:c r="U4" s="2" t="s">
        <x:v>1830</x:v>
      </x:c>
      <x:c r="V4" s="2" t="s">
        <x:v>172</x:v>
      </x:c>
      <x:c r="W4" s="2" t="s">
        <x:v>1897</x:v>
      </x:c>
      <x:c r="X4" s="2" t="s">
        <x:v>1896</x:v>
      </x:c>
      <x:c r="Y4" s="2">
        <x:v>1</x:v>
      </x:c>
      <x:c r="Z4" s="2" t="s">
        <x:v>3234</x:v>
      </x:c>
      <x:c r="AA4" s="2"/>
      <x:c r="AB4" s="2"/>
      <x:c r="AC4" s="2" t="s">
        <x:v>69</x:v>
      </x:c>
      <x:c r="AD4" s="2" t="s">
        <x:v>233</x:v>
      </x:c>
      <x:c r="AE4" s="2" t="s">
        <x:v>3425</x:v>
      </x:c>
      <x:c r="AF4" s="2">
        <x:v>71267</x:v>
      </x:c>
      <x:c r="AG4" s="2">
        <x:v>8</x:v>
      </x:c>
      <x:c r="AH4" s="2">
        <x:v>0</x:v>
      </x:c>
      <x:c r="AI4" s="2" t="s">
        <x:v>236</x:v>
      </x:c>
      <x:c r="AJ4" s="2" t="s">
        <x:v>3432</x:v>
      </x:c>
      <x:c r="AK4" s="2" t="s">
        <x:v>3428</x:v>
      </x:c>
      <x:c r="AL4" s="2" t="s">
        <x:v>3222</x:v>
      </x:c>
      <x:c r="AM4" s="2" t="s">
        <x:v>3222</x:v>
      </x:c>
      <x:c r="AN4" s="2" t="s">
        <x:v>3222</x:v>
      </x:c>
      <x:c r="AO4" s="2" t="s">
        <x:v>3222</x:v>
      </x:c>
      <x:c r="AP4" s="2" t="s">
        <x:v>3222</x:v>
      </x:c>
      <x:c r="AQ4" s="2" t="s">
        <x:v>3222</x:v>
      </x:c>
      <x:c r="AR4" s="2" t="s">
        <x:v>3222</x:v>
      </x:c>
      <x:c r="AS4" s="2" t="s">
        <x:v>3222</x:v>
      </x:c>
      <x:c r="AT4" s="2" t="s">
        <x:v>3222</x:v>
      </x:c>
      <x:c r="AU4" s="2" t="s">
        <x:v>3222</x:v>
      </x:c>
      <x:c r="AV4" s="2" t="s">
        <x:v>3222</x:v>
      </x:c>
      <x:c r="AW4" s="2" t="s">
        <x:v>3222</x:v>
      </x:c>
      <x:c r="AX4" s="2" t="s">
        <x:v>3222</x:v>
      </x:c>
      <x:c r="AY4" s="2" t="s">
        <x:v>3222</x:v>
      </x:c>
      <x:c r="AZ4" s="2" t="s">
        <x:v>3222</x:v>
      </x:c>
      <x:c r="BA4" s="2" t="s">
        <x:v>3222</x:v>
      </x:c>
      <x:c r="BB4" s="2" t="s">
        <x:v>3222</x:v>
      </x:c>
      <x:c r="BC4" s="2" t="s">
        <x:v>3222</x:v>
      </x:c>
      <x:c r="BD4" s="2" t="s">
        <x:v>3222</x:v>
      </x:c>
      <x:c r="BE4" s="2" t="s">
        <x:v>3222</x:v>
      </x:c>
      <x:c r="BF4" s="2" t="s">
        <x:v>3222</x:v>
      </x:c>
      <x:c r="BG4" s="2" t="s">
        <x:v>3222</x:v>
      </x:c>
      <x:c r="BH4" s="2" t="s">
        <x:v>3222</x:v>
      </x:c>
      <x:c r="BI4" s="2" t="s">
        <x:v>3222</x:v>
      </x:c>
      <x:c r="BJ4" s="2" t="s">
        <x:v>3222</x:v>
      </x:c>
      <x:c r="BK4" s="2" t="s">
        <x:v>3222</x:v>
      </x:c>
      <x:c r="BL4" s="2" t="s">
        <x:v>3222</x:v>
      </x:c>
      <x:c r="BM4" s="2" t="s">
        <x:v>3222</x:v>
      </x:c>
      <x:c r="BN4" s="2" t="s">
        <x:v>3222</x:v>
      </x:c>
      <x:c r="BO4" s="2" t="s">
        <x:v>3222</x:v>
      </x:c>
      <x:c r="BP4" s="2" t="s">
        <x:v>3222</x:v>
      </x:c>
      <x:c r="BQ4" s="2" t="s">
        <x:v>3222</x:v>
      </x:c>
      <x:c r="BR4" s="2" t="s">
        <x:v>3222</x:v>
      </x:c>
      <x:c r="BS4" s="2" t="s">
        <x:v>3222</x:v>
      </x:c>
      <x:c r="BT4" s="2" t="s">
        <x:v>3222</x:v>
      </x:c>
      <x:c r="BU4" s="2" t="s">
        <x:v>3222</x:v>
      </x:c>
      <x:c r="BV4" s="2" t="s">
        <x:v>3222</x:v>
      </x:c>
      <x:c r="BW4" s="2" t="s">
        <x:v>3222</x:v>
      </x:c>
      <x:c r="BX4" s="2" t="s">
        <x:v>3222</x:v>
      </x:c>
      <x:c r="BY4" s="2" t="s">
        <x:v>3222</x:v>
      </x:c>
      <x:c r="BZ4" s="2" t="s">
        <x:v>3222</x:v>
      </x:c>
      <x:c r="CA4" s="2" t="s">
        <x:v>3222</x:v>
      </x:c>
      <x:c r="CB4" s="2" t="s">
        <x:v>3222</x:v>
      </x:c>
      <x:c r="CC4" s="2" t="s">
        <x:v>3222</x:v>
      </x:c>
      <x:c r="CD4" s="2" t="s">
        <x:v>3222</x:v>
      </x:c>
      <x:c r="CE4" s="2" t="s">
        <x:v>3222</x:v>
      </x:c>
      <x:c r="CF4" s="2" t="s">
        <x:v>3222</x:v>
      </x:c>
      <x:c r="CG4" s="2" t="s">
        <x:v>3222</x:v>
      </x:c>
      <x:c r="CH4" s="2" t="s">
        <x:v>3222</x:v>
      </x:c>
      <x:c r="CI4" s="2" t="s">
        <x:v>3222</x:v>
      </x:c>
      <x:c r="CJ4" s="2" t="s">
        <x:v>3222</x:v>
      </x:c>
      <x:c r="CK4" s="2" t="s">
        <x:v>3222</x:v>
      </x:c>
      <x:c r="CL4" s="2" t="s">
        <x:v>3222</x:v>
      </x:c>
      <x:c r="CM4" s="2" t="s">
        <x:v>3222</x:v>
      </x:c>
      <x:c r="CN4" s="2" t="s">
        <x:v>3222</x:v>
      </x:c>
      <x:c r="CO4" s="2" t="s">
        <x:v>3222</x:v>
      </x:c>
      <x:c r="CP4" s="2" t="s">
        <x:v>3222</x:v>
      </x:c>
      <x:c r="CQ4" s="2" t="s">
        <x:v>3222</x:v>
      </x:c>
      <x:c r="CR4" s="2" t="s">
        <x:v>3222</x:v>
      </x:c>
      <x:c r="CS4" s="2" t="s">
        <x:v>3222</x:v>
      </x:c>
      <x:c r="CT4" s="2" t="s">
        <x:v>3222</x:v>
      </x:c>
      <x:c r="CU4" s="2" t="s">
        <x:v>3222</x:v>
      </x:c>
      <x:c r="CV4" s="2" t="s">
        <x:v>3222</x:v>
      </x:c>
      <x:c r="CW4" s="2" t="s">
        <x:v>3222</x:v>
      </x:c>
      <x:c r="CX4" s="2" t="s">
        <x:v>3222</x:v>
      </x:c>
      <x:c r="CY4" s="2" t="s">
        <x:v>3222</x:v>
      </x:c>
      <x:c r="CZ4" s="2" t="s">
        <x:v>3222</x:v>
      </x:c>
      <x:c r="DA4" s="2" t="s">
        <x:v>3222</x:v>
      </x:c>
      <x:c r="DB4" s="2" t="s">
        <x:v>3222</x:v>
      </x:c>
      <x:c r="DC4" s="2" t="s">
        <x:v>3222</x:v>
      </x:c>
      <x:c r="DD4" s="2" t="s">
        <x:v>3222</x:v>
      </x:c>
      <x:c r="DE4" s="2" t="s">
        <x:v>3222</x:v>
      </x:c>
      <x:c r="DF4" s="2" t="s">
        <x:v>3222</x:v>
      </x:c>
      <x:c r="DG4" s="2" t="s">
        <x:v>3222</x:v>
      </x:c>
      <x:c r="DH4" s="2" t="s">
        <x:v>3222</x:v>
      </x:c>
      <x:c r="DI4" s="2" t="s">
        <x:v>3222</x:v>
      </x:c>
      <x:c r="DJ4" s="2" t="s">
        <x:v>3222</x:v>
      </x:c>
      <x:c r="DK4" s="2" t="s">
        <x:v>3222</x:v>
      </x:c>
      <x:c r="DL4" s="2" t="s">
        <x:v>3222</x:v>
      </x:c>
      <x:c r="DM4" s="2" t="s">
        <x:v>3222</x:v>
      </x:c>
      <x:c r="DN4" s="2" t="s">
        <x:v>3222</x:v>
      </x:c>
      <x:c r="DO4" s="2" t="s">
        <x:v>3222</x:v>
      </x:c>
      <x:c r="DP4" s="2" t="s">
        <x:v>3222</x:v>
      </x:c>
      <x:c r="DQ4" s="2" t="s">
        <x:v>3222</x:v>
      </x:c>
      <x:c r="DR4" s="2" t="s">
        <x:v>3222</x:v>
      </x:c>
      <x:c r="DS4" s="2" t="s">
        <x:v>3222</x:v>
      </x:c>
      <x:c r="DT4" s="2" t="s">
        <x:v>3222</x:v>
      </x:c>
      <x:c r="DU4" s="2" t="s">
        <x:v>3222</x:v>
      </x:c>
      <x:c r="DV4" s="2" t="s">
        <x:v>3222</x:v>
      </x:c>
      <x:c r="DW4" s="2" t="s">
        <x:v>3222</x:v>
      </x:c>
      <x:c r="DX4" s="2" t="s">
        <x:v>3222</x:v>
      </x:c>
      <x:c r="DY4" s="2" t="s">
        <x:v>3222</x:v>
      </x:c>
      <x:c r="DZ4" s="2" t="s">
        <x:v>3222</x:v>
      </x:c>
      <x:c r="EA4" s="2" t="s">
        <x:v>3222</x:v>
      </x:c>
      <x:c r="EB4" s="2" t="s">
        <x:v>3222</x:v>
      </x:c>
      <x:c r="EC4" s="2" t="s">
        <x:v>3222</x:v>
      </x:c>
      <x:c r="ED4" s="2" t="s">
        <x:v>3222</x:v>
      </x:c>
      <x:c r="EE4" s="2" t="s">
        <x:v>3222</x:v>
      </x:c>
      <x:c r="EF4" s="2" t="s">
        <x:v>3222</x:v>
      </x:c>
      <x:c r="EG4" s="2" t="s">
        <x:v>3222</x:v>
      </x:c>
      <x:c r="EH4" s="2" t="s">
        <x:v>3222</x:v>
      </x:c>
      <x:c r="EI4" s="2" t="s">
        <x:v>3222</x:v>
      </x:c>
      <x:c r="EJ4" s="2" t="s">
        <x:v>3222</x:v>
      </x:c>
      <x:c r="EK4" s="2" t="s">
        <x:v>3222</x:v>
      </x:c>
      <x:c r="EL4" s="2" t="s">
        <x:v>3222</x:v>
      </x:c>
      <x:c r="EM4" s="2" t="s">
        <x:v>3222</x:v>
      </x:c>
      <x:c r="EN4" s="2" t="s">
        <x:v>3222</x:v>
      </x:c>
      <x:c r="EO4" s="2" t="s">
        <x:v>3222</x:v>
      </x:c>
      <x:c r="EP4" s="2" t="s">
        <x:v>3222</x:v>
      </x:c>
      <x:c r="EQ4" s="2" t="s">
        <x:v>3222</x:v>
      </x:c>
      <x:c r="ER4" s="2" t="s">
        <x:v>3222</x:v>
      </x:c>
      <x:c r="ES4" s="2" t="s">
        <x:v>3222</x:v>
      </x:c>
      <x:c r="ET4" s="2" t="s">
        <x:v>3222</x:v>
      </x:c>
      <x:c r="EU4" s="2" t="s">
        <x:v>3222</x:v>
      </x:c>
      <x:c r="EV4" s="2" t="s">
        <x:v>3222</x:v>
      </x:c>
      <x:c r="EW4" s="2" t="s">
        <x:v>3222</x:v>
      </x:c>
      <x:c r="EX4" s="2" t="s">
        <x:v>3222</x:v>
      </x:c>
      <x:c r="EY4" s="2" t="s">
        <x:v>3222</x:v>
      </x:c>
      <x:c r="EZ4" s="2" t="s">
        <x:v>3222</x:v>
      </x:c>
      <x:c r="FA4" s="2" t="s">
        <x:v>3222</x:v>
      </x:c>
    </x:row>
    <x:row r="5" ht="135">
      <x:c r="A5" s="2" t="s">
        <x:v>71</x:v>
      </x:c>
      <x:c r="B5" s="2" t="s">
        <x:v>275</x:v>
      </x:c>
      <x:c r="C5" s="2" t="s">
        <x:v>3430</x:v>
      </x:c>
      <x:c r="D5" s="2" t="s">
        <x:v>271</x:v>
      </x:c>
      <x:c r="E5" s="2" t="s">
        <x:v>218</x:v>
      </x:c>
      <x:c r="F5" s="2" t="s">
        <x:v>169</x:v>
      </x:c>
      <x:c r="G5" s="2" t="s">
        <x:v>187</x:v>
      </x:c>
      <x:c r="H5" s="2" t="s">
        <x:v>1817</x:v>
      </x:c>
      <x:c r="I5" s="2" t="s">
        <x:v>1817</x:v>
      </x:c>
      <x:c r="J5" s="2" t="s">
        <x:v>218</x:v>
      </x:c>
      <x:c r="K5" s="2" t="s">
        <x:v>218</x:v>
      </x:c>
      <x:c r="L5" s="2" t="s">
        <x:v>171</x:v>
      </x:c>
      <x:c r="M5" s="2" t="s">
        <x:v>172</x:v>
      </x:c>
      <x:c r="N5" s="2" t="s">
        <x:v>172</x:v>
      </x:c>
      <x:c r="O5" s="2" t="s">
        <x:v>172</x:v>
      </x:c>
      <x:c r="P5" s="2" t="s">
        <x:v>172</x:v>
      </x:c>
      <x:c r="Q5" s="2" t="s">
        <x:v>171</x:v>
      </x:c>
      <x:c r="R5" s="2" t="s">
        <x:v>172</x:v>
      </x:c>
      <x:c r="S5" s="2" t="s">
        <x:v>3426</x:v>
      </x:c>
      <x:c r="T5" s="2" t="s">
        <x:v>3431</x:v>
      </x:c>
      <x:c r="U5" s="2" t="s">
        <x:v>1830</x:v>
      </x:c>
      <x:c r="V5" s="2" t="s">
        <x:v>171</x:v>
      </x:c>
      <x:c r="W5" s="2" t="s">
        <x:v>1901</x:v>
      </x:c>
      <x:c r="X5" s="2" t="s">
        <x:v>1900</x:v>
      </x:c>
      <x:c r="Y5" s="2">
        <x:v>2</x:v>
      </x:c>
      <x:c r="Z5" s="2" t="s">
        <x:v>3237</x:v>
      </x:c>
      <x:c r="AA5" s="2"/>
      <x:c r="AB5" s="2"/>
      <x:c r="AC5" s="2" t="s">
        <x:v>70</x:v>
      </x:c>
      <x:c r="AD5" s="2" t="s">
        <x:v>3222</x:v>
      </x:c>
      <x:c r="AE5" s="2" t="s">
        <x:v>3222</x:v>
      </x:c>
      <x:c r="AF5" s="2" t="s">
        <x:v>3222</x:v>
      </x:c>
      <x:c r="AG5" s="2" t="s">
        <x:v>3222</x:v>
      </x:c>
      <x:c r="AH5" s="2" t="s">
        <x:v>3222</x:v>
      </x:c>
      <x:c r="AI5" s="2" t="s">
        <x:v>3222</x:v>
      </x:c>
      <x:c r="AJ5" s="2" t="s">
        <x:v>3222</x:v>
      </x:c>
      <x:c r="AK5" s="2" t="s">
        <x:v>3222</x:v>
      </x:c>
      <x:c r="AL5" s="2" t="s">
        <x:v>3222</x:v>
      </x:c>
      <x:c r="AM5" s="2" t="s">
        <x:v>3222</x:v>
      </x:c>
      <x:c r="AN5" s="2" t="s">
        <x:v>3222</x:v>
      </x:c>
      <x:c r="AO5" s="2" t="s">
        <x:v>3222</x:v>
      </x:c>
      <x:c r="AP5" s="2" t="s">
        <x:v>3222</x:v>
      </x:c>
      <x:c r="AQ5" s="2" t="s">
        <x:v>3222</x:v>
      </x:c>
      <x:c r="AR5" s="2" t="s">
        <x:v>3222</x:v>
      </x:c>
      <x:c r="AS5" s="2" t="s">
        <x:v>3222</x:v>
      </x:c>
      <x:c r="AT5" s="2" t="s">
        <x:v>3222</x:v>
      </x:c>
      <x:c r="AU5" s="2" t="s">
        <x:v>3222</x:v>
      </x:c>
      <x:c r="AV5" s="2" t="s">
        <x:v>3222</x:v>
      </x:c>
      <x:c r="AW5" s="2" t="s">
        <x:v>3222</x:v>
      </x:c>
      <x:c r="AX5" s="2" t="s">
        <x:v>3222</x:v>
      </x:c>
      <x:c r="AY5" s="2" t="s">
        <x:v>3222</x:v>
      </x:c>
      <x:c r="AZ5" s="2" t="s">
        <x:v>3222</x:v>
      </x:c>
      <x:c r="BA5" s="2" t="s">
        <x:v>3222</x:v>
      </x:c>
      <x:c r="BB5" s="2" t="s">
        <x:v>3222</x:v>
      </x:c>
      <x:c r="BC5" s="2" t="s">
        <x:v>3222</x:v>
      </x:c>
      <x:c r="BD5" s="2" t="s">
        <x:v>3222</x:v>
      </x:c>
      <x:c r="BE5" s="2" t="s">
        <x:v>3222</x:v>
      </x:c>
      <x:c r="BF5" s="2" t="s">
        <x:v>3222</x:v>
      </x:c>
      <x:c r="BG5" s="2" t="s">
        <x:v>3222</x:v>
      </x:c>
      <x:c r="BH5" s="2" t="s">
        <x:v>3222</x:v>
      </x:c>
      <x:c r="BI5" s="2" t="s">
        <x:v>3222</x:v>
      </x:c>
      <x:c r="BJ5" s="2" t="s">
        <x:v>3222</x:v>
      </x:c>
      <x:c r="BK5" s="2" t="s">
        <x:v>3222</x:v>
      </x:c>
      <x:c r="BL5" s="2" t="s">
        <x:v>3222</x:v>
      </x:c>
      <x:c r="BM5" s="2" t="s">
        <x:v>3222</x:v>
      </x:c>
      <x:c r="BN5" s="2" t="s">
        <x:v>3222</x:v>
      </x:c>
      <x:c r="BO5" s="2" t="s">
        <x:v>3222</x:v>
      </x:c>
      <x:c r="BP5" s="2" t="s">
        <x:v>3222</x:v>
      </x:c>
      <x:c r="BQ5" s="2" t="s">
        <x:v>3222</x:v>
      </x:c>
      <x:c r="BR5" s="2" t="s">
        <x:v>3222</x:v>
      </x:c>
      <x:c r="BS5" s="2" t="s">
        <x:v>3222</x:v>
      </x:c>
      <x:c r="BT5" s="2" t="s">
        <x:v>3222</x:v>
      </x:c>
      <x:c r="BU5" s="2" t="s">
        <x:v>3222</x:v>
      </x:c>
      <x:c r="BV5" s="2" t="s">
        <x:v>3222</x:v>
      </x:c>
      <x:c r="BW5" s="2" t="s">
        <x:v>3222</x:v>
      </x:c>
      <x:c r="BX5" s="2" t="s">
        <x:v>3222</x:v>
      </x:c>
      <x:c r="BY5" s="2" t="s">
        <x:v>3222</x:v>
      </x:c>
      <x:c r="BZ5" s="2" t="s">
        <x:v>3222</x:v>
      </x:c>
      <x:c r="CA5" s="2" t="s">
        <x:v>3222</x:v>
      </x:c>
      <x:c r="CB5" s="2" t="s">
        <x:v>3222</x:v>
      </x:c>
      <x:c r="CC5" s="2" t="s">
        <x:v>3222</x:v>
      </x:c>
      <x:c r="CD5" s="2" t="s">
        <x:v>3222</x:v>
      </x:c>
      <x:c r="CE5" s="2" t="s">
        <x:v>3222</x:v>
      </x:c>
      <x:c r="CF5" s="2" t="s">
        <x:v>3222</x:v>
      </x:c>
      <x:c r="CG5" s="2" t="s">
        <x:v>3222</x:v>
      </x:c>
      <x:c r="CH5" s="2" t="s">
        <x:v>3222</x:v>
      </x:c>
      <x:c r="CI5" s="2" t="s">
        <x:v>3222</x:v>
      </x:c>
      <x:c r="CJ5" s="2" t="s">
        <x:v>3222</x:v>
      </x:c>
      <x:c r="CK5" s="2" t="s">
        <x:v>3222</x:v>
      </x:c>
      <x:c r="CL5" s="2" t="s">
        <x:v>3222</x:v>
      </x:c>
      <x:c r="CM5" s="2" t="s">
        <x:v>3222</x:v>
      </x:c>
      <x:c r="CN5" s="2" t="s">
        <x:v>3222</x:v>
      </x:c>
      <x:c r="CO5" s="2" t="s">
        <x:v>3222</x:v>
      </x:c>
      <x:c r="CP5" s="2" t="s">
        <x:v>3222</x:v>
      </x:c>
      <x:c r="CQ5" s="2" t="s">
        <x:v>3222</x:v>
      </x:c>
      <x:c r="CR5" s="2" t="s">
        <x:v>3222</x:v>
      </x:c>
      <x:c r="CS5" s="2" t="s">
        <x:v>3222</x:v>
      </x:c>
      <x:c r="CT5" s="2" t="s">
        <x:v>3222</x:v>
      </x:c>
      <x:c r="CU5" s="2" t="s">
        <x:v>3222</x:v>
      </x:c>
      <x:c r="CV5" s="2" t="s">
        <x:v>3222</x:v>
      </x:c>
      <x:c r="CW5" s="2" t="s">
        <x:v>3222</x:v>
      </x:c>
      <x:c r="CX5" s="2" t="s">
        <x:v>3222</x:v>
      </x:c>
      <x:c r="CY5" s="2" t="s">
        <x:v>3222</x:v>
      </x:c>
      <x:c r="CZ5" s="2" t="s">
        <x:v>3222</x:v>
      </x:c>
      <x:c r="DA5" s="2" t="s">
        <x:v>3222</x:v>
      </x:c>
      <x:c r="DB5" s="2" t="s">
        <x:v>3222</x:v>
      </x:c>
      <x:c r="DC5" s="2" t="s">
        <x:v>3222</x:v>
      </x:c>
      <x:c r="DD5" s="2" t="s">
        <x:v>3222</x:v>
      </x:c>
      <x:c r="DE5" s="2" t="s">
        <x:v>3222</x:v>
      </x:c>
      <x:c r="DF5" s="2" t="s">
        <x:v>3222</x:v>
      </x:c>
      <x:c r="DG5" s="2" t="s">
        <x:v>3222</x:v>
      </x:c>
      <x:c r="DH5" s="2" t="s">
        <x:v>3222</x:v>
      </x:c>
      <x:c r="DI5" s="2" t="s">
        <x:v>3222</x:v>
      </x:c>
      <x:c r="DJ5" s="2" t="s">
        <x:v>3222</x:v>
      </x:c>
      <x:c r="DK5" s="2" t="s">
        <x:v>3222</x:v>
      </x:c>
      <x:c r="DL5" s="2" t="s">
        <x:v>3222</x:v>
      </x:c>
      <x:c r="DM5" s="2" t="s">
        <x:v>3222</x:v>
      </x:c>
      <x:c r="DN5" s="2" t="s">
        <x:v>3222</x:v>
      </x:c>
      <x:c r="DO5" s="2" t="s">
        <x:v>3222</x:v>
      </x:c>
      <x:c r="DP5" s="2" t="s">
        <x:v>3222</x:v>
      </x:c>
      <x:c r="DQ5" s="2" t="s">
        <x:v>3222</x:v>
      </x:c>
      <x:c r="DR5" s="2" t="s">
        <x:v>3222</x:v>
      </x:c>
      <x:c r="DS5" s="2" t="s">
        <x:v>3222</x:v>
      </x:c>
      <x:c r="DT5" s="2" t="s">
        <x:v>3222</x:v>
      </x:c>
      <x:c r="DU5" s="2" t="s">
        <x:v>3222</x:v>
      </x:c>
      <x:c r="DV5" s="2" t="s">
        <x:v>3222</x:v>
      </x:c>
      <x:c r="DW5" s="2" t="s">
        <x:v>3222</x:v>
      </x:c>
      <x:c r="DX5" s="2" t="s">
        <x:v>3222</x:v>
      </x:c>
      <x:c r="DY5" s="2" t="s">
        <x:v>3222</x:v>
      </x:c>
      <x:c r="DZ5" s="2" t="s">
        <x:v>3222</x:v>
      </x:c>
      <x:c r="EA5" s="2" t="s">
        <x:v>3222</x:v>
      </x:c>
      <x:c r="EB5" s="2" t="s">
        <x:v>3222</x:v>
      </x:c>
      <x:c r="EC5" s="2" t="s">
        <x:v>3222</x:v>
      </x:c>
      <x:c r="ED5" s="2" t="s">
        <x:v>3222</x:v>
      </x:c>
      <x:c r="EE5" s="2" t="s">
        <x:v>3222</x:v>
      </x:c>
      <x:c r="EF5" s="2" t="s">
        <x:v>3222</x:v>
      </x:c>
      <x:c r="EG5" s="2" t="s">
        <x:v>3222</x:v>
      </x:c>
      <x:c r="EH5" s="2" t="s">
        <x:v>3222</x:v>
      </x:c>
      <x:c r="EI5" s="2" t="s">
        <x:v>3222</x:v>
      </x:c>
      <x:c r="EJ5" s="2" t="s">
        <x:v>3222</x:v>
      </x:c>
      <x:c r="EK5" s="2" t="s">
        <x:v>3222</x:v>
      </x:c>
      <x:c r="EL5" s="2" t="s">
        <x:v>3222</x:v>
      </x:c>
      <x:c r="EM5" s="2" t="s">
        <x:v>3222</x:v>
      </x:c>
      <x:c r="EN5" s="2" t="s">
        <x:v>3222</x:v>
      </x:c>
      <x:c r="EO5" s="2" t="s">
        <x:v>3222</x:v>
      </x:c>
      <x:c r="EP5" s="2" t="s">
        <x:v>3222</x:v>
      </x:c>
      <x:c r="EQ5" s="2" t="s">
        <x:v>3222</x:v>
      </x:c>
      <x:c r="ER5" s="2" t="s">
        <x:v>3222</x:v>
      </x:c>
      <x:c r="ES5" s="2" t="s">
        <x:v>3222</x:v>
      </x:c>
      <x:c r="ET5" s="2" t="s">
        <x:v>3222</x:v>
      </x:c>
      <x:c r="EU5" s="2" t="s">
        <x:v>3222</x:v>
      </x:c>
      <x:c r="EV5" s="2" t="s">
        <x:v>3222</x:v>
      </x:c>
      <x:c r="EW5" s="2" t="s">
        <x:v>3222</x:v>
      </x:c>
      <x:c r="EX5" s="2" t="s">
        <x:v>3222</x:v>
      </x:c>
      <x:c r="EY5" s="2" t="s">
        <x:v>3222</x:v>
      </x:c>
      <x:c r="EZ5" s="2" t="s">
        <x:v>3222</x:v>
      </x:c>
      <x:c r="FA5" s="2" t="s">
        <x:v>3222</x:v>
      </x:c>
    </x:row>
    <x:row r="6" ht="135">
      <x:c r="A6" s="2" t="s">
        <x:v>71</x:v>
      </x:c>
      <x:c r="B6" s="2" t="s">
        <x:v>281</x:v>
      </x:c>
      <x:c r="C6" s="2" t="s">
        <x:v>3430</x:v>
      </x:c>
      <x:c r="D6" s="2" t="s">
        <x:v>282</x:v>
      </x:c>
      <x:c r="E6" s="2" t="s">
        <x:v>218</x:v>
      </x:c>
      <x:c r="F6" s="2" t="s">
        <x:v>169</x:v>
      </x:c>
      <x:c r="G6" s="2" t="s">
        <x:v>187</x:v>
      </x:c>
      <x:c r="H6" s="2" t="s">
        <x:v>1817</x:v>
      </x:c>
      <x:c r="I6" s="2" t="s">
        <x:v>1817</x:v>
      </x:c>
      <x:c r="J6" s="2" t="s">
        <x:v>218</x:v>
      </x:c>
      <x:c r="K6" s="2" t="s">
        <x:v>218</x:v>
      </x:c>
      <x:c r="L6" s="2" t="s">
        <x:v>171</x:v>
      </x:c>
      <x:c r="M6" s="2" t="s">
        <x:v>172</x:v>
      </x:c>
      <x:c r="N6" s="2" t="s">
        <x:v>172</x:v>
      </x:c>
      <x:c r="O6" s="2" t="s">
        <x:v>172</x:v>
      </x:c>
      <x:c r="P6" s="2" t="s">
        <x:v>172</x:v>
      </x:c>
      <x:c r="Q6" s="2" t="s">
        <x:v>171</x:v>
      </x:c>
      <x:c r="R6" s="2" t="s">
        <x:v>172</x:v>
      </x:c>
      <x:c r="S6" s="2" t="s">
        <x:v>3426</x:v>
      </x:c>
      <x:c r="T6" s="2" t="s">
        <x:v>3431</x:v>
      </x:c>
      <x:c r="U6" s="2" t="s">
        <x:v>1830</x:v>
      </x:c>
      <x:c r="V6" s="2" t="s">
        <x:v>171</x:v>
      </x:c>
      <x:c r="W6" s="2" t="s">
        <x:v>1910</x:v>
      </x:c>
      <x:c r="X6" s="2" t="s">
        <x:v>1909</x:v>
      </x:c>
      <x:c r="Y6" s="2">
        <x:v>3</x:v>
      </x:c>
      <x:c r="Z6" s="2" t="s">
        <x:v>3241</x:v>
      </x:c>
      <x:c r="AA6" s="2"/>
      <x:c r="AB6" s="2"/>
      <x:c r="AC6" s="2" t="s">
        <x:v>71</x:v>
      </x:c>
      <x:c r="AD6" s="2" t="s">
        <x:v>270</x:v>
      </x:c>
      <x:c r="AE6" s="2" t="s">
        <x:v>3430</x:v>
      </x:c>
      <x:c r="AF6" s="2">
        <x:v>69598</x:v>
      </x:c>
      <x:c r="AG6" s="2">
        <x:v>4</x:v>
      </x:c>
      <x:c r="AH6" s="2">
        <x:v>0</x:v>
      </x:c>
      <x:c r="AI6" s="2" t="s">
        <x:v>187</x:v>
      </x:c>
      <x:c r="AJ6" s="2" t="s">
        <x:v>3433</x:v>
      </x:c>
      <x:c r="AK6" s="2" t="s">
        <x:v>3431</x:v>
      </x:c>
      <x:c r="AL6" s="2" t="s">
        <x:v>275</x:v>
      </x:c>
      <x:c r="AM6" s="2" t="s">
        <x:v>3430</x:v>
      </x:c>
      <x:c r="AN6" s="2">
        <x:v>69598</x:v>
      </x:c>
      <x:c r="AO6" s="2">
        <x:v>4</x:v>
      </x:c>
      <x:c r="AP6" s="2">
        <x:v>0</x:v>
      </x:c>
      <x:c r="AQ6" s="2" t="s">
        <x:v>187</x:v>
      </x:c>
      <x:c r="AR6" s="2" t="s">
        <x:v>3433</x:v>
      </x:c>
      <x:c r="AS6" s="2" t="s">
        <x:v>3431</x:v>
      </x:c>
      <x:c r="AT6" s="2" t="s">
        <x:v>281</x:v>
      </x:c>
      <x:c r="AU6" s="2" t="s">
        <x:v>3430</x:v>
      </x:c>
      <x:c r="AV6" s="2">
        <x:v>69698</x:v>
      </x:c>
      <x:c r="AW6" s="2">
        <x:v>4</x:v>
      </x:c>
      <x:c r="AX6" s="2">
        <x:v>0</x:v>
      </x:c>
      <x:c r="AY6" s="2" t="s">
        <x:v>187</x:v>
      </x:c>
      <x:c r="AZ6" s="2" t="s">
        <x:v>3433</x:v>
      </x:c>
      <x:c r="BA6" s="2" t="s">
        <x:v>3431</x:v>
      </x:c>
      <x:c r="BB6" s="2" t="s">
        <x:v>286</x:v>
      </x:c>
      <x:c r="BC6" s="2" t="s">
        <x:v>3430</x:v>
      </x:c>
      <x:c r="BD6" s="2">
        <x:v>69598</x:v>
      </x:c>
      <x:c r="BE6" s="2">
        <x:v>4</x:v>
      </x:c>
      <x:c r="BF6" s="2">
        <x:v>0</x:v>
      </x:c>
      <x:c r="BG6" s="2" t="s">
        <x:v>236</x:v>
      </x:c>
      <x:c r="BH6" s="2" t="s">
        <x:v>3433</x:v>
      </x:c>
      <x:c r="BI6" s="2" t="s">
        <x:v>3434</x:v>
      </x:c>
      <x:c r="BJ6" s="2" t="s">
        <x:v>304</x:v>
      </x:c>
      <x:c r="BK6" s="2" t="s">
        <x:v>3430</x:v>
      </x:c>
      <x:c r="BL6" s="2">
        <x:v>68922</x:v>
      </x:c>
      <x:c r="BM6" s="2">
        <x:v>9</x:v>
      </x:c>
      <x:c r="BN6" s="2">
        <x:v>0</x:v>
      </x:c>
      <x:c r="BO6" s="2" t="s">
        <x:v>187</x:v>
      </x:c>
      <x:c r="BP6" s="2" t="s">
        <x:v>3435</x:v>
      </x:c>
      <x:c r="BQ6" s="2" t="s">
        <x:v>3436</x:v>
      </x:c>
      <x:c r="BR6" s="2" t="s">
        <x:v>1949</x:v>
      </x:c>
      <x:c r="BS6" s="2" t="s">
        <x:v>3430</x:v>
      </x:c>
      <x:c r="BT6" s="2">
        <x:v>68000</x:v>
      </x:c>
      <x:c r="BU6" s="2">
        <x:v>4</x:v>
      </x:c>
      <x:c r="BV6" s="2">
        <x:v>4</x:v>
      </x:c>
      <x:c r="BW6" s="2" t="s">
        <x:v>168</x:v>
      </x:c>
      <x:c r="BX6" s="2" t="s">
        <x:v>3437</x:v>
      </x:c>
      <x:c r="BY6" s="2" t="s">
        <x:v>3438</x:v>
      </x:c>
      <x:c r="BZ6" s="2" t="s">
        <x:v>318</x:v>
      </x:c>
      <x:c r="CA6" s="2" t="s">
        <x:v>3430</x:v>
      </x:c>
      <x:c r="CB6" s="2">
        <x:v>70200</x:v>
      </x:c>
      <x:c r="CC6" s="2">
        <x:v>5</x:v>
      </x:c>
      <x:c r="CD6" s="2">
        <x:v>0</x:v>
      </x:c>
      <x:c r="CE6" s="2" t="s">
        <x:v>187</x:v>
      </x:c>
      <x:c r="CF6" s="2" t="s">
        <x:v>3439</x:v>
      </x:c>
      <x:c r="CG6" s="2" t="s">
        <x:v>3440</x:v>
      </x:c>
      <x:c r="CH6" s="2" t="s">
        <x:v>324</x:v>
      </x:c>
      <x:c r="CI6" s="2" t="s">
        <x:v>3430</x:v>
      </x:c>
      <x:c r="CJ6" s="2">
        <x:v>69080</x:v>
      </x:c>
      <x:c r="CK6" s="2">
        <x:v>5</x:v>
      </x:c>
      <x:c r="CL6" s="2">
        <x:v>0</x:v>
      </x:c>
      <x:c r="CM6" s="2" t="s">
        <x:v>187</x:v>
      </x:c>
      <x:c r="CN6" s="2" t="s">
        <x:v>3439</x:v>
      </x:c>
      <x:c r="CO6" s="2" t="s">
        <x:v>3440</x:v>
      </x:c>
      <x:c r="CP6" s="2" t="s">
        <x:v>350</x:v>
      </x:c>
      <x:c r="CQ6" s="2" t="s">
        <x:v>3430</x:v>
      </x:c>
      <x:c r="CR6" s="2">
        <x:v>68577</x:v>
      </x:c>
      <x:c r="CS6" s="2">
        <x:v>7</x:v>
      </x:c>
      <x:c r="CT6" s="2">
        <x:v>0</x:v>
      </x:c>
      <x:c r="CU6" s="2" t="s">
        <x:v>187</x:v>
      </x:c>
      <x:c r="CV6" s="2" t="s">
        <x:v>3441</x:v>
      </x:c>
      <x:c r="CW6" s="2" t="s">
        <x:v>3442</x:v>
      </x:c>
      <x:c r="CX6" s="2" t="s">
        <x:v>353</x:v>
      </x:c>
      <x:c r="CY6" s="2" t="s">
        <x:v>3430</x:v>
      </x:c>
      <x:c r="CZ6" s="2">
        <x:v>68659</x:v>
      </x:c>
      <x:c r="DA6" s="2">
        <x:v>7</x:v>
      </x:c>
      <x:c r="DB6" s="2">
        <x:v>0</x:v>
      </x:c>
      <x:c r="DC6" s="2" t="s">
        <x:v>187</x:v>
      </x:c>
      <x:c r="DD6" s="2" t="s">
        <x:v>3441</x:v>
      </x:c>
      <x:c r="DE6" s="2" t="s">
        <x:v>3442</x:v>
      </x:c>
      <x:c r="DF6" s="2" t="s">
        <x:v>361</x:v>
      </x:c>
      <x:c r="DG6" s="2" t="s">
        <x:v>3430</x:v>
      </x:c>
      <x:c r="DH6" s="2">
        <x:v>68000</x:v>
      </x:c>
      <x:c r="DI6" s="2">
        <x:v>10</x:v>
      </x:c>
      <x:c r="DJ6" s="2">
        <x:v>0</x:v>
      </x:c>
      <x:c r="DK6" s="2" t="s">
        <x:v>187</x:v>
      </x:c>
      <x:c r="DL6" s="2" t="s">
        <x:v>3443</x:v>
      </x:c>
      <x:c r="DM6" s="2" t="s">
        <x:v>3444</x:v>
      </x:c>
      <x:c r="DN6" s="2" t="s">
        <x:v>363</x:v>
      </x:c>
      <x:c r="DO6" s="2" t="s">
        <x:v>3430</x:v>
      </x:c>
      <x:c r="DP6" s="2">
        <x:v>68148</x:v>
      </x:c>
      <x:c r="DQ6" s="2">
        <x:v>12</x:v>
      </x:c>
      <x:c r="DR6" s="2">
        <x:v>0</x:v>
      </x:c>
      <x:c r="DS6" s="2" t="s">
        <x:v>187</x:v>
      </x:c>
      <x:c r="DT6" s="2" t="s">
        <x:v>3443</x:v>
      </x:c>
      <x:c r="DU6" s="2" t="s">
        <x:v>3444</x:v>
      </x:c>
      <x:c r="DV6" s="2" t="s">
        <x:v>375</x:v>
      </x:c>
      <x:c r="DW6" s="2" t="s">
        <x:v>3430</x:v>
      </x:c>
      <x:c r="DX6" s="2">
        <x:v>67921</x:v>
      </x:c>
      <x:c r="DY6" s="2">
        <x:v>17</x:v>
      </x:c>
      <x:c r="DZ6" s="2">
        <x:v>0</x:v>
      </x:c>
      <x:c r="EA6" s="2" t="s">
        <x:v>187</x:v>
      </x:c>
      <x:c r="EB6" s="2" t="s">
        <x:v>3445</x:v>
      </x:c>
      <x:c r="EC6" s="2" t="s">
        <x:v>3446</x:v>
      </x:c>
      <x:c r="ED6" s="2" t="s">
        <x:v>378</x:v>
      </x:c>
      <x:c r="EE6" s="2" t="s">
        <x:v>3430</x:v>
      </x:c>
      <x:c r="EF6" s="2">
        <x:v>68074</x:v>
      </x:c>
      <x:c r="EG6" s="2">
        <x:v>17</x:v>
      </x:c>
      <x:c r="EH6" s="2">
        <x:v>0</x:v>
      </x:c>
      <x:c r="EI6" s="2" t="s">
        <x:v>187</x:v>
      </x:c>
      <x:c r="EJ6" s="2" t="s">
        <x:v>3445</x:v>
      </x:c>
      <x:c r="EK6" s="2" t="s">
        <x:v>3446</x:v>
      </x:c>
      <x:c r="EL6" s="2" t="s">
        <x:v>387</x:v>
      </x:c>
      <x:c r="EM6" s="2" t="s">
        <x:v>3430</x:v>
      </x:c>
      <x:c r="EN6" s="2">
        <x:v>67640</x:v>
      </x:c>
      <x:c r="EO6" s="2">
        <x:v>27.852</x:v>
      </x:c>
      <x:c r="EP6" s="2">
        <x:v>0</x:v>
      </x:c>
      <x:c r="EQ6" s="2" t="s">
        <x:v>187</x:v>
      </x:c>
      <x:c r="ER6" s="2" t="s">
        <x:v>3447</x:v>
      </x:c>
      <x:c r="ES6" s="2" t="s">
        <x:v>3448</x:v>
      </x:c>
      <x:c r="ET6" s="2" t="s">
        <x:v>390</x:v>
      </x:c>
      <x:c r="EU6" s="2" t="s">
        <x:v>3430</x:v>
      </x:c>
      <x:c r="EV6" s="2">
        <x:v>67598</x:v>
      </x:c>
      <x:c r="EW6" s="2">
        <x:v>27.852</x:v>
      </x:c>
      <x:c r="EX6" s="2">
        <x:v>0</x:v>
      </x:c>
      <x:c r="EY6" s="2" t="s">
        <x:v>236</x:v>
      </x:c>
      <x:c r="EZ6" s="2" t="s">
        <x:v>3447</x:v>
      </x:c>
      <x:c r="FA6" s="2" t="s">
        <x:v>3449</x:v>
      </x:c>
    </x:row>
    <x:row r="7" ht="135">
      <x:c r="A7" s="2" t="s">
        <x:v>71</x:v>
      </x:c>
      <x:c r="B7" s="2" t="s">
        <x:v>286</x:v>
      </x:c>
      <x:c r="C7" s="2" t="s">
        <x:v>3430</x:v>
      </x:c>
      <x:c r="D7" s="2" t="s">
        <x:v>271</x:v>
      </x:c>
      <x:c r="E7" s="2" t="s">
        <x:v>218</x:v>
      </x:c>
      <x:c r="F7" s="2" t="s">
        <x:v>169</x:v>
      </x:c>
      <x:c r="G7" s="2" t="s">
        <x:v>236</x:v>
      </x:c>
      <x:c r="H7" s="2" t="s">
        <x:v>1817</x:v>
      </x:c>
      <x:c r="I7" s="2" t="s">
        <x:v>1817</x:v>
      </x:c>
      <x:c r="J7" s="2" t="s">
        <x:v>218</x:v>
      </x:c>
      <x:c r="K7" s="2" t="s">
        <x:v>218</x:v>
      </x:c>
      <x:c r="L7" s="2" t="s">
        <x:v>172</x:v>
      </x:c>
      <x:c r="M7" s="2" t="s">
        <x:v>171</x:v>
      </x:c>
      <x:c r="N7" s="2" t="s">
        <x:v>172</x:v>
      </x:c>
      <x:c r="O7" s="2" t="s">
        <x:v>172</x:v>
      </x:c>
      <x:c r="P7" s="2" t="s">
        <x:v>172</x:v>
      </x:c>
      <x:c r="Q7" s="2" t="s">
        <x:v>171</x:v>
      </x:c>
      <x:c r="R7" s="2" t="s">
        <x:v>172</x:v>
      </x:c>
      <x:c r="S7" s="2" t="s">
        <x:v>3426</x:v>
      </x:c>
      <x:c r="T7" s="2" t="s">
        <x:v>3434</x:v>
      </x:c>
      <x:c r="U7" s="2" t="s">
        <x:v>1830</x:v>
      </x:c>
      <x:c r="V7" s="2" t="s">
        <x:v>171</x:v>
      </x:c>
      <x:c r="W7" s="2" t="s">
        <x:v>1920</x:v>
      </x:c>
      <x:c r="X7" s="2" t="s">
        <x:v>1919</x:v>
      </x:c>
      <x:c r="Y7" s="2">
        <x:v>4</x:v>
      </x:c>
      <x:c r="Z7" s="2" t="s">
        <x:v>3245</x:v>
      </x:c>
      <x:c r="AA7" s="2"/>
      <x:c r="AB7" s="2"/>
      <x:c r="AC7" s="2" t="s">
        <x:v>72</x:v>
      </x:c>
      <x:c r="AD7" s="2" t="s">
        <x:v>2374</x:v>
      </x:c>
      <x:c r="AE7" s="2" t="s">
        <x:v>3425</x:v>
      </x:c>
      <x:c r="AF7" s="2">
        <x:v>65706</x:v>
      </x:c>
      <x:c r="AG7" s="2">
        <x:v>8</x:v>
      </x:c>
      <x:c r="AH7" s="2">
        <x:v>8</x:v>
      </x:c>
      <x:c r="AI7" s="2" t="s">
        <x:v>168</x:v>
      </x:c>
      <x:c r="AJ7" s="2" t="s">
        <x:v>3450</x:v>
      </x:c>
      <x:c r="AK7" s="2" t="s">
        <x:v>3451</x:v>
      </x:c>
      <x:c r="AL7" s="2" t="s">
        <x:v>3222</x:v>
      </x:c>
      <x:c r="AM7" s="2" t="s">
        <x:v>3222</x:v>
      </x:c>
      <x:c r="AN7" s="2" t="s">
        <x:v>3222</x:v>
      </x:c>
      <x:c r="AO7" s="2" t="s">
        <x:v>3222</x:v>
      </x:c>
      <x:c r="AP7" s="2" t="s">
        <x:v>3222</x:v>
      </x:c>
      <x:c r="AQ7" s="2" t="s">
        <x:v>3222</x:v>
      </x:c>
      <x:c r="AR7" s="2" t="s">
        <x:v>3222</x:v>
      </x:c>
      <x:c r="AS7" s="2" t="s">
        <x:v>3222</x:v>
      </x:c>
      <x:c r="AT7" s="2" t="s">
        <x:v>3222</x:v>
      </x:c>
      <x:c r="AU7" s="2" t="s">
        <x:v>3222</x:v>
      </x:c>
      <x:c r="AV7" s="2" t="s">
        <x:v>3222</x:v>
      </x:c>
      <x:c r="AW7" s="2" t="s">
        <x:v>3222</x:v>
      </x:c>
      <x:c r="AX7" s="2" t="s">
        <x:v>3222</x:v>
      </x:c>
      <x:c r="AY7" s="2" t="s">
        <x:v>3222</x:v>
      </x:c>
      <x:c r="AZ7" s="2" t="s">
        <x:v>3222</x:v>
      </x:c>
      <x:c r="BA7" s="2" t="s">
        <x:v>3222</x:v>
      </x:c>
      <x:c r="BB7" s="2" t="s">
        <x:v>3222</x:v>
      </x:c>
      <x:c r="BC7" s="2" t="s">
        <x:v>3222</x:v>
      </x:c>
      <x:c r="BD7" s="2" t="s">
        <x:v>3222</x:v>
      </x:c>
      <x:c r="BE7" s="2" t="s">
        <x:v>3222</x:v>
      </x:c>
      <x:c r="BF7" s="2" t="s">
        <x:v>3222</x:v>
      </x:c>
      <x:c r="BG7" s="2" t="s">
        <x:v>3222</x:v>
      </x:c>
      <x:c r="BH7" s="2" t="s">
        <x:v>3222</x:v>
      </x:c>
      <x:c r="BI7" s="2" t="s">
        <x:v>3222</x:v>
      </x:c>
      <x:c r="BJ7" s="2" t="s">
        <x:v>3222</x:v>
      </x:c>
      <x:c r="BK7" s="2" t="s">
        <x:v>3222</x:v>
      </x:c>
      <x:c r="BL7" s="2" t="s">
        <x:v>3222</x:v>
      </x:c>
      <x:c r="BM7" s="2" t="s">
        <x:v>3222</x:v>
      </x:c>
      <x:c r="BN7" s="2" t="s">
        <x:v>3222</x:v>
      </x:c>
      <x:c r="BO7" s="2" t="s">
        <x:v>3222</x:v>
      </x:c>
      <x:c r="BP7" s="2" t="s">
        <x:v>3222</x:v>
      </x:c>
      <x:c r="BQ7" s="2" t="s">
        <x:v>3222</x:v>
      </x:c>
      <x:c r="BR7" s="2" t="s">
        <x:v>3222</x:v>
      </x:c>
      <x:c r="BS7" s="2" t="s">
        <x:v>3222</x:v>
      </x:c>
      <x:c r="BT7" s="2" t="s">
        <x:v>3222</x:v>
      </x:c>
      <x:c r="BU7" s="2" t="s">
        <x:v>3222</x:v>
      </x:c>
      <x:c r="BV7" s="2" t="s">
        <x:v>3222</x:v>
      </x:c>
      <x:c r="BW7" s="2" t="s">
        <x:v>3222</x:v>
      </x:c>
      <x:c r="BX7" s="2" t="s">
        <x:v>3222</x:v>
      </x:c>
      <x:c r="BY7" s="2" t="s">
        <x:v>3222</x:v>
      </x:c>
      <x:c r="BZ7" s="2" t="s">
        <x:v>3222</x:v>
      </x:c>
      <x:c r="CA7" s="2" t="s">
        <x:v>3222</x:v>
      </x:c>
      <x:c r="CB7" s="2" t="s">
        <x:v>3222</x:v>
      </x:c>
      <x:c r="CC7" s="2" t="s">
        <x:v>3222</x:v>
      </x:c>
      <x:c r="CD7" s="2" t="s">
        <x:v>3222</x:v>
      </x:c>
      <x:c r="CE7" s="2" t="s">
        <x:v>3222</x:v>
      </x:c>
      <x:c r="CF7" s="2" t="s">
        <x:v>3222</x:v>
      </x:c>
      <x:c r="CG7" s="2" t="s">
        <x:v>3222</x:v>
      </x:c>
      <x:c r="CH7" s="2" t="s">
        <x:v>3222</x:v>
      </x:c>
      <x:c r="CI7" s="2" t="s">
        <x:v>3222</x:v>
      </x:c>
      <x:c r="CJ7" s="2" t="s">
        <x:v>3222</x:v>
      </x:c>
      <x:c r="CK7" s="2" t="s">
        <x:v>3222</x:v>
      </x:c>
      <x:c r="CL7" s="2" t="s">
        <x:v>3222</x:v>
      </x:c>
      <x:c r="CM7" s="2" t="s">
        <x:v>3222</x:v>
      </x:c>
      <x:c r="CN7" s="2" t="s">
        <x:v>3222</x:v>
      </x:c>
      <x:c r="CO7" s="2" t="s">
        <x:v>3222</x:v>
      </x:c>
      <x:c r="CP7" s="2" t="s">
        <x:v>3222</x:v>
      </x:c>
      <x:c r="CQ7" s="2" t="s">
        <x:v>3222</x:v>
      </x:c>
      <x:c r="CR7" s="2" t="s">
        <x:v>3222</x:v>
      </x:c>
      <x:c r="CS7" s="2" t="s">
        <x:v>3222</x:v>
      </x:c>
      <x:c r="CT7" s="2" t="s">
        <x:v>3222</x:v>
      </x:c>
      <x:c r="CU7" s="2" t="s">
        <x:v>3222</x:v>
      </x:c>
      <x:c r="CV7" s="2" t="s">
        <x:v>3222</x:v>
      </x:c>
      <x:c r="CW7" s="2" t="s">
        <x:v>3222</x:v>
      </x:c>
      <x:c r="CX7" s="2" t="s">
        <x:v>3222</x:v>
      </x:c>
      <x:c r="CY7" s="2" t="s">
        <x:v>3222</x:v>
      </x:c>
      <x:c r="CZ7" s="2" t="s">
        <x:v>3222</x:v>
      </x:c>
      <x:c r="DA7" s="2" t="s">
        <x:v>3222</x:v>
      </x:c>
      <x:c r="DB7" s="2" t="s">
        <x:v>3222</x:v>
      </x:c>
      <x:c r="DC7" s="2" t="s">
        <x:v>3222</x:v>
      </x:c>
      <x:c r="DD7" s="2" t="s">
        <x:v>3222</x:v>
      </x:c>
      <x:c r="DE7" s="2" t="s">
        <x:v>3222</x:v>
      </x:c>
      <x:c r="DF7" s="2" t="s">
        <x:v>3222</x:v>
      </x:c>
      <x:c r="DG7" s="2" t="s">
        <x:v>3222</x:v>
      </x:c>
      <x:c r="DH7" s="2" t="s">
        <x:v>3222</x:v>
      </x:c>
      <x:c r="DI7" s="2" t="s">
        <x:v>3222</x:v>
      </x:c>
      <x:c r="DJ7" s="2" t="s">
        <x:v>3222</x:v>
      </x:c>
      <x:c r="DK7" s="2" t="s">
        <x:v>3222</x:v>
      </x:c>
      <x:c r="DL7" s="2" t="s">
        <x:v>3222</x:v>
      </x:c>
      <x:c r="DM7" s="2" t="s">
        <x:v>3222</x:v>
      </x:c>
      <x:c r="DN7" s="2" t="s">
        <x:v>3222</x:v>
      </x:c>
      <x:c r="DO7" s="2" t="s">
        <x:v>3222</x:v>
      </x:c>
      <x:c r="DP7" s="2" t="s">
        <x:v>3222</x:v>
      </x:c>
      <x:c r="DQ7" s="2" t="s">
        <x:v>3222</x:v>
      </x:c>
      <x:c r="DR7" s="2" t="s">
        <x:v>3222</x:v>
      </x:c>
      <x:c r="DS7" s="2" t="s">
        <x:v>3222</x:v>
      </x:c>
      <x:c r="DT7" s="2" t="s">
        <x:v>3222</x:v>
      </x:c>
      <x:c r="DU7" s="2" t="s">
        <x:v>3222</x:v>
      </x:c>
      <x:c r="DV7" s="2" t="s">
        <x:v>3222</x:v>
      </x:c>
      <x:c r="DW7" s="2" t="s">
        <x:v>3222</x:v>
      </x:c>
      <x:c r="DX7" s="2" t="s">
        <x:v>3222</x:v>
      </x:c>
      <x:c r="DY7" s="2" t="s">
        <x:v>3222</x:v>
      </x:c>
      <x:c r="DZ7" s="2" t="s">
        <x:v>3222</x:v>
      </x:c>
      <x:c r="EA7" s="2" t="s">
        <x:v>3222</x:v>
      </x:c>
      <x:c r="EB7" s="2" t="s">
        <x:v>3222</x:v>
      </x:c>
      <x:c r="EC7" s="2" t="s">
        <x:v>3222</x:v>
      </x:c>
      <x:c r="ED7" s="2" t="s">
        <x:v>3222</x:v>
      </x:c>
      <x:c r="EE7" s="2" t="s">
        <x:v>3222</x:v>
      </x:c>
      <x:c r="EF7" s="2" t="s">
        <x:v>3222</x:v>
      </x:c>
      <x:c r="EG7" s="2" t="s">
        <x:v>3222</x:v>
      </x:c>
      <x:c r="EH7" s="2" t="s">
        <x:v>3222</x:v>
      </x:c>
      <x:c r="EI7" s="2" t="s">
        <x:v>3222</x:v>
      </x:c>
      <x:c r="EJ7" s="2" t="s">
        <x:v>3222</x:v>
      </x:c>
      <x:c r="EK7" s="2" t="s">
        <x:v>3222</x:v>
      </x:c>
      <x:c r="EL7" s="2" t="s">
        <x:v>3222</x:v>
      </x:c>
      <x:c r="EM7" s="2" t="s">
        <x:v>3222</x:v>
      </x:c>
      <x:c r="EN7" s="2" t="s">
        <x:v>3222</x:v>
      </x:c>
      <x:c r="EO7" s="2" t="s">
        <x:v>3222</x:v>
      </x:c>
      <x:c r="EP7" s="2" t="s">
        <x:v>3222</x:v>
      </x:c>
      <x:c r="EQ7" s="2" t="s">
        <x:v>3222</x:v>
      </x:c>
      <x:c r="ER7" s="2" t="s">
        <x:v>3222</x:v>
      </x:c>
      <x:c r="ES7" s="2" t="s">
        <x:v>3222</x:v>
      </x:c>
      <x:c r="ET7" s="2" t="s">
        <x:v>3222</x:v>
      </x:c>
      <x:c r="EU7" s="2" t="s">
        <x:v>3222</x:v>
      </x:c>
      <x:c r="EV7" s="2" t="s">
        <x:v>3222</x:v>
      </x:c>
      <x:c r="EW7" s="2" t="s">
        <x:v>3222</x:v>
      </x:c>
      <x:c r="EX7" s="2" t="s">
        <x:v>3222</x:v>
      </x:c>
      <x:c r="EY7" s="2" t="s">
        <x:v>3222</x:v>
      </x:c>
      <x:c r="EZ7" s="2" t="s">
        <x:v>3222</x:v>
      </x:c>
      <x:c r="FA7" s="2" t="s">
        <x:v>3222</x:v>
      </x:c>
    </x:row>
    <x:row r="8" ht="135">
      <x:c r="A8" s="2" t="s">
        <x:v>71</x:v>
      </x:c>
      <x:c r="B8" s="2" t="s">
        <x:v>304</x:v>
      </x:c>
      <x:c r="C8" s="2" t="s">
        <x:v>3430</x:v>
      </x:c>
      <x:c r="D8" s="2" t="s">
        <x:v>305</x:v>
      </x:c>
      <x:c r="E8" s="2" t="s">
        <x:v>298</x:v>
      </x:c>
      <x:c r="F8" s="2" t="s">
        <x:v>169</x:v>
      </x:c>
      <x:c r="G8" s="2" t="s">
        <x:v>187</x:v>
      </x:c>
      <x:c r="H8" s="2" t="s">
        <x:v>1817</x:v>
      </x:c>
      <x:c r="I8" s="2" t="s">
        <x:v>1817</x:v>
      </x:c>
      <x:c r="J8" s="2" t="s">
        <x:v>298</x:v>
      </x:c>
      <x:c r="K8" s="2" t="s">
        <x:v>298</x:v>
      </x:c>
      <x:c r="L8" s="2" t="s">
        <x:v>171</x:v>
      </x:c>
      <x:c r="M8" s="2" t="s">
        <x:v>172</x:v>
      </x:c>
      <x:c r="N8" s="2" t="s">
        <x:v>172</x:v>
      </x:c>
      <x:c r="O8" s="2" t="s">
        <x:v>172</x:v>
      </x:c>
      <x:c r="P8" s="2" t="s">
        <x:v>172</x:v>
      </x:c>
      <x:c r="Q8" s="2" t="s">
        <x:v>171</x:v>
      </x:c>
      <x:c r="R8" s="2" t="s">
        <x:v>172</x:v>
      </x:c>
      <x:c r="S8" s="2" t="s">
        <x:v>3426</x:v>
      </x:c>
      <x:c r="T8" s="2" t="s">
        <x:v>3436</x:v>
      </x:c>
      <x:c r="U8" s="2" t="s">
        <x:v>1830</x:v>
      </x:c>
      <x:c r="V8" s="2" t="s">
        <x:v>171</x:v>
      </x:c>
      <x:c r="W8" s="2" t="s">
        <x:v>1943</x:v>
      </x:c>
      <x:c r="X8" s="2" t="s">
        <x:v>1942</x:v>
      </x:c>
      <x:c r="Y8" s="2">
        <x:v>5</x:v>
      </x:c>
      <x:c r="Z8" s="2" t="s">
        <x:v>3249</x:v>
      </x:c>
      <x:c r="AA8" s="2"/>
      <x:c r="AB8" s="2"/>
      <x:c r="AC8" s="2" t="s">
        <x:v>73</x:v>
      </x:c>
      <x:c r="AD8" s="2" t="s">
        <x:v>2083</x:v>
      </x:c>
      <x:c r="AE8" s="2" t="s">
        <x:v>3430</x:v>
      </x:c>
      <x:c r="AF8" s="2">
        <x:v>61200</x:v>
      </x:c>
      <x:c r="AG8" s="2">
        <x:v>0.2</x:v>
      </x:c>
      <x:c r="AH8" s="2">
        <x:v>0.2</x:v>
      </x:c>
      <x:c r="AI8" s="2" t="s">
        <x:v>168</x:v>
      </x:c>
      <x:c r="AJ8" s="2" t="s">
        <x:v>3452</x:v>
      </x:c>
      <x:c r="AK8" s="2" t="s">
        <x:v>3453</x:v>
      </x:c>
      <x:c r="AL8" s="2" t="s">
        <x:v>3222</x:v>
      </x:c>
      <x:c r="AM8" s="2" t="s">
        <x:v>3222</x:v>
      </x:c>
      <x:c r="AN8" s="2" t="s">
        <x:v>3222</x:v>
      </x:c>
      <x:c r="AO8" s="2" t="s">
        <x:v>3222</x:v>
      </x:c>
      <x:c r="AP8" s="2" t="s">
        <x:v>3222</x:v>
      </x:c>
      <x:c r="AQ8" s="2" t="s">
        <x:v>3222</x:v>
      </x:c>
      <x:c r="AR8" s="2" t="s">
        <x:v>3222</x:v>
      </x:c>
      <x:c r="AS8" s="2" t="s">
        <x:v>3222</x:v>
      </x:c>
      <x:c r="AT8" s="2" t="s">
        <x:v>3222</x:v>
      </x:c>
      <x:c r="AU8" s="2" t="s">
        <x:v>3222</x:v>
      </x:c>
      <x:c r="AV8" s="2" t="s">
        <x:v>3222</x:v>
      </x:c>
      <x:c r="AW8" s="2" t="s">
        <x:v>3222</x:v>
      </x:c>
      <x:c r="AX8" s="2" t="s">
        <x:v>3222</x:v>
      </x:c>
      <x:c r="AY8" s="2" t="s">
        <x:v>3222</x:v>
      </x:c>
      <x:c r="AZ8" s="2" t="s">
        <x:v>3222</x:v>
      </x:c>
      <x:c r="BA8" s="2" t="s">
        <x:v>3222</x:v>
      </x:c>
      <x:c r="BB8" s="2" t="s">
        <x:v>3222</x:v>
      </x:c>
      <x:c r="BC8" s="2" t="s">
        <x:v>3222</x:v>
      </x:c>
      <x:c r="BD8" s="2" t="s">
        <x:v>3222</x:v>
      </x:c>
      <x:c r="BE8" s="2" t="s">
        <x:v>3222</x:v>
      </x:c>
      <x:c r="BF8" s="2" t="s">
        <x:v>3222</x:v>
      </x:c>
      <x:c r="BG8" s="2" t="s">
        <x:v>3222</x:v>
      </x:c>
      <x:c r="BH8" s="2" t="s">
        <x:v>3222</x:v>
      </x:c>
      <x:c r="BI8" s="2" t="s">
        <x:v>3222</x:v>
      </x:c>
      <x:c r="BJ8" s="2" t="s">
        <x:v>3222</x:v>
      </x:c>
      <x:c r="BK8" s="2" t="s">
        <x:v>3222</x:v>
      </x:c>
      <x:c r="BL8" s="2" t="s">
        <x:v>3222</x:v>
      </x:c>
      <x:c r="BM8" s="2" t="s">
        <x:v>3222</x:v>
      </x:c>
      <x:c r="BN8" s="2" t="s">
        <x:v>3222</x:v>
      </x:c>
      <x:c r="BO8" s="2" t="s">
        <x:v>3222</x:v>
      </x:c>
      <x:c r="BP8" s="2" t="s">
        <x:v>3222</x:v>
      </x:c>
      <x:c r="BQ8" s="2" t="s">
        <x:v>3222</x:v>
      </x:c>
      <x:c r="BR8" s="2" t="s">
        <x:v>3222</x:v>
      </x:c>
      <x:c r="BS8" s="2" t="s">
        <x:v>3222</x:v>
      </x:c>
      <x:c r="BT8" s="2" t="s">
        <x:v>3222</x:v>
      </x:c>
      <x:c r="BU8" s="2" t="s">
        <x:v>3222</x:v>
      </x:c>
      <x:c r="BV8" s="2" t="s">
        <x:v>3222</x:v>
      </x:c>
      <x:c r="BW8" s="2" t="s">
        <x:v>3222</x:v>
      </x:c>
      <x:c r="BX8" s="2" t="s">
        <x:v>3222</x:v>
      </x:c>
      <x:c r="BY8" s="2" t="s">
        <x:v>3222</x:v>
      </x:c>
      <x:c r="BZ8" s="2" t="s">
        <x:v>3222</x:v>
      </x:c>
      <x:c r="CA8" s="2" t="s">
        <x:v>3222</x:v>
      </x:c>
      <x:c r="CB8" s="2" t="s">
        <x:v>3222</x:v>
      </x:c>
      <x:c r="CC8" s="2" t="s">
        <x:v>3222</x:v>
      </x:c>
      <x:c r="CD8" s="2" t="s">
        <x:v>3222</x:v>
      </x:c>
      <x:c r="CE8" s="2" t="s">
        <x:v>3222</x:v>
      </x:c>
      <x:c r="CF8" s="2" t="s">
        <x:v>3222</x:v>
      </x:c>
      <x:c r="CG8" s="2" t="s">
        <x:v>3222</x:v>
      </x:c>
      <x:c r="CH8" s="2" t="s">
        <x:v>3222</x:v>
      </x:c>
      <x:c r="CI8" s="2" t="s">
        <x:v>3222</x:v>
      </x:c>
      <x:c r="CJ8" s="2" t="s">
        <x:v>3222</x:v>
      </x:c>
      <x:c r="CK8" s="2" t="s">
        <x:v>3222</x:v>
      </x:c>
      <x:c r="CL8" s="2" t="s">
        <x:v>3222</x:v>
      </x:c>
      <x:c r="CM8" s="2" t="s">
        <x:v>3222</x:v>
      </x:c>
      <x:c r="CN8" s="2" t="s">
        <x:v>3222</x:v>
      </x:c>
      <x:c r="CO8" s="2" t="s">
        <x:v>3222</x:v>
      </x:c>
      <x:c r="CP8" s="2" t="s">
        <x:v>3222</x:v>
      </x:c>
      <x:c r="CQ8" s="2" t="s">
        <x:v>3222</x:v>
      </x:c>
      <x:c r="CR8" s="2" t="s">
        <x:v>3222</x:v>
      </x:c>
      <x:c r="CS8" s="2" t="s">
        <x:v>3222</x:v>
      </x:c>
      <x:c r="CT8" s="2" t="s">
        <x:v>3222</x:v>
      </x:c>
      <x:c r="CU8" s="2" t="s">
        <x:v>3222</x:v>
      </x:c>
      <x:c r="CV8" s="2" t="s">
        <x:v>3222</x:v>
      </x:c>
      <x:c r="CW8" s="2" t="s">
        <x:v>3222</x:v>
      </x:c>
      <x:c r="CX8" s="2" t="s">
        <x:v>3222</x:v>
      </x:c>
      <x:c r="CY8" s="2" t="s">
        <x:v>3222</x:v>
      </x:c>
      <x:c r="CZ8" s="2" t="s">
        <x:v>3222</x:v>
      </x:c>
      <x:c r="DA8" s="2" t="s">
        <x:v>3222</x:v>
      </x:c>
      <x:c r="DB8" s="2" t="s">
        <x:v>3222</x:v>
      </x:c>
      <x:c r="DC8" s="2" t="s">
        <x:v>3222</x:v>
      </x:c>
      <x:c r="DD8" s="2" t="s">
        <x:v>3222</x:v>
      </x:c>
      <x:c r="DE8" s="2" t="s">
        <x:v>3222</x:v>
      </x:c>
      <x:c r="DF8" s="2" t="s">
        <x:v>3222</x:v>
      </x:c>
      <x:c r="DG8" s="2" t="s">
        <x:v>3222</x:v>
      </x:c>
      <x:c r="DH8" s="2" t="s">
        <x:v>3222</x:v>
      </x:c>
      <x:c r="DI8" s="2" t="s">
        <x:v>3222</x:v>
      </x:c>
      <x:c r="DJ8" s="2" t="s">
        <x:v>3222</x:v>
      </x:c>
      <x:c r="DK8" s="2" t="s">
        <x:v>3222</x:v>
      </x:c>
      <x:c r="DL8" s="2" t="s">
        <x:v>3222</x:v>
      </x:c>
      <x:c r="DM8" s="2" t="s">
        <x:v>3222</x:v>
      </x:c>
      <x:c r="DN8" s="2" t="s">
        <x:v>3222</x:v>
      </x:c>
      <x:c r="DO8" s="2" t="s">
        <x:v>3222</x:v>
      </x:c>
      <x:c r="DP8" s="2" t="s">
        <x:v>3222</x:v>
      </x:c>
      <x:c r="DQ8" s="2" t="s">
        <x:v>3222</x:v>
      </x:c>
      <x:c r="DR8" s="2" t="s">
        <x:v>3222</x:v>
      </x:c>
      <x:c r="DS8" s="2" t="s">
        <x:v>3222</x:v>
      </x:c>
      <x:c r="DT8" s="2" t="s">
        <x:v>3222</x:v>
      </x:c>
      <x:c r="DU8" s="2" t="s">
        <x:v>3222</x:v>
      </x:c>
      <x:c r="DV8" s="2" t="s">
        <x:v>3222</x:v>
      </x:c>
      <x:c r="DW8" s="2" t="s">
        <x:v>3222</x:v>
      </x:c>
      <x:c r="DX8" s="2" t="s">
        <x:v>3222</x:v>
      </x:c>
      <x:c r="DY8" s="2" t="s">
        <x:v>3222</x:v>
      </x:c>
      <x:c r="DZ8" s="2" t="s">
        <x:v>3222</x:v>
      </x:c>
      <x:c r="EA8" s="2" t="s">
        <x:v>3222</x:v>
      </x:c>
      <x:c r="EB8" s="2" t="s">
        <x:v>3222</x:v>
      </x:c>
      <x:c r="EC8" s="2" t="s">
        <x:v>3222</x:v>
      </x:c>
      <x:c r="ED8" s="2" t="s">
        <x:v>3222</x:v>
      </x:c>
      <x:c r="EE8" s="2" t="s">
        <x:v>3222</x:v>
      </x:c>
      <x:c r="EF8" s="2" t="s">
        <x:v>3222</x:v>
      </x:c>
      <x:c r="EG8" s="2" t="s">
        <x:v>3222</x:v>
      </x:c>
      <x:c r="EH8" s="2" t="s">
        <x:v>3222</x:v>
      </x:c>
      <x:c r="EI8" s="2" t="s">
        <x:v>3222</x:v>
      </x:c>
      <x:c r="EJ8" s="2" t="s">
        <x:v>3222</x:v>
      </x:c>
      <x:c r="EK8" s="2" t="s">
        <x:v>3222</x:v>
      </x:c>
      <x:c r="EL8" s="2" t="s">
        <x:v>3222</x:v>
      </x:c>
      <x:c r="EM8" s="2" t="s">
        <x:v>3222</x:v>
      </x:c>
      <x:c r="EN8" s="2" t="s">
        <x:v>3222</x:v>
      </x:c>
      <x:c r="EO8" s="2" t="s">
        <x:v>3222</x:v>
      </x:c>
      <x:c r="EP8" s="2" t="s">
        <x:v>3222</x:v>
      </x:c>
      <x:c r="EQ8" s="2" t="s">
        <x:v>3222</x:v>
      </x:c>
      <x:c r="ER8" s="2" t="s">
        <x:v>3222</x:v>
      </x:c>
      <x:c r="ES8" s="2" t="s">
        <x:v>3222</x:v>
      </x:c>
      <x:c r="ET8" s="2" t="s">
        <x:v>3222</x:v>
      </x:c>
      <x:c r="EU8" s="2" t="s">
        <x:v>3222</x:v>
      </x:c>
      <x:c r="EV8" s="2" t="s">
        <x:v>3222</x:v>
      </x:c>
      <x:c r="EW8" s="2" t="s">
        <x:v>3222</x:v>
      </x:c>
      <x:c r="EX8" s="2" t="s">
        <x:v>3222</x:v>
      </x:c>
      <x:c r="EY8" s="2" t="s">
        <x:v>3222</x:v>
      </x:c>
      <x:c r="EZ8" s="2" t="s">
        <x:v>3222</x:v>
      </x:c>
      <x:c r="FA8" s="2" t="s">
        <x:v>3222</x:v>
      </x:c>
    </x:row>
    <x:row r="9" ht="135">
      <x:c r="A9" s="2" t="s">
        <x:v>71</x:v>
      </x:c>
      <x:c r="B9" s="2" t="s">
        <x:v>1949</x:v>
      </x:c>
      <x:c r="C9" s="2" t="s">
        <x:v>3430</x:v>
      </x:c>
      <x:c r="D9" s="2" t="s">
        <x:v>313</x:v>
      </x:c>
      <x:c r="E9" s="2" t="s">
        <x:v>218</x:v>
      </x:c>
      <x:c r="F9" s="2" t="s">
        <x:v>218</x:v>
      </x:c>
      <x:c r="G9" s="2" t="s">
        <x:v>168</x:v>
      </x:c>
      <x:c r="H9" s="2" t="s">
        <x:v>1817</x:v>
      </x:c>
      <x:c r="I9" s="2" t="s">
        <x:v>1817</x:v>
      </x:c>
      <x:c r="J9" s="2" t="s">
        <x:v>298</x:v>
      </x:c>
      <x:c r="K9" s="2" t="s">
        <x:v>314</x:v>
      </x:c>
      <x:c r="L9" s="2" t="s">
        <x:v>172</x:v>
      </x:c>
      <x:c r="M9" s="2" t="s">
        <x:v>172</x:v>
      </x:c>
      <x:c r="N9" s="2" t="s">
        <x:v>172</x:v>
      </x:c>
      <x:c r="O9" s="2" t="s">
        <x:v>171</x:v>
      </x:c>
      <x:c r="P9" s="2" t="s">
        <x:v>172</x:v>
      </x:c>
      <x:c r="Q9" s="2" t="s">
        <x:v>171</x:v>
      </x:c>
      <x:c r="R9" s="2" t="s">
        <x:v>172</x:v>
      </x:c>
      <x:c r="S9" s="2" t="s">
        <x:v>3426</x:v>
      </x:c>
      <x:c r="T9" s="2" t="s">
        <x:v>3438</x:v>
      </x:c>
      <x:c r="U9" s="2" t="s">
        <x:v>1820</x:v>
      </x:c>
      <x:c r="V9" s="2" t="s">
        <x:v>172</x:v>
      </x:c>
      <x:c r="W9" s="2" t="s">
        <x:v>1952</x:v>
      </x:c>
      <x:c r="X9" s="2" t="s">
        <x:v>1822</x:v>
      </x:c>
      <x:c r="Y9" s="2">
        <x:v>6</x:v>
      </x:c>
      <x:c r="Z9" s="2" t="s">
        <x:v>3251</x:v>
      </x:c>
      <x:c r="AA9" s="2"/>
      <x:c r="AB9" s="2"/>
      <x:c r="AC9" s="2" t="s">
        <x:v>74</x:v>
      </x:c>
      <x:c r="AD9" s="2" t="s">
        <x:v>535</x:v>
      </x:c>
      <x:c r="AE9" s="2" t="s">
        <x:v>3425</x:v>
      </x:c>
      <x:c r="AF9" s="2">
        <x:v>64889</x:v>
      </x:c>
      <x:c r="AG9" s="2">
        <x:v>10.026</x:v>
      </x:c>
      <x:c r="AH9" s="2">
        <x:v>0</x:v>
      </x:c>
      <x:c r="AI9" s="2" t="s">
        <x:v>187</x:v>
      </x:c>
      <x:c r="AJ9" s="2" t="s">
        <x:v>3454</x:v>
      </x:c>
      <x:c r="AK9" s="2" t="s">
        <x:v>3455</x:v>
      </x:c>
      <x:c r="AL9" s="2" t="s">
        <x:v>543</x:v>
      </x:c>
      <x:c r="AM9" s="2" t="s">
        <x:v>3425</x:v>
      </x:c>
      <x:c r="AN9" s="2">
        <x:v>65389</x:v>
      </x:c>
      <x:c r="AO9" s="2">
        <x:v>10.026</x:v>
      </x:c>
      <x:c r="AP9" s="2">
        <x:v>0</x:v>
      </x:c>
      <x:c r="AQ9" s="2" t="s">
        <x:v>187</x:v>
      </x:c>
      <x:c r="AR9" s="2" t="s">
        <x:v>3454</x:v>
      </x:c>
      <x:c r="AS9" s="2" t="s">
        <x:v>3455</x:v>
      </x:c>
      <x:c r="AT9" s="2" t="s">
        <x:v>546</x:v>
      </x:c>
      <x:c r="AU9" s="2" t="s">
        <x:v>3425</x:v>
      </x:c>
      <x:c r="AV9" s="2">
        <x:v>65436</x:v>
      </x:c>
      <x:c r="AW9" s="2">
        <x:v>10.026</x:v>
      </x:c>
      <x:c r="AX9" s="2">
        <x:v>0</x:v>
      </x:c>
      <x:c r="AY9" s="2" t="s">
        <x:v>187</x:v>
      </x:c>
      <x:c r="AZ9" s="2" t="s">
        <x:v>3454</x:v>
      </x:c>
      <x:c r="BA9" s="2" t="s">
        <x:v>3455</x:v>
      </x:c>
      <x:c r="BB9" s="2" t="s">
        <x:v>2337</x:v>
      </x:c>
      <x:c r="BC9" s="2" t="s">
        <x:v>3425</x:v>
      </x:c>
      <x:c r="BD9" s="2">
        <x:v>65468</x:v>
      </x:c>
      <x:c r="BE9" s="2">
        <x:v>10.026</x:v>
      </x:c>
      <x:c r="BF9" s="2">
        <x:v>10.026</x:v>
      </x:c>
      <x:c r="BG9" s="2" t="s">
        <x:v>168</x:v>
      </x:c>
      <x:c r="BH9" s="2" t="s">
        <x:v>3456</x:v>
      </x:c>
      <x:c r="BI9" s="2" t="s">
        <x:v>3457</x:v>
      </x:c>
      <x:c r="BJ9" s="2" t="s">
        <x:v>3222</x:v>
      </x:c>
      <x:c r="BK9" s="2" t="s">
        <x:v>3222</x:v>
      </x:c>
      <x:c r="BL9" s="2" t="s">
        <x:v>3222</x:v>
      </x:c>
      <x:c r="BM9" s="2" t="s">
        <x:v>3222</x:v>
      </x:c>
      <x:c r="BN9" s="2" t="s">
        <x:v>3222</x:v>
      </x:c>
      <x:c r="BO9" s="2" t="s">
        <x:v>3222</x:v>
      </x:c>
      <x:c r="BP9" s="2" t="s">
        <x:v>3222</x:v>
      </x:c>
      <x:c r="BQ9" s="2" t="s">
        <x:v>3222</x:v>
      </x:c>
      <x:c r="BR9" s="2" t="s">
        <x:v>3222</x:v>
      </x:c>
      <x:c r="BS9" s="2" t="s">
        <x:v>3222</x:v>
      </x:c>
      <x:c r="BT9" s="2" t="s">
        <x:v>3222</x:v>
      </x:c>
      <x:c r="BU9" s="2" t="s">
        <x:v>3222</x:v>
      </x:c>
      <x:c r="BV9" s="2" t="s">
        <x:v>3222</x:v>
      </x:c>
      <x:c r="BW9" s="2" t="s">
        <x:v>3222</x:v>
      </x:c>
      <x:c r="BX9" s="2" t="s">
        <x:v>3222</x:v>
      </x:c>
      <x:c r="BY9" s="2" t="s">
        <x:v>3222</x:v>
      </x:c>
      <x:c r="BZ9" s="2" t="s">
        <x:v>3222</x:v>
      </x:c>
      <x:c r="CA9" s="2" t="s">
        <x:v>3222</x:v>
      </x:c>
      <x:c r="CB9" s="2" t="s">
        <x:v>3222</x:v>
      </x:c>
      <x:c r="CC9" s="2" t="s">
        <x:v>3222</x:v>
      </x:c>
      <x:c r="CD9" s="2" t="s">
        <x:v>3222</x:v>
      </x:c>
      <x:c r="CE9" s="2" t="s">
        <x:v>3222</x:v>
      </x:c>
      <x:c r="CF9" s="2" t="s">
        <x:v>3222</x:v>
      </x:c>
      <x:c r="CG9" s="2" t="s">
        <x:v>3222</x:v>
      </x:c>
      <x:c r="CH9" s="2" t="s">
        <x:v>3222</x:v>
      </x:c>
      <x:c r="CI9" s="2" t="s">
        <x:v>3222</x:v>
      </x:c>
      <x:c r="CJ9" s="2" t="s">
        <x:v>3222</x:v>
      </x:c>
      <x:c r="CK9" s="2" t="s">
        <x:v>3222</x:v>
      </x:c>
      <x:c r="CL9" s="2" t="s">
        <x:v>3222</x:v>
      </x:c>
      <x:c r="CM9" s="2" t="s">
        <x:v>3222</x:v>
      </x:c>
      <x:c r="CN9" s="2" t="s">
        <x:v>3222</x:v>
      </x:c>
      <x:c r="CO9" s="2" t="s">
        <x:v>3222</x:v>
      </x:c>
      <x:c r="CP9" s="2" t="s">
        <x:v>3222</x:v>
      </x:c>
      <x:c r="CQ9" s="2" t="s">
        <x:v>3222</x:v>
      </x:c>
      <x:c r="CR9" s="2" t="s">
        <x:v>3222</x:v>
      </x:c>
      <x:c r="CS9" s="2" t="s">
        <x:v>3222</x:v>
      </x:c>
      <x:c r="CT9" s="2" t="s">
        <x:v>3222</x:v>
      </x:c>
      <x:c r="CU9" s="2" t="s">
        <x:v>3222</x:v>
      </x:c>
      <x:c r="CV9" s="2" t="s">
        <x:v>3222</x:v>
      </x:c>
      <x:c r="CW9" s="2" t="s">
        <x:v>3222</x:v>
      </x:c>
      <x:c r="CX9" s="2" t="s">
        <x:v>3222</x:v>
      </x:c>
      <x:c r="CY9" s="2" t="s">
        <x:v>3222</x:v>
      </x:c>
      <x:c r="CZ9" s="2" t="s">
        <x:v>3222</x:v>
      </x:c>
      <x:c r="DA9" s="2" t="s">
        <x:v>3222</x:v>
      </x:c>
      <x:c r="DB9" s="2" t="s">
        <x:v>3222</x:v>
      </x:c>
      <x:c r="DC9" s="2" t="s">
        <x:v>3222</x:v>
      </x:c>
      <x:c r="DD9" s="2" t="s">
        <x:v>3222</x:v>
      </x:c>
      <x:c r="DE9" s="2" t="s">
        <x:v>3222</x:v>
      </x:c>
      <x:c r="DF9" s="2" t="s">
        <x:v>3222</x:v>
      </x:c>
      <x:c r="DG9" s="2" t="s">
        <x:v>3222</x:v>
      </x:c>
      <x:c r="DH9" s="2" t="s">
        <x:v>3222</x:v>
      </x:c>
      <x:c r="DI9" s="2" t="s">
        <x:v>3222</x:v>
      </x:c>
      <x:c r="DJ9" s="2" t="s">
        <x:v>3222</x:v>
      </x:c>
      <x:c r="DK9" s="2" t="s">
        <x:v>3222</x:v>
      </x:c>
      <x:c r="DL9" s="2" t="s">
        <x:v>3222</x:v>
      </x:c>
      <x:c r="DM9" s="2" t="s">
        <x:v>3222</x:v>
      </x:c>
      <x:c r="DN9" s="2" t="s">
        <x:v>3222</x:v>
      </x:c>
      <x:c r="DO9" s="2" t="s">
        <x:v>3222</x:v>
      </x:c>
      <x:c r="DP9" s="2" t="s">
        <x:v>3222</x:v>
      </x:c>
      <x:c r="DQ9" s="2" t="s">
        <x:v>3222</x:v>
      </x:c>
      <x:c r="DR9" s="2" t="s">
        <x:v>3222</x:v>
      </x:c>
      <x:c r="DS9" s="2" t="s">
        <x:v>3222</x:v>
      </x:c>
      <x:c r="DT9" s="2" t="s">
        <x:v>3222</x:v>
      </x:c>
      <x:c r="DU9" s="2" t="s">
        <x:v>3222</x:v>
      </x:c>
      <x:c r="DV9" s="2" t="s">
        <x:v>3222</x:v>
      </x:c>
      <x:c r="DW9" s="2" t="s">
        <x:v>3222</x:v>
      </x:c>
      <x:c r="DX9" s="2" t="s">
        <x:v>3222</x:v>
      </x:c>
      <x:c r="DY9" s="2" t="s">
        <x:v>3222</x:v>
      </x:c>
      <x:c r="DZ9" s="2" t="s">
        <x:v>3222</x:v>
      </x:c>
      <x:c r="EA9" s="2" t="s">
        <x:v>3222</x:v>
      </x:c>
      <x:c r="EB9" s="2" t="s">
        <x:v>3222</x:v>
      </x:c>
      <x:c r="EC9" s="2" t="s">
        <x:v>3222</x:v>
      </x:c>
      <x:c r="ED9" s="2" t="s">
        <x:v>3222</x:v>
      </x:c>
      <x:c r="EE9" s="2" t="s">
        <x:v>3222</x:v>
      </x:c>
      <x:c r="EF9" s="2" t="s">
        <x:v>3222</x:v>
      </x:c>
      <x:c r="EG9" s="2" t="s">
        <x:v>3222</x:v>
      </x:c>
      <x:c r="EH9" s="2" t="s">
        <x:v>3222</x:v>
      </x:c>
      <x:c r="EI9" s="2" t="s">
        <x:v>3222</x:v>
      </x:c>
      <x:c r="EJ9" s="2" t="s">
        <x:v>3222</x:v>
      </x:c>
      <x:c r="EK9" s="2" t="s">
        <x:v>3222</x:v>
      </x:c>
      <x:c r="EL9" s="2" t="s">
        <x:v>3222</x:v>
      </x:c>
      <x:c r="EM9" s="2" t="s">
        <x:v>3222</x:v>
      </x:c>
      <x:c r="EN9" s="2" t="s">
        <x:v>3222</x:v>
      </x:c>
      <x:c r="EO9" s="2" t="s">
        <x:v>3222</x:v>
      </x:c>
      <x:c r="EP9" s="2" t="s">
        <x:v>3222</x:v>
      </x:c>
      <x:c r="EQ9" s="2" t="s">
        <x:v>3222</x:v>
      </x:c>
      <x:c r="ER9" s="2" t="s">
        <x:v>3222</x:v>
      </x:c>
      <x:c r="ES9" s="2" t="s">
        <x:v>3222</x:v>
      </x:c>
      <x:c r="ET9" s="2" t="s">
        <x:v>3222</x:v>
      </x:c>
      <x:c r="EU9" s="2" t="s">
        <x:v>3222</x:v>
      </x:c>
      <x:c r="EV9" s="2" t="s">
        <x:v>3222</x:v>
      </x:c>
      <x:c r="EW9" s="2" t="s">
        <x:v>3222</x:v>
      </x:c>
      <x:c r="EX9" s="2" t="s">
        <x:v>3222</x:v>
      </x:c>
      <x:c r="EY9" s="2" t="s">
        <x:v>3222</x:v>
      </x:c>
      <x:c r="EZ9" s="2" t="s">
        <x:v>3222</x:v>
      </x:c>
      <x:c r="FA9" s="2" t="s">
        <x:v>3222</x:v>
      </x:c>
    </x:row>
    <x:row r="10" ht="135">
      <x:c r="A10" s="2" t="s">
        <x:v>71</x:v>
      </x:c>
      <x:c r="B10" s="2" t="s">
        <x:v>318</x:v>
      </x:c>
      <x:c r="C10" s="2" t="s">
        <x:v>3430</x:v>
      </x:c>
      <x:c r="D10" s="2" t="s">
        <x:v>319</x:v>
      </x:c>
      <x:c r="E10" s="2" t="s">
        <x:v>314</x:v>
      </x:c>
      <x:c r="F10" s="2" t="s">
        <x:v>169</x:v>
      </x:c>
      <x:c r="G10" s="2" t="s">
        <x:v>187</x:v>
      </x:c>
      <x:c r="H10" s="2" t="s">
        <x:v>1817</x:v>
      </x:c>
      <x:c r="I10" s="2" t="s">
        <x:v>1817</x:v>
      </x:c>
      <x:c r="J10" s="2" t="s">
        <x:v>314</x:v>
      </x:c>
      <x:c r="K10" s="2" t="s">
        <x:v>314</x:v>
      </x:c>
      <x:c r="L10" s="2" t="s">
        <x:v>171</x:v>
      </x:c>
      <x:c r="M10" s="2" t="s">
        <x:v>172</x:v>
      </x:c>
      <x:c r="N10" s="2" t="s">
        <x:v>172</x:v>
      </x:c>
      <x:c r="O10" s="2" t="s">
        <x:v>172</x:v>
      </x:c>
      <x:c r="P10" s="2" t="s">
        <x:v>172</x:v>
      </x:c>
      <x:c r="Q10" s="2" t="s">
        <x:v>171</x:v>
      </x:c>
      <x:c r="R10" s="2" t="s">
        <x:v>172</x:v>
      </x:c>
      <x:c r="S10" s="2" t="s">
        <x:v>3426</x:v>
      </x:c>
      <x:c r="T10" s="2" t="s">
        <x:v>3440</x:v>
      </x:c>
      <x:c r="U10" s="2" t="s">
        <x:v>1830</x:v>
      </x:c>
      <x:c r="V10" s="2" t="s">
        <x:v>171</x:v>
      </x:c>
      <x:c r="W10" s="2" t="s">
        <x:v>1959</x:v>
      </x:c>
      <x:c r="X10" s="2" t="s">
        <x:v>1958</x:v>
      </x:c>
      <x:c r="Y10" s="2">
        <x:v>7</x:v>
      </x:c>
      <x:c r="Z10" s="2" t="s">
        <x:v>3458</x:v>
      </x:c>
      <x:c r="AA10" s="2"/>
      <x:c r="AB10" s="2"/>
      <x:c r="AC10" s="2" t="s">
        <x:v>75</x:v>
      </x:c>
      <x:c r="AD10" s="2" t="s">
        <x:v>566</x:v>
      </x:c>
      <x:c r="AE10" s="2" t="s">
        <x:v>3425</x:v>
      </x:c>
      <x:c r="AF10" s="2">
        <x:v>2094</x:v>
      </x:c>
      <x:c r="AG10" s="2">
        <x:v>100</x:v>
      </x:c>
      <x:c r="AH10" s="2">
        <x:v>0</x:v>
      </x:c>
      <x:c r="AI10" s="2" t="s">
        <x:v>187</x:v>
      </x:c>
      <x:c r="AJ10" s="2" t="s">
        <x:v>3459</x:v>
      </x:c>
      <x:c r="AK10" s="2" t="s">
        <x:v>3460</x:v>
      </x:c>
      <x:c r="AL10" s="2" t="s">
        <x:v>575</x:v>
      </x:c>
      <x:c r="AM10" s="2" t="s">
        <x:v>3425</x:v>
      </x:c>
      <x:c r="AN10" s="2">
        <x:v>2115</x:v>
      </x:c>
      <x:c r="AO10" s="2">
        <x:v>200</x:v>
      </x:c>
      <x:c r="AP10" s="2">
        <x:v>0</x:v>
      </x:c>
      <x:c r="AQ10" s="2" t="s">
        <x:v>236</x:v>
      </x:c>
      <x:c r="AR10" s="2" t="s">
        <x:v>3461</x:v>
      </x:c>
      <x:c r="AS10" s="2" t="s">
        <x:v>3462</x:v>
      </x:c>
      <x:c r="AT10" s="2" t="s">
        <x:v>581</x:v>
      </x:c>
      <x:c r="AU10" s="2" t="s">
        <x:v>3425</x:v>
      </x:c>
      <x:c r="AV10" s="2">
        <x:v>2123</x:v>
      </x:c>
      <x:c r="AW10" s="2">
        <x:v>200</x:v>
      </x:c>
      <x:c r="AX10" s="2">
        <x:v>0</x:v>
      </x:c>
      <x:c r="AY10" s="2" t="s">
        <x:v>187</x:v>
      </x:c>
      <x:c r="AZ10" s="2" t="s">
        <x:v>3461</x:v>
      </x:c>
      <x:c r="BA10" s="2" t="s">
        <x:v>3463</x:v>
      </x:c>
      <x:c r="BB10" s="2" t="s">
        <x:v>584</x:v>
      </x:c>
      <x:c r="BC10" s="2" t="s">
        <x:v>3425</x:v>
      </x:c>
      <x:c r="BD10" s="2">
        <x:v>2126</x:v>
      </x:c>
      <x:c r="BE10" s="2">
        <x:v>200</x:v>
      </x:c>
      <x:c r="BF10" s="2">
        <x:v>0</x:v>
      </x:c>
      <x:c r="BG10" s="2" t="s">
        <x:v>187</x:v>
      </x:c>
      <x:c r="BH10" s="2" t="s">
        <x:v>3461</x:v>
      </x:c>
      <x:c r="BI10" s="2" t="s">
        <x:v>3463</x:v>
      </x:c>
      <x:c r="BJ10" s="2" t="s">
        <x:v>587</x:v>
      </x:c>
      <x:c r="BK10" s="2" t="s">
        <x:v>3425</x:v>
      </x:c>
      <x:c r="BL10" s="2">
        <x:v>2116</x:v>
      </x:c>
      <x:c r="BM10" s="2">
        <x:v>200</x:v>
      </x:c>
      <x:c r="BN10" s="2">
        <x:v>0</x:v>
      </x:c>
      <x:c r="BO10" s="2" t="s">
        <x:v>187</x:v>
      </x:c>
      <x:c r="BP10" s="2" t="s">
        <x:v>3461</x:v>
      </x:c>
      <x:c r="BQ10" s="2" t="s">
        <x:v>3463</x:v>
      </x:c>
      <x:c r="BR10" s="2" t="s">
        <x:v>596</x:v>
      </x:c>
      <x:c r="BS10" s="2" t="s">
        <x:v>3425</x:v>
      </x:c>
      <x:c r="BT10" s="2">
        <x:v>2126</x:v>
      </x:c>
      <x:c r="BU10" s="2">
        <x:v>200</x:v>
      </x:c>
      <x:c r="BV10" s="2">
        <x:v>0</x:v>
      </x:c>
      <x:c r="BW10" s="2" t="s">
        <x:v>236</x:v>
      </x:c>
      <x:c r="BX10" s="2" t="s">
        <x:v>3461</x:v>
      </x:c>
      <x:c r="BY10" s="2" t="s">
        <x:v>3462</x:v>
      </x:c>
      <x:c r="BZ10" s="2" t="s">
        <x:v>597</x:v>
      </x:c>
      <x:c r="CA10" s="2" t="s">
        <x:v>3425</x:v>
      </x:c>
      <x:c r="CB10" s="2">
        <x:v>2136</x:v>
      </x:c>
      <x:c r="CC10" s="2">
        <x:v>200</x:v>
      </x:c>
      <x:c r="CD10" s="2">
        <x:v>0</x:v>
      </x:c>
      <x:c r="CE10" s="2" t="s">
        <x:v>187</x:v>
      </x:c>
      <x:c r="CF10" s="2" t="s">
        <x:v>3461</x:v>
      </x:c>
      <x:c r="CG10" s="2" t="s">
        <x:v>3463</x:v>
      </x:c>
      <x:c r="CH10" s="2" t="s">
        <x:v>606</x:v>
      </x:c>
      <x:c r="CI10" s="2" t="s">
        <x:v>3425</x:v>
      </x:c>
      <x:c r="CJ10" s="2">
        <x:v>2158</x:v>
      </x:c>
      <x:c r="CK10" s="2">
        <x:v>200</x:v>
      </x:c>
      <x:c r="CL10" s="2">
        <x:v>0</x:v>
      </x:c>
      <x:c r="CM10" s="2" t="s">
        <x:v>187</x:v>
      </x:c>
      <x:c r="CN10" s="2" t="s">
        <x:v>3461</x:v>
      </x:c>
      <x:c r="CO10" s="2" t="s">
        <x:v>3463</x:v>
      </x:c>
      <x:c r="CP10" s="2" t="s">
        <x:v>612</x:v>
      </x:c>
      <x:c r="CQ10" s="2" t="s">
        <x:v>3425</x:v>
      </x:c>
      <x:c r="CR10" s="2">
        <x:v>2161</x:v>
      </x:c>
      <x:c r="CS10" s="2">
        <x:v>200</x:v>
      </x:c>
      <x:c r="CT10" s="2">
        <x:v>0</x:v>
      </x:c>
      <x:c r="CU10" s="2" t="s">
        <x:v>236</x:v>
      </x:c>
      <x:c r="CV10" s="2" t="s">
        <x:v>3461</x:v>
      </x:c>
      <x:c r="CW10" s="2" t="s">
        <x:v>3462</x:v>
      </x:c>
      <x:c r="CX10" s="2" t="s">
        <x:v>3222</x:v>
      </x:c>
      <x:c r="CY10" s="2" t="s">
        <x:v>3222</x:v>
      </x:c>
      <x:c r="CZ10" s="2" t="s">
        <x:v>3222</x:v>
      </x:c>
      <x:c r="DA10" s="2" t="s">
        <x:v>3222</x:v>
      </x:c>
      <x:c r="DB10" s="2" t="s">
        <x:v>3222</x:v>
      </x:c>
      <x:c r="DC10" s="2" t="s">
        <x:v>3222</x:v>
      </x:c>
      <x:c r="DD10" s="2" t="s">
        <x:v>3222</x:v>
      </x:c>
      <x:c r="DE10" s="2" t="s">
        <x:v>3222</x:v>
      </x:c>
      <x:c r="DF10" s="2" t="s">
        <x:v>3222</x:v>
      </x:c>
      <x:c r="DG10" s="2" t="s">
        <x:v>3222</x:v>
      </x:c>
      <x:c r="DH10" s="2" t="s">
        <x:v>3222</x:v>
      </x:c>
      <x:c r="DI10" s="2" t="s">
        <x:v>3222</x:v>
      </x:c>
      <x:c r="DJ10" s="2" t="s">
        <x:v>3222</x:v>
      </x:c>
      <x:c r="DK10" s="2" t="s">
        <x:v>3222</x:v>
      </x:c>
      <x:c r="DL10" s="2" t="s">
        <x:v>3222</x:v>
      </x:c>
      <x:c r="DM10" s="2" t="s">
        <x:v>3222</x:v>
      </x:c>
      <x:c r="DN10" s="2" t="s">
        <x:v>3222</x:v>
      </x:c>
      <x:c r="DO10" s="2" t="s">
        <x:v>3222</x:v>
      </x:c>
      <x:c r="DP10" s="2" t="s">
        <x:v>3222</x:v>
      </x:c>
      <x:c r="DQ10" s="2" t="s">
        <x:v>3222</x:v>
      </x:c>
      <x:c r="DR10" s="2" t="s">
        <x:v>3222</x:v>
      </x:c>
      <x:c r="DS10" s="2" t="s">
        <x:v>3222</x:v>
      </x:c>
      <x:c r="DT10" s="2" t="s">
        <x:v>3222</x:v>
      </x:c>
      <x:c r="DU10" s="2" t="s">
        <x:v>3222</x:v>
      </x:c>
      <x:c r="DV10" s="2" t="s">
        <x:v>3222</x:v>
      </x:c>
      <x:c r="DW10" s="2" t="s">
        <x:v>3222</x:v>
      </x:c>
      <x:c r="DX10" s="2" t="s">
        <x:v>3222</x:v>
      </x:c>
      <x:c r="DY10" s="2" t="s">
        <x:v>3222</x:v>
      </x:c>
      <x:c r="DZ10" s="2" t="s">
        <x:v>3222</x:v>
      </x:c>
      <x:c r="EA10" s="2" t="s">
        <x:v>3222</x:v>
      </x:c>
      <x:c r="EB10" s="2" t="s">
        <x:v>3222</x:v>
      </x:c>
      <x:c r="EC10" s="2" t="s">
        <x:v>3222</x:v>
      </x:c>
      <x:c r="ED10" s="2" t="s">
        <x:v>3222</x:v>
      </x:c>
      <x:c r="EE10" s="2" t="s">
        <x:v>3222</x:v>
      </x:c>
      <x:c r="EF10" s="2" t="s">
        <x:v>3222</x:v>
      </x:c>
      <x:c r="EG10" s="2" t="s">
        <x:v>3222</x:v>
      </x:c>
      <x:c r="EH10" s="2" t="s">
        <x:v>3222</x:v>
      </x:c>
      <x:c r="EI10" s="2" t="s">
        <x:v>3222</x:v>
      </x:c>
      <x:c r="EJ10" s="2" t="s">
        <x:v>3222</x:v>
      </x:c>
      <x:c r="EK10" s="2" t="s">
        <x:v>3222</x:v>
      </x:c>
      <x:c r="EL10" s="2" t="s">
        <x:v>3222</x:v>
      </x:c>
      <x:c r="EM10" s="2" t="s">
        <x:v>3222</x:v>
      </x:c>
      <x:c r="EN10" s="2" t="s">
        <x:v>3222</x:v>
      </x:c>
      <x:c r="EO10" s="2" t="s">
        <x:v>3222</x:v>
      </x:c>
      <x:c r="EP10" s="2" t="s">
        <x:v>3222</x:v>
      </x:c>
      <x:c r="EQ10" s="2" t="s">
        <x:v>3222</x:v>
      </x:c>
      <x:c r="ER10" s="2" t="s">
        <x:v>3222</x:v>
      </x:c>
      <x:c r="ES10" s="2" t="s">
        <x:v>3222</x:v>
      </x:c>
      <x:c r="ET10" s="2" t="s">
        <x:v>3222</x:v>
      </x:c>
      <x:c r="EU10" s="2" t="s">
        <x:v>3222</x:v>
      </x:c>
      <x:c r="EV10" s="2" t="s">
        <x:v>3222</x:v>
      </x:c>
      <x:c r="EW10" s="2" t="s">
        <x:v>3222</x:v>
      </x:c>
      <x:c r="EX10" s="2" t="s">
        <x:v>3222</x:v>
      </x:c>
      <x:c r="EY10" s="2" t="s">
        <x:v>3222</x:v>
      </x:c>
      <x:c r="EZ10" s="2" t="s">
        <x:v>3222</x:v>
      </x:c>
      <x:c r="FA10" s="2" t="s">
        <x:v>3222</x:v>
      </x:c>
    </x:row>
    <x:row r="11" ht="135">
      <x:c r="A11" s="2" t="s">
        <x:v>71</x:v>
      </x:c>
      <x:c r="B11" s="2" t="s">
        <x:v>324</x:v>
      </x:c>
      <x:c r="C11" s="2" t="s">
        <x:v>3430</x:v>
      </x:c>
      <x:c r="D11" s="2" t="s">
        <x:v>325</x:v>
      </x:c>
      <x:c r="E11" s="2" t="s">
        <x:v>314</x:v>
      </x:c>
      <x:c r="F11" s="2" t="s">
        <x:v>169</x:v>
      </x:c>
      <x:c r="G11" s="2" t="s">
        <x:v>187</x:v>
      </x:c>
      <x:c r="H11" s="2" t="s">
        <x:v>1817</x:v>
      </x:c>
      <x:c r="I11" s="2" t="s">
        <x:v>1817</x:v>
      </x:c>
      <x:c r="J11" s="2" t="s">
        <x:v>314</x:v>
      </x:c>
      <x:c r="K11" s="2" t="s">
        <x:v>314</x:v>
      </x:c>
      <x:c r="L11" s="2" t="s">
        <x:v>171</x:v>
      </x:c>
      <x:c r="M11" s="2" t="s">
        <x:v>172</x:v>
      </x:c>
      <x:c r="N11" s="2" t="s">
        <x:v>172</x:v>
      </x:c>
      <x:c r="O11" s="2" t="s">
        <x:v>172</x:v>
      </x:c>
      <x:c r="P11" s="2" t="s">
        <x:v>172</x:v>
      </x:c>
      <x:c r="Q11" s="2" t="s">
        <x:v>171</x:v>
      </x:c>
      <x:c r="R11" s="2" t="s">
        <x:v>172</x:v>
      </x:c>
      <x:c r="S11" s="2" t="s">
        <x:v>3426</x:v>
      </x:c>
      <x:c r="T11" s="2" t="s">
        <x:v>3440</x:v>
      </x:c>
      <x:c r="U11" s="2" t="s">
        <x:v>1830</x:v>
      </x:c>
      <x:c r="V11" s="2" t="s">
        <x:v>171</x:v>
      </x:c>
      <x:c r="W11" s="2" t="s">
        <x:v>1968</x:v>
      </x:c>
      <x:c r="X11" s="2" t="s">
        <x:v>1967</x:v>
      </x:c>
      <x:c r="Y11" s="2">
        <x:v>8</x:v>
      </x:c>
      <x:c r="Z11" s="2" t="s">
        <x:v>3464</x:v>
      </x:c>
      <x:c r="AA11" s="2"/>
      <x:c r="AB11" s="2"/>
      <x:c r="AC11" s="2" t="s">
        <x:v>76</x:v>
      </x:c>
      <x:c r="AD11" s="2" t="s">
        <x:v>640</x:v>
      </x:c>
      <x:c r="AE11" s="2" t="s">
        <x:v>3425</x:v>
      </x:c>
      <x:c r="AF11" s="2">
        <x:v>62506</x:v>
      </x:c>
      <x:c r="AG11" s="2">
        <x:v>5</x:v>
      </x:c>
      <x:c r="AH11" s="2">
        <x:v>0</x:v>
      </x:c>
      <x:c r="AI11" s="2" t="s">
        <x:v>187</x:v>
      </x:c>
      <x:c r="AJ11" s="2" t="s">
        <x:v>3465</x:v>
      </x:c>
      <x:c r="AK11" s="2" t="s">
        <x:v>3466</x:v>
      </x:c>
      <x:c r="AL11" s="2" t="s">
        <x:v>651</x:v>
      </x:c>
      <x:c r="AM11" s="2" t="s">
        <x:v>3425</x:v>
      </x:c>
      <x:c r="AN11" s="2">
        <x:v>62516</x:v>
      </x:c>
      <x:c r="AO11" s="2">
        <x:v>15</x:v>
      </x:c>
      <x:c r="AP11" s="2">
        <x:v>0</x:v>
      </x:c>
      <x:c r="AQ11" s="2" t="s">
        <x:v>187</x:v>
      </x:c>
      <x:c r="AR11" s="2" t="s">
        <x:v>3465</x:v>
      </x:c>
      <x:c r="AS11" s="2" t="s">
        <x:v>3466</x:v>
      </x:c>
      <x:c r="AT11" s="2" t="s">
        <x:v>2213</x:v>
      </x:c>
      <x:c r="AU11" s="2" t="s">
        <x:v>3425</x:v>
      </x:c>
      <x:c r="AV11" s="2">
        <x:v>63716</x:v>
      </x:c>
      <x:c r="AW11" s="2">
        <x:v>7.5</x:v>
      </x:c>
      <x:c r="AX11" s="2">
        <x:v>7.5</x:v>
      </x:c>
      <x:c r="AY11" s="2" t="s">
        <x:v>168</x:v>
      </x:c>
      <x:c r="AZ11" s="2" t="s">
        <x:v>3467</x:v>
      </x:c>
      <x:c r="BA11" s="2" t="s">
        <x:v>3468</x:v>
      </x:c>
      <x:c r="BB11" s="2" t="s">
        <x:v>675</x:v>
      </x:c>
      <x:c r="BC11" s="2" t="s">
        <x:v>3425</x:v>
      </x:c>
      <x:c r="BD11" s="2">
        <x:v>62389</x:v>
      </x:c>
      <x:c r="BE11" s="2">
        <x:v>7.5</x:v>
      </x:c>
      <x:c r="BF11" s="2">
        <x:v>0</x:v>
      </x:c>
      <x:c r="BG11" s="2" t="s">
        <x:v>187</x:v>
      </x:c>
      <x:c r="BH11" s="2" t="s">
        <x:v>3469</x:v>
      </x:c>
      <x:c r="BI11" s="2" t="s">
        <x:v>3470</x:v>
      </x:c>
      <x:c r="BJ11" s="2" t="s">
        <x:v>684</x:v>
      </x:c>
      <x:c r="BK11" s="2" t="s">
        <x:v>3425</x:v>
      </x:c>
      <x:c r="BL11" s="2">
        <x:v>64066</x:v>
      </x:c>
      <x:c r="BM11" s="2">
        <x:v>7.5</x:v>
      </x:c>
      <x:c r="BN11" s="2">
        <x:v>0</x:v>
      </x:c>
      <x:c r="BO11" s="2" t="s">
        <x:v>236</x:v>
      </x:c>
      <x:c r="BP11" s="2" t="s">
        <x:v>3469</x:v>
      </x:c>
      <x:c r="BQ11" s="2" t="s">
        <x:v>3471</x:v>
      </x:c>
      <x:c r="BR11" s="2" t="s">
        <x:v>689</x:v>
      </x:c>
      <x:c r="BS11" s="2" t="s">
        <x:v>3425</x:v>
      </x:c>
      <x:c r="BT11" s="2">
        <x:v>64133</x:v>
      </x:c>
      <x:c r="BU11" s="2">
        <x:v>7.5</x:v>
      </x:c>
      <x:c r="BV11" s="2">
        <x:v>0</x:v>
      </x:c>
      <x:c r="BW11" s="2" t="s">
        <x:v>236</x:v>
      </x:c>
      <x:c r="BX11" s="2" t="s">
        <x:v>3469</x:v>
      </x:c>
      <x:c r="BY11" s="2" t="s">
        <x:v>3471</x:v>
      </x:c>
      <x:c r="BZ11" s="2" t="s">
        <x:v>2234</x:v>
      </x:c>
      <x:c r="CA11" s="2" t="s">
        <x:v>3425</x:v>
      </x:c>
      <x:c r="CB11" s="2">
        <x:v>64256</x:v>
      </x:c>
      <x:c r="CC11" s="2">
        <x:v>7.5</x:v>
      </x:c>
      <x:c r="CD11" s="2">
        <x:v>7.5</x:v>
      </x:c>
      <x:c r="CE11" s="2" t="s">
        <x:v>168</x:v>
      </x:c>
      <x:c r="CF11" s="2" t="s">
        <x:v>3472</x:v>
      </x:c>
      <x:c r="CG11" s="2" t="s">
        <x:v>3473</x:v>
      </x:c>
      <x:c r="CH11" s="2" t="s">
        <x:v>3222</x:v>
      </x:c>
      <x:c r="CI11" s="2" t="s">
        <x:v>3222</x:v>
      </x:c>
      <x:c r="CJ11" s="2" t="s">
        <x:v>3222</x:v>
      </x:c>
      <x:c r="CK11" s="2" t="s">
        <x:v>3222</x:v>
      </x:c>
      <x:c r="CL11" s="2" t="s">
        <x:v>3222</x:v>
      </x:c>
      <x:c r="CM11" s="2" t="s">
        <x:v>3222</x:v>
      </x:c>
      <x:c r="CN11" s="2" t="s">
        <x:v>3222</x:v>
      </x:c>
      <x:c r="CO11" s="2" t="s">
        <x:v>3222</x:v>
      </x:c>
      <x:c r="CP11" s="2" t="s">
        <x:v>3222</x:v>
      </x:c>
      <x:c r="CQ11" s="2" t="s">
        <x:v>3222</x:v>
      </x:c>
      <x:c r="CR11" s="2" t="s">
        <x:v>3222</x:v>
      </x:c>
      <x:c r="CS11" s="2" t="s">
        <x:v>3222</x:v>
      </x:c>
      <x:c r="CT11" s="2" t="s">
        <x:v>3222</x:v>
      </x:c>
      <x:c r="CU11" s="2" t="s">
        <x:v>3222</x:v>
      </x:c>
      <x:c r="CV11" s="2" t="s">
        <x:v>3222</x:v>
      </x:c>
      <x:c r="CW11" s="2" t="s">
        <x:v>3222</x:v>
      </x:c>
      <x:c r="CX11" s="2" t="s">
        <x:v>3222</x:v>
      </x:c>
      <x:c r="CY11" s="2" t="s">
        <x:v>3222</x:v>
      </x:c>
      <x:c r="CZ11" s="2" t="s">
        <x:v>3222</x:v>
      </x:c>
      <x:c r="DA11" s="2" t="s">
        <x:v>3222</x:v>
      </x:c>
      <x:c r="DB11" s="2" t="s">
        <x:v>3222</x:v>
      </x:c>
      <x:c r="DC11" s="2" t="s">
        <x:v>3222</x:v>
      </x:c>
      <x:c r="DD11" s="2" t="s">
        <x:v>3222</x:v>
      </x:c>
      <x:c r="DE11" s="2" t="s">
        <x:v>3222</x:v>
      </x:c>
      <x:c r="DF11" s="2" t="s">
        <x:v>3222</x:v>
      </x:c>
      <x:c r="DG11" s="2" t="s">
        <x:v>3222</x:v>
      </x:c>
      <x:c r="DH11" s="2" t="s">
        <x:v>3222</x:v>
      </x:c>
      <x:c r="DI11" s="2" t="s">
        <x:v>3222</x:v>
      </x:c>
      <x:c r="DJ11" s="2" t="s">
        <x:v>3222</x:v>
      </x:c>
      <x:c r="DK11" s="2" t="s">
        <x:v>3222</x:v>
      </x:c>
      <x:c r="DL11" s="2" t="s">
        <x:v>3222</x:v>
      </x:c>
      <x:c r="DM11" s="2" t="s">
        <x:v>3222</x:v>
      </x:c>
      <x:c r="DN11" s="2" t="s">
        <x:v>3222</x:v>
      </x:c>
      <x:c r="DO11" s="2" t="s">
        <x:v>3222</x:v>
      </x:c>
      <x:c r="DP11" s="2" t="s">
        <x:v>3222</x:v>
      </x:c>
      <x:c r="DQ11" s="2" t="s">
        <x:v>3222</x:v>
      </x:c>
      <x:c r="DR11" s="2" t="s">
        <x:v>3222</x:v>
      </x:c>
      <x:c r="DS11" s="2" t="s">
        <x:v>3222</x:v>
      </x:c>
      <x:c r="DT11" s="2" t="s">
        <x:v>3222</x:v>
      </x:c>
      <x:c r="DU11" s="2" t="s">
        <x:v>3222</x:v>
      </x:c>
      <x:c r="DV11" s="2" t="s">
        <x:v>3222</x:v>
      </x:c>
      <x:c r="DW11" s="2" t="s">
        <x:v>3222</x:v>
      </x:c>
      <x:c r="DX11" s="2" t="s">
        <x:v>3222</x:v>
      </x:c>
      <x:c r="DY11" s="2" t="s">
        <x:v>3222</x:v>
      </x:c>
      <x:c r="DZ11" s="2" t="s">
        <x:v>3222</x:v>
      </x:c>
      <x:c r="EA11" s="2" t="s">
        <x:v>3222</x:v>
      </x:c>
      <x:c r="EB11" s="2" t="s">
        <x:v>3222</x:v>
      </x:c>
      <x:c r="EC11" s="2" t="s">
        <x:v>3222</x:v>
      </x:c>
      <x:c r="ED11" s="2" t="s">
        <x:v>3222</x:v>
      </x:c>
      <x:c r="EE11" s="2" t="s">
        <x:v>3222</x:v>
      </x:c>
      <x:c r="EF11" s="2" t="s">
        <x:v>3222</x:v>
      </x:c>
      <x:c r="EG11" s="2" t="s">
        <x:v>3222</x:v>
      </x:c>
      <x:c r="EH11" s="2" t="s">
        <x:v>3222</x:v>
      </x:c>
      <x:c r="EI11" s="2" t="s">
        <x:v>3222</x:v>
      </x:c>
      <x:c r="EJ11" s="2" t="s">
        <x:v>3222</x:v>
      </x:c>
      <x:c r="EK11" s="2" t="s">
        <x:v>3222</x:v>
      </x:c>
      <x:c r="EL11" s="2" t="s">
        <x:v>3222</x:v>
      </x:c>
      <x:c r="EM11" s="2" t="s">
        <x:v>3222</x:v>
      </x:c>
      <x:c r="EN11" s="2" t="s">
        <x:v>3222</x:v>
      </x:c>
      <x:c r="EO11" s="2" t="s">
        <x:v>3222</x:v>
      </x:c>
      <x:c r="EP11" s="2" t="s">
        <x:v>3222</x:v>
      </x:c>
      <x:c r="EQ11" s="2" t="s">
        <x:v>3222</x:v>
      </x:c>
      <x:c r="ER11" s="2" t="s">
        <x:v>3222</x:v>
      </x:c>
      <x:c r="ES11" s="2" t="s">
        <x:v>3222</x:v>
      </x:c>
      <x:c r="ET11" s="2" t="s">
        <x:v>3222</x:v>
      </x:c>
      <x:c r="EU11" s="2" t="s">
        <x:v>3222</x:v>
      </x:c>
      <x:c r="EV11" s="2" t="s">
        <x:v>3222</x:v>
      </x:c>
      <x:c r="EW11" s="2" t="s">
        <x:v>3222</x:v>
      </x:c>
      <x:c r="EX11" s="2" t="s">
        <x:v>3222</x:v>
      </x:c>
      <x:c r="EY11" s="2" t="s">
        <x:v>3222</x:v>
      </x:c>
      <x:c r="EZ11" s="2" t="s">
        <x:v>3222</x:v>
      </x:c>
      <x:c r="FA11" s="2" t="s">
        <x:v>3222</x:v>
      </x:c>
    </x:row>
    <x:row r="12" ht="135">
      <x:c r="A12" s="2" t="s">
        <x:v>71</x:v>
      </x:c>
      <x:c r="B12" s="2" t="s">
        <x:v>350</x:v>
      </x:c>
      <x:c r="C12" s="2" t="s">
        <x:v>3430</x:v>
      </x:c>
      <x:c r="D12" s="2" t="s">
        <x:v>351</x:v>
      </x:c>
      <x:c r="E12" s="2" t="s">
        <x:v>330</x:v>
      </x:c>
      <x:c r="F12" s="2" t="s">
        <x:v>169</x:v>
      </x:c>
      <x:c r="G12" s="2" t="s">
        <x:v>187</x:v>
      </x:c>
      <x:c r="H12" s="2" t="s">
        <x:v>1817</x:v>
      </x:c>
      <x:c r="I12" s="2" t="s">
        <x:v>1817</x:v>
      </x:c>
      <x:c r="J12" s="2" t="s">
        <x:v>330</x:v>
      </x:c>
      <x:c r="K12" s="2" t="s">
        <x:v>330</x:v>
      </x:c>
      <x:c r="L12" s="2" t="s">
        <x:v>171</x:v>
      </x:c>
      <x:c r="M12" s="2" t="s">
        <x:v>172</x:v>
      </x:c>
      <x:c r="N12" s="2" t="s">
        <x:v>172</x:v>
      </x:c>
      <x:c r="O12" s="2" t="s">
        <x:v>172</x:v>
      </x:c>
      <x:c r="P12" s="2" t="s">
        <x:v>172</x:v>
      </x:c>
      <x:c r="Q12" s="2" t="s">
        <x:v>171</x:v>
      </x:c>
      <x:c r="R12" s="2" t="s">
        <x:v>172</x:v>
      </x:c>
      <x:c r="S12" s="2" t="s">
        <x:v>3426</x:v>
      </x:c>
      <x:c r="T12" s="2" t="s">
        <x:v>3442</x:v>
      </x:c>
      <x:c r="U12" s="2" t="s">
        <x:v>1830</x:v>
      </x:c>
      <x:c r="V12" s="2" t="s">
        <x:v>171</x:v>
      </x:c>
      <x:c r="W12" s="2" t="s">
        <x:v>2004</x:v>
      </x:c>
      <x:c r="X12" s="2" t="s">
        <x:v>2003</x:v>
      </x:c>
      <x:c r="Y12" s="2">
        <x:v>9</x:v>
      </x:c>
      <x:c r="Z12" s="2" t="s">
        <x:v>3474</x:v>
      </x:c>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2"/>
      <x:c r="CO12" s="2"/>
      <x:c r="CP12" s="2"/>
      <x:c r="CQ12" s="2"/>
      <x:c r="CR12" s="2"/>
      <x:c r="CS12" s="2"/>
      <x:c r="CT12" s="2"/>
      <x:c r="CU12" s="2"/>
      <x:c r="CV12" s="2"/>
      <x:c r="CW12" s="2"/>
      <x:c r="CX12" s="2"/>
      <x:c r="CY12" s="2"/>
      <x:c r="CZ12" s="2"/>
      <x:c r="DA12" s="2"/>
      <x:c r="DB12" s="2"/>
      <x:c r="DC12" s="2"/>
      <x:c r="DD12" s="2"/>
      <x:c r="DE12" s="2"/>
      <x:c r="DF12" s="2"/>
      <x:c r="DG12" s="2"/>
      <x:c r="DH12" s="2"/>
      <x:c r="DI12" s="2"/>
      <x:c r="DJ12" s="2"/>
      <x:c r="DK12" s="2"/>
      <x:c r="DL12" s="2"/>
      <x:c r="DM12" s="2"/>
      <x:c r="DN12" s="2"/>
      <x:c r="DO12" s="2"/>
      <x:c r="DP12" s="2"/>
      <x:c r="DQ12" s="2"/>
      <x:c r="DR12" s="2"/>
      <x:c r="DS12" s="2"/>
      <x:c r="DT12" s="2"/>
      <x:c r="DU12" s="2"/>
      <x:c r="DV12" s="2"/>
      <x:c r="DW12" s="2"/>
      <x:c r="DX12" s="2"/>
      <x:c r="DY12" s="2"/>
      <x:c r="DZ12" s="2"/>
      <x:c r="EA12" s="2"/>
      <x:c r="EB12" s="2"/>
      <x:c r="EC12" s="2"/>
      <x:c r="ED12" s="2"/>
      <x:c r="EE12" s="2"/>
      <x:c r="EF12" s="2"/>
      <x:c r="EG12" s="2"/>
      <x:c r="EH12" s="2"/>
      <x:c r="EI12" s="2"/>
      <x:c r="EJ12" s="2"/>
      <x:c r="EK12" s="2"/>
      <x:c r="EL12" s="2"/>
      <x:c r="EM12" s="2"/>
      <x:c r="EN12" s="2"/>
      <x:c r="EO12" s="2"/>
      <x:c r="EP12" s="2"/>
      <x:c r="EQ12" s="2"/>
      <x:c r="ER12" s="2"/>
      <x:c r="ES12" s="2"/>
      <x:c r="ET12" s="2"/>
      <x:c r="EU12" s="2"/>
      <x:c r="EV12" s="2"/>
      <x:c r="EW12" s="2"/>
      <x:c r="EX12" s="2"/>
      <x:c r="EY12" s="2"/>
      <x:c r="EZ12" s="2"/>
      <x:c r="FA12" s="2"/>
    </x:row>
    <x:row r="13" ht="135">
      <x:c r="A13" s="2" t="s">
        <x:v>71</x:v>
      </x:c>
      <x:c r="B13" s="2" t="s">
        <x:v>353</x:v>
      </x:c>
      <x:c r="C13" s="2" t="s">
        <x:v>3430</x:v>
      </x:c>
      <x:c r="D13" s="2" t="s">
        <x:v>354</x:v>
      </x:c>
      <x:c r="E13" s="2" t="s">
        <x:v>330</x:v>
      </x:c>
      <x:c r="F13" s="2" t="s">
        <x:v>169</x:v>
      </x:c>
      <x:c r="G13" s="2" t="s">
        <x:v>187</x:v>
      </x:c>
      <x:c r="H13" s="2" t="s">
        <x:v>1817</x:v>
      </x:c>
      <x:c r="I13" s="2" t="s">
        <x:v>1817</x:v>
      </x:c>
      <x:c r="J13" s="2" t="s">
        <x:v>330</x:v>
      </x:c>
      <x:c r="K13" s="2" t="s">
        <x:v>330</x:v>
      </x:c>
      <x:c r="L13" s="2" t="s">
        <x:v>171</x:v>
      </x:c>
      <x:c r="M13" s="2" t="s">
        <x:v>172</x:v>
      </x:c>
      <x:c r="N13" s="2" t="s">
        <x:v>172</x:v>
      </x:c>
      <x:c r="O13" s="2" t="s">
        <x:v>172</x:v>
      </x:c>
      <x:c r="P13" s="2" t="s">
        <x:v>172</x:v>
      </x:c>
      <x:c r="Q13" s="2" t="s">
        <x:v>171</x:v>
      </x:c>
      <x:c r="R13" s="2" t="s">
        <x:v>172</x:v>
      </x:c>
      <x:c r="S13" s="2" t="s">
        <x:v>3426</x:v>
      </x:c>
      <x:c r="T13" s="2" t="s">
        <x:v>3442</x:v>
      </x:c>
      <x:c r="U13" s="2" t="s">
        <x:v>1830</x:v>
      </x:c>
      <x:c r="V13" s="2" t="s">
        <x:v>172</x:v>
      </x:c>
      <x:c r="W13" s="2" t="s">
        <x:v>2008</x:v>
      </x:c>
      <x:c r="X13" s="2" t="s">
        <x:v>2007</x:v>
      </x:c>
      <x:c r="Y13" s="2">
        <x:v>10</x:v>
      </x:c>
      <x:c r="Z13" s="2" t="s">
        <x:v>3475</x:v>
      </x:c>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2"/>
      <x:c r="CO13" s="2"/>
      <x:c r="CP13" s="2"/>
      <x:c r="CQ13" s="2"/>
      <x:c r="CR13" s="2"/>
      <x:c r="CS13" s="2"/>
      <x:c r="CT13" s="2"/>
      <x:c r="CU13" s="2"/>
      <x:c r="CV13" s="2"/>
      <x:c r="CW13" s="2"/>
      <x:c r="CX13" s="2"/>
      <x:c r="CY13" s="2"/>
      <x:c r="CZ13" s="2"/>
      <x:c r="DA13" s="2"/>
      <x:c r="DB13" s="2"/>
      <x:c r="DC13" s="2"/>
      <x:c r="DD13" s="2"/>
      <x:c r="DE13" s="2"/>
      <x:c r="DF13" s="2"/>
      <x:c r="DG13" s="2"/>
      <x:c r="DH13" s="2"/>
      <x:c r="DI13" s="2"/>
      <x:c r="DJ13" s="2"/>
      <x:c r="DK13" s="2"/>
      <x:c r="DL13" s="2"/>
      <x:c r="DM13" s="2"/>
      <x:c r="DN13" s="2"/>
      <x:c r="DO13" s="2"/>
      <x:c r="DP13" s="2"/>
      <x:c r="DQ13" s="2"/>
      <x:c r="DR13" s="2"/>
      <x:c r="DS13" s="2"/>
      <x:c r="DT13" s="2"/>
      <x:c r="DU13" s="2"/>
      <x:c r="DV13" s="2"/>
      <x:c r="DW13" s="2"/>
      <x:c r="DX13" s="2"/>
      <x:c r="DY13" s="2"/>
      <x:c r="DZ13" s="2"/>
      <x:c r="EA13" s="2"/>
      <x:c r="EB13" s="2"/>
      <x:c r="EC13" s="2"/>
      <x:c r="ED13" s="2"/>
      <x:c r="EE13" s="2"/>
      <x:c r="EF13" s="2"/>
      <x:c r="EG13" s="2"/>
      <x:c r="EH13" s="2"/>
      <x:c r="EI13" s="2"/>
      <x:c r="EJ13" s="2"/>
      <x:c r="EK13" s="2"/>
      <x:c r="EL13" s="2"/>
      <x:c r="EM13" s="2"/>
      <x:c r="EN13" s="2"/>
      <x:c r="EO13" s="2"/>
      <x:c r="EP13" s="2"/>
      <x:c r="EQ13" s="2"/>
      <x:c r="ER13" s="2"/>
      <x:c r="ES13" s="2"/>
      <x:c r="ET13" s="2"/>
      <x:c r="EU13" s="2"/>
      <x:c r="EV13" s="2"/>
      <x:c r="EW13" s="2"/>
      <x:c r="EX13" s="2"/>
      <x:c r="EY13" s="2"/>
      <x:c r="EZ13" s="2"/>
      <x:c r="FA13" s="2"/>
    </x:row>
    <x:row r="14" ht="135">
      <x:c r="A14" s="2" t="s">
        <x:v>71</x:v>
      </x:c>
      <x:c r="B14" s="2" t="s">
        <x:v>361</x:v>
      </x:c>
      <x:c r="C14" s="2" t="s">
        <x:v>3430</x:v>
      </x:c>
      <x:c r="D14" s="2" t="s">
        <x:v>313</x:v>
      </x:c>
      <x:c r="E14" s="2" t="s">
        <x:v>632</x:v>
      </x:c>
      <x:c r="F14" s="2" t="s">
        <x:v>169</x:v>
      </x:c>
      <x:c r="G14" s="2" t="s">
        <x:v>187</x:v>
      </x:c>
      <x:c r="H14" s="2" t="s">
        <x:v>1817</x:v>
      </x:c>
      <x:c r="I14" s="2" t="s">
        <x:v>1817</x:v>
      </x:c>
      <x:c r="J14" s="2" t="s">
        <x:v>358</x:v>
      </x:c>
      <x:c r="K14" s="2" t="s">
        <x:v>358</x:v>
      </x:c>
      <x:c r="L14" s="2" t="s">
        <x:v>171</x:v>
      </x:c>
      <x:c r="M14" s="2" t="s">
        <x:v>172</x:v>
      </x:c>
      <x:c r="N14" s="2" t="s">
        <x:v>172</x:v>
      </x:c>
      <x:c r="O14" s="2" t="s">
        <x:v>172</x:v>
      </x:c>
      <x:c r="P14" s="2" t="s">
        <x:v>172</x:v>
      </x:c>
      <x:c r="Q14" s="2" t="s">
        <x:v>171</x:v>
      </x:c>
      <x:c r="R14" s="2" t="s">
        <x:v>172</x:v>
      </x:c>
      <x:c r="S14" s="2" t="s">
        <x:v>3426</x:v>
      </x:c>
      <x:c r="T14" s="2" t="s">
        <x:v>3444</x:v>
      </x:c>
      <x:c r="U14" s="2" t="s">
        <x:v>1830</x:v>
      </x:c>
      <x:c r="V14" s="2" t="s">
        <x:v>171</x:v>
      </x:c>
      <x:c r="W14" s="2" t="s">
        <x:v>2018</x:v>
      </x:c>
      <x:c r="X14" s="2" t="s">
        <x:v>2017</x:v>
      </x:c>
      <x:c r="Y14" s="2">
        <x:v>11</x:v>
      </x:c>
      <x:c r="Z14" s="2" t="s">
        <x:v>3476</x:v>
      </x:c>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2"/>
      <x:c r="CO14" s="2"/>
      <x:c r="CP14" s="2"/>
      <x:c r="CQ14" s="2"/>
      <x:c r="CR14" s="2"/>
      <x:c r="CS14" s="2"/>
      <x:c r="CT14" s="2"/>
      <x:c r="CU14" s="2"/>
      <x:c r="CV14" s="2"/>
      <x:c r="CW14" s="2"/>
      <x:c r="CX14" s="2"/>
      <x:c r="CY14" s="2"/>
      <x:c r="CZ14" s="2"/>
      <x:c r="DA14" s="2"/>
      <x:c r="DB14" s="2"/>
      <x:c r="DC14" s="2"/>
      <x:c r="DD14" s="2"/>
      <x:c r="DE14" s="2"/>
      <x:c r="DF14" s="2"/>
      <x:c r="DG14" s="2"/>
      <x:c r="DH14" s="2"/>
      <x:c r="DI14" s="2"/>
      <x:c r="DJ14" s="2"/>
      <x:c r="DK14" s="2"/>
      <x:c r="DL14" s="2"/>
      <x:c r="DM14" s="2"/>
      <x:c r="DN14" s="2"/>
      <x:c r="DO14" s="2"/>
      <x:c r="DP14" s="2"/>
      <x:c r="DQ14" s="2"/>
      <x:c r="DR14" s="2"/>
      <x:c r="DS14" s="2"/>
      <x:c r="DT14" s="2"/>
      <x:c r="DU14" s="2"/>
      <x:c r="DV14" s="2"/>
      <x:c r="DW14" s="2"/>
      <x:c r="DX14" s="2"/>
      <x:c r="DY14" s="2"/>
      <x:c r="DZ14" s="2"/>
      <x:c r="EA14" s="2"/>
      <x:c r="EB14" s="2"/>
      <x:c r="EC14" s="2"/>
      <x:c r="ED14" s="2"/>
      <x:c r="EE14" s="2"/>
      <x:c r="EF14" s="2"/>
      <x:c r="EG14" s="2"/>
      <x:c r="EH14" s="2"/>
      <x:c r="EI14" s="2"/>
      <x:c r="EJ14" s="2"/>
      <x:c r="EK14" s="2"/>
      <x:c r="EL14" s="2"/>
      <x:c r="EM14" s="2"/>
      <x:c r="EN14" s="2"/>
      <x:c r="EO14" s="2"/>
      <x:c r="EP14" s="2"/>
      <x:c r="EQ14" s="2"/>
      <x:c r="ER14" s="2"/>
      <x:c r="ES14" s="2"/>
      <x:c r="ET14" s="2"/>
      <x:c r="EU14" s="2"/>
      <x:c r="EV14" s="2"/>
      <x:c r="EW14" s="2"/>
      <x:c r="EX14" s="2"/>
      <x:c r="EY14" s="2"/>
      <x:c r="EZ14" s="2"/>
      <x:c r="FA14" s="2"/>
    </x:row>
    <x:row r="15" ht="135">
      <x:c r="A15" s="2" t="s">
        <x:v>71</x:v>
      </x:c>
      <x:c r="B15" s="2" t="s">
        <x:v>363</x:v>
      </x:c>
      <x:c r="C15" s="2" t="s">
        <x:v>3430</x:v>
      </x:c>
      <x:c r="D15" s="2" t="s">
        <x:v>364</x:v>
      </x:c>
      <x:c r="E15" s="2" t="s">
        <x:v>358</x:v>
      </x:c>
      <x:c r="F15" s="2" t="s">
        <x:v>169</x:v>
      </x:c>
      <x:c r="G15" s="2" t="s">
        <x:v>187</x:v>
      </x:c>
      <x:c r="H15" s="2" t="s">
        <x:v>1817</x:v>
      </x:c>
      <x:c r="I15" s="2" t="s">
        <x:v>1817</x:v>
      </x:c>
      <x:c r="J15" s="2" t="s">
        <x:v>358</x:v>
      </x:c>
      <x:c r="K15" s="2" t="s">
        <x:v>358</x:v>
      </x:c>
      <x:c r="L15" s="2" t="s">
        <x:v>171</x:v>
      </x:c>
      <x:c r="M15" s="2" t="s">
        <x:v>172</x:v>
      </x:c>
      <x:c r="N15" s="2" t="s">
        <x:v>172</x:v>
      </x:c>
      <x:c r="O15" s="2" t="s">
        <x:v>172</x:v>
      </x:c>
      <x:c r="P15" s="2" t="s">
        <x:v>172</x:v>
      </x:c>
      <x:c r="Q15" s="2" t="s">
        <x:v>171</x:v>
      </x:c>
      <x:c r="R15" s="2" t="s">
        <x:v>172</x:v>
      </x:c>
      <x:c r="S15" s="2" t="s">
        <x:v>3426</x:v>
      </x:c>
      <x:c r="T15" s="2" t="s">
        <x:v>3444</x:v>
      </x:c>
      <x:c r="U15" s="2" t="s">
        <x:v>1830</x:v>
      </x:c>
      <x:c r="V15" s="2" t="s">
        <x:v>172</x:v>
      </x:c>
      <x:c r="W15" s="2" t="s">
        <x:v>2022</x:v>
      </x:c>
      <x:c r="X15" s="2" t="s">
        <x:v>2021</x:v>
      </x:c>
      <x:c r="Y15" s="2">
        <x:v>12</x:v>
      </x:c>
      <x:c r="Z15" s="2" t="s">
        <x:v>3477</x:v>
      </x:c>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x:c r="CB15" s="2"/>
      <x:c r="CC15" s="2"/>
      <x:c r="CD15" s="2"/>
      <x:c r="CE15" s="2"/>
      <x:c r="CF15" s="2"/>
      <x:c r="CG15" s="2"/>
      <x:c r="CH15" s="2"/>
      <x:c r="CI15" s="2"/>
      <x:c r="CJ15" s="2"/>
      <x:c r="CK15" s="2"/>
      <x:c r="CL15" s="2"/>
      <x:c r="CM15" s="2"/>
      <x:c r="CN15" s="2"/>
      <x:c r="CO15" s="2"/>
      <x:c r="CP15" s="2"/>
      <x:c r="CQ15" s="2"/>
      <x:c r="CR15" s="2"/>
      <x:c r="CS15" s="2"/>
      <x:c r="CT15" s="2"/>
      <x:c r="CU15" s="2"/>
      <x:c r="CV15" s="2"/>
      <x:c r="CW15" s="2"/>
      <x:c r="CX15" s="2"/>
      <x:c r="CY15" s="2"/>
      <x:c r="CZ15" s="2"/>
      <x:c r="DA15" s="2"/>
      <x:c r="DB15" s="2"/>
      <x:c r="DC15" s="2"/>
      <x:c r="DD15" s="2"/>
      <x:c r="DE15" s="2"/>
      <x:c r="DF15" s="2"/>
      <x:c r="DG15" s="2"/>
      <x:c r="DH15" s="2"/>
      <x:c r="DI15" s="2"/>
      <x:c r="DJ15" s="2"/>
      <x:c r="DK15" s="2"/>
      <x:c r="DL15" s="2"/>
      <x:c r="DM15" s="2"/>
      <x:c r="DN15" s="2"/>
      <x:c r="DO15" s="2"/>
      <x:c r="DP15" s="2"/>
      <x:c r="DQ15" s="2"/>
      <x:c r="DR15" s="2"/>
      <x:c r="DS15" s="2"/>
      <x:c r="DT15" s="2"/>
      <x:c r="DU15" s="2"/>
      <x:c r="DV15" s="2"/>
      <x:c r="DW15" s="2"/>
      <x:c r="DX15" s="2"/>
      <x:c r="DY15" s="2"/>
      <x:c r="DZ15" s="2"/>
      <x:c r="EA15" s="2"/>
      <x:c r="EB15" s="2"/>
      <x:c r="EC15" s="2"/>
      <x:c r="ED15" s="2"/>
      <x:c r="EE15" s="2"/>
      <x:c r="EF15" s="2"/>
      <x:c r="EG15" s="2"/>
      <x:c r="EH15" s="2"/>
      <x:c r="EI15" s="2"/>
      <x:c r="EJ15" s="2"/>
      <x:c r="EK15" s="2"/>
      <x:c r="EL15" s="2"/>
      <x:c r="EM15" s="2"/>
      <x:c r="EN15" s="2"/>
      <x:c r="EO15" s="2"/>
      <x:c r="EP15" s="2"/>
      <x:c r="EQ15" s="2"/>
      <x:c r="ER15" s="2"/>
      <x:c r="ES15" s="2"/>
      <x:c r="ET15" s="2"/>
      <x:c r="EU15" s="2"/>
      <x:c r="EV15" s="2"/>
      <x:c r="EW15" s="2"/>
      <x:c r="EX15" s="2"/>
      <x:c r="EY15" s="2"/>
      <x:c r="EZ15" s="2"/>
      <x:c r="FA15" s="2"/>
    </x:row>
    <x:row r="16" ht="135">
      <x:c r="A16" s="2" t="s">
        <x:v>71</x:v>
      </x:c>
      <x:c r="B16" s="2" t="s">
        <x:v>375</x:v>
      </x:c>
      <x:c r="C16" s="2" t="s">
        <x:v>3430</x:v>
      </x:c>
      <x:c r="D16" s="2" t="s">
        <x:v>376</x:v>
      </x:c>
      <x:c r="E16" s="2" t="s">
        <x:v>373</x:v>
      </x:c>
      <x:c r="F16" s="2" t="s">
        <x:v>169</x:v>
      </x:c>
      <x:c r="G16" s="2" t="s">
        <x:v>187</x:v>
      </x:c>
      <x:c r="H16" s="2" t="s">
        <x:v>1817</x:v>
      </x:c>
      <x:c r="I16" s="2" t="s">
        <x:v>1817</x:v>
      </x:c>
      <x:c r="J16" s="2" t="s">
        <x:v>373</x:v>
      </x:c>
      <x:c r="K16" s="2" t="s">
        <x:v>373</x:v>
      </x:c>
      <x:c r="L16" s="2" t="s">
        <x:v>171</x:v>
      </x:c>
      <x:c r="M16" s="2" t="s">
        <x:v>172</x:v>
      </x:c>
      <x:c r="N16" s="2" t="s">
        <x:v>172</x:v>
      </x:c>
      <x:c r="O16" s="2" t="s">
        <x:v>172</x:v>
      </x:c>
      <x:c r="P16" s="2" t="s">
        <x:v>172</x:v>
      </x:c>
      <x:c r="Q16" s="2" t="s">
        <x:v>171</x:v>
      </x:c>
      <x:c r="R16" s="2" t="s">
        <x:v>172</x:v>
      </x:c>
      <x:c r="S16" s="2" t="s">
        <x:v>3426</x:v>
      </x:c>
      <x:c r="T16" s="2" t="s">
        <x:v>3446</x:v>
      </x:c>
      <x:c r="U16" s="2" t="s">
        <x:v>1830</x:v>
      </x:c>
      <x:c r="V16" s="2" t="s">
        <x:v>171</x:v>
      </x:c>
      <x:c r="W16" s="2" t="s">
        <x:v>2038</x:v>
      </x:c>
      <x:c r="X16" s="2" t="s">
        <x:v>2037</x:v>
      </x:c>
      <x:c r="Y16" s="2">
        <x:v>13</x:v>
      </x:c>
      <x:c r="Z16" s="2" t="s">
        <x:v>3478</x:v>
      </x:c>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c r="AY16" s="2"/>
      <x:c r="AZ16" s="2"/>
      <x:c r="BA16" s="2"/>
      <x:c r="BB16" s="2"/>
      <x:c r="BC16" s="2"/>
      <x:c r="BD16" s="2"/>
      <x:c r="BE16" s="2"/>
      <x:c r="BF16" s="2"/>
      <x:c r="BG16" s="2"/>
      <x:c r="BH16" s="2"/>
      <x:c r="BI16" s="2"/>
      <x:c r="BJ16" s="2"/>
      <x:c r="BK16" s="2"/>
      <x:c r="BL16" s="2"/>
      <x:c r="BM16" s="2"/>
      <x:c r="BN16" s="2"/>
      <x:c r="BO16" s="2"/>
      <x:c r="BP16" s="2"/>
      <x:c r="BQ16" s="2"/>
      <x:c r="BR16" s="2"/>
      <x:c r="BS16" s="2"/>
      <x:c r="BT16" s="2"/>
      <x:c r="BU16" s="2"/>
      <x:c r="BV16" s="2"/>
      <x:c r="BW16" s="2"/>
      <x:c r="BX16" s="2"/>
      <x:c r="BY16" s="2"/>
      <x:c r="BZ16" s="2"/>
      <x:c r="CA16" s="2"/>
      <x:c r="CB16" s="2"/>
      <x:c r="CC16" s="2"/>
      <x:c r="CD16" s="2"/>
      <x:c r="CE16" s="2"/>
      <x:c r="CF16" s="2"/>
      <x:c r="CG16" s="2"/>
      <x:c r="CH16" s="2"/>
      <x:c r="CI16" s="2"/>
      <x:c r="CJ16" s="2"/>
      <x:c r="CK16" s="2"/>
      <x:c r="CL16" s="2"/>
      <x:c r="CM16" s="2"/>
      <x:c r="CN16" s="2"/>
      <x:c r="CO16" s="2"/>
      <x:c r="CP16" s="2"/>
      <x:c r="CQ16" s="2"/>
      <x:c r="CR16" s="2"/>
      <x:c r="CS16" s="2"/>
      <x:c r="CT16" s="2"/>
      <x:c r="CU16" s="2"/>
      <x:c r="CV16" s="2"/>
      <x:c r="CW16" s="2"/>
      <x:c r="CX16" s="2"/>
      <x:c r="CY16" s="2"/>
      <x:c r="CZ16" s="2"/>
      <x:c r="DA16" s="2"/>
      <x:c r="DB16" s="2"/>
      <x:c r="DC16" s="2"/>
      <x:c r="DD16" s="2"/>
      <x:c r="DE16" s="2"/>
      <x:c r="DF16" s="2"/>
      <x:c r="DG16" s="2"/>
      <x:c r="DH16" s="2"/>
      <x:c r="DI16" s="2"/>
      <x:c r="DJ16" s="2"/>
      <x:c r="DK16" s="2"/>
      <x:c r="DL16" s="2"/>
      <x:c r="DM16" s="2"/>
      <x:c r="DN16" s="2"/>
      <x:c r="DO16" s="2"/>
      <x:c r="DP16" s="2"/>
      <x:c r="DQ16" s="2"/>
      <x:c r="DR16" s="2"/>
      <x:c r="DS16" s="2"/>
      <x:c r="DT16" s="2"/>
      <x:c r="DU16" s="2"/>
      <x:c r="DV16" s="2"/>
      <x:c r="DW16" s="2"/>
      <x:c r="DX16" s="2"/>
      <x:c r="DY16" s="2"/>
      <x:c r="DZ16" s="2"/>
      <x:c r="EA16" s="2"/>
      <x:c r="EB16" s="2"/>
      <x:c r="EC16" s="2"/>
      <x:c r="ED16" s="2"/>
      <x:c r="EE16" s="2"/>
      <x:c r="EF16" s="2"/>
      <x:c r="EG16" s="2"/>
      <x:c r="EH16" s="2"/>
      <x:c r="EI16" s="2"/>
      <x:c r="EJ16" s="2"/>
      <x:c r="EK16" s="2"/>
      <x:c r="EL16" s="2"/>
      <x:c r="EM16" s="2"/>
      <x:c r="EN16" s="2"/>
      <x:c r="EO16" s="2"/>
      <x:c r="EP16" s="2"/>
      <x:c r="EQ16" s="2"/>
      <x:c r="ER16" s="2"/>
      <x:c r="ES16" s="2"/>
      <x:c r="ET16" s="2"/>
      <x:c r="EU16" s="2"/>
      <x:c r="EV16" s="2"/>
      <x:c r="EW16" s="2"/>
      <x:c r="EX16" s="2"/>
      <x:c r="EY16" s="2"/>
      <x:c r="EZ16" s="2"/>
      <x:c r="FA16" s="2"/>
    </x:row>
    <x:row r="17" ht="135">
      <x:c r="A17" s="2" t="s">
        <x:v>71</x:v>
      </x:c>
      <x:c r="B17" s="2" t="s">
        <x:v>378</x:v>
      </x:c>
      <x:c r="C17" s="2" t="s">
        <x:v>3430</x:v>
      </x:c>
      <x:c r="D17" s="2" t="s">
        <x:v>379</x:v>
      </x:c>
      <x:c r="E17" s="2" t="s">
        <x:v>373</x:v>
      </x:c>
      <x:c r="F17" s="2" t="s">
        <x:v>169</x:v>
      </x:c>
      <x:c r="G17" s="2" t="s">
        <x:v>187</x:v>
      </x:c>
      <x:c r="H17" s="2" t="s">
        <x:v>1817</x:v>
      </x:c>
      <x:c r="I17" s="2" t="s">
        <x:v>1817</x:v>
      </x:c>
      <x:c r="J17" s="2" t="s">
        <x:v>373</x:v>
      </x:c>
      <x:c r="K17" s="2" t="s">
        <x:v>373</x:v>
      </x:c>
      <x:c r="L17" s="2" t="s">
        <x:v>171</x:v>
      </x:c>
      <x:c r="M17" s="2" t="s">
        <x:v>172</x:v>
      </x:c>
      <x:c r="N17" s="2" t="s">
        <x:v>172</x:v>
      </x:c>
      <x:c r="O17" s="2" t="s">
        <x:v>172</x:v>
      </x:c>
      <x:c r="P17" s="2" t="s">
        <x:v>172</x:v>
      </x:c>
      <x:c r="Q17" s="2" t="s">
        <x:v>171</x:v>
      </x:c>
      <x:c r="R17" s="2" t="s">
        <x:v>172</x:v>
      </x:c>
      <x:c r="S17" s="2" t="s">
        <x:v>3426</x:v>
      </x:c>
      <x:c r="T17" s="2" t="s">
        <x:v>3446</x:v>
      </x:c>
      <x:c r="U17" s="2" t="s">
        <x:v>1830</x:v>
      </x:c>
      <x:c r="V17" s="2" t="s">
        <x:v>172</x:v>
      </x:c>
      <x:c r="W17" s="2" t="s">
        <x:v>2042</x:v>
      </x:c>
      <x:c r="X17" s="2" t="s">
        <x:v>2041</x:v>
      </x:c>
      <x:c r="Y17" s="2">
        <x:v>14</x:v>
      </x:c>
      <x:c r="Z17" s="2" t="s">
        <x:v>3479</x:v>
      </x:c>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2"/>
      <x:c r="CO17" s="2"/>
      <x:c r="CP17" s="2"/>
      <x:c r="CQ17" s="2"/>
      <x:c r="CR17" s="2"/>
      <x:c r="CS17" s="2"/>
      <x:c r="CT17" s="2"/>
      <x:c r="CU17" s="2"/>
      <x:c r="CV17" s="2"/>
      <x:c r="CW17" s="2"/>
      <x:c r="CX17" s="2"/>
      <x:c r="CY17" s="2"/>
      <x:c r="CZ17" s="2"/>
      <x:c r="DA17" s="2"/>
      <x:c r="DB17" s="2"/>
      <x:c r="DC17" s="2"/>
      <x:c r="DD17" s="2"/>
      <x:c r="DE17" s="2"/>
      <x:c r="DF17" s="2"/>
      <x:c r="DG17" s="2"/>
      <x:c r="DH17" s="2"/>
      <x:c r="DI17" s="2"/>
      <x:c r="DJ17" s="2"/>
      <x:c r="DK17" s="2"/>
      <x:c r="DL17" s="2"/>
      <x:c r="DM17" s="2"/>
      <x:c r="DN17" s="2"/>
      <x:c r="DO17" s="2"/>
      <x:c r="DP17" s="2"/>
      <x:c r="DQ17" s="2"/>
      <x:c r="DR17" s="2"/>
      <x:c r="DS17" s="2"/>
      <x:c r="DT17" s="2"/>
      <x:c r="DU17" s="2"/>
      <x:c r="DV17" s="2"/>
      <x:c r="DW17" s="2"/>
      <x:c r="DX17" s="2"/>
      <x:c r="DY17" s="2"/>
      <x:c r="DZ17" s="2"/>
      <x:c r="EA17" s="2"/>
      <x:c r="EB17" s="2"/>
      <x:c r="EC17" s="2"/>
      <x:c r="ED17" s="2"/>
      <x:c r="EE17" s="2"/>
      <x:c r="EF17" s="2"/>
      <x:c r="EG17" s="2"/>
      <x:c r="EH17" s="2"/>
      <x:c r="EI17" s="2"/>
      <x:c r="EJ17" s="2"/>
      <x:c r="EK17" s="2"/>
      <x:c r="EL17" s="2"/>
      <x:c r="EM17" s="2"/>
      <x:c r="EN17" s="2"/>
      <x:c r="EO17" s="2"/>
      <x:c r="EP17" s="2"/>
      <x:c r="EQ17" s="2"/>
      <x:c r="ER17" s="2"/>
      <x:c r="ES17" s="2"/>
      <x:c r="ET17" s="2"/>
      <x:c r="EU17" s="2"/>
      <x:c r="EV17" s="2"/>
      <x:c r="EW17" s="2"/>
      <x:c r="EX17" s="2"/>
      <x:c r="EY17" s="2"/>
      <x:c r="EZ17" s="2"/>
      <x:c r="FA17" s="2"/>
    </x:row>
    <x:row r="18" ht="135">
      <x:c r="A18" s="2" t="s">
        <x:v>71</x:v>
      </x:c>
      <x:c r="B18" s="2" t="s">
        <x:v>387</x:v>
      </x:c>
      <x:c r="C18" s="2" t="s">
        <x:v>3430</x:v>
      </x:c>
      <x:c r="D18" s="2" t="s">
        <x:v>388</x:v>
      </x:c>
      <x:c r="E18" s="2" t="s">
        <x:v>383</x:v>
      </x:c>
      <x:c r="F18" s="2" t="s">
        <x:v>169</x:v>
      </x:c>
      <x:c r="G18" s="2" t="s">
        <x:v>187</x:v>
      </x:c>
      <x:c r="H18" s="2" t="s">
        <x:v>1817</x:v>
      </x:c>
      <x:c r="I18" s="2" t="s">
        <x:v>1817</x:v>
      </x:c>
      <x:c r="J18" s="2" t="s">
        <x:v>383</x:v>
      </x:c>
      <x:c r="K18" s="2" t="s">
        <x:v>383</x:v>
      </x:c>
      <x:c r="L18" s="2" t="s">
        <x:v>171</x:v>
      </x:c>
      <x:c r="M18" s="2" t="s">
        <x:v>172</x:v>
      </x:c>
      <x:c r="N18" s="2" t="s">
        <x:v>172</x:v>
      </x:c>
      <x:c r="O18" s="2" t="s">
        <x:v>172</x:v>
      </x:c>
      <x:c r="P18" s="2" t="s">
        <x:v>172</x:v>
      </x:c>
      <x:c r="Q18" s="2" t="s">
        <x:v>171</x:v>
      </x:c>
      <x:c r="R18" s="2" t="s">
        <x:v>172</x:v>
      </x:c>
      <x:c r="S18" s="2" t="s">
        <x:v>3426</x:v>
      </x:c>
      <x:c r="T18" s="2" t="s">
        <x:v>3448</x:v>
      </x:c>
      <x:c r="U18" s="2" t="s">
        <x:v>1830</x:v>
      </x:c>
      <x:c r="V18" s="2" t="s">
        <x:v>171</x:v>
      </x:c>
      <x:c r="W18" s="2" t="s">
        <x:v>2054</x:v>
      </x:c>
      <x:c r="X18" s="2" t="s">
        <x:v>2053</x:v>
      </x:c>
      <x:c r="Y18" s="2">
        <x:v>15</x:v>
      </x:c>
      <x:c r="Z18" s="2" t="s">
        <x:v>3480</x:v>
      </x:c>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2"/>
      <x:c r="CO18" s="2"/>
      <x:c r="CP18" s="2"/>
      <x:c r="CQ18" s="2"/>
      <x:c r="CR18" s="2"/>
      <x:c r="CS18" s="2"/>
      <x:c r="CT18" s="2"/>
      <x:c r="CU18" s="2"/>
      <x:c r="CV18" s="2"/>
      <x:c r="CW18" s="2"/>
      <x:c r="CX18" s="2"/>
      <x:c r="CY18" s="2"/>
      <x:c r="CZ18" s="2"/>
      <x:c r="DA18" s="2"/>
      <x:c r="DB18" s="2"/>
      <x:c r="DC18" s="2"/>
      <x:c r="DD18" s="2"/>
      <x:c r="DE18" s="2"/>
      <x:c r="DF18" s="2"/>
      <x:c r="DG18" s="2"/>
      <x:c r="DH18" s="2"/>
      <x:c r="DI18" s="2"/>
      <x:c r="DJ18" s="2"/>
      <x:c r="DK18" s="2"/>
      <x:c r="DL18" s="2"/>
      <x:c r="DM18" s="2"/>
      <x:c r="DN18" s="2"/>
      <x:c r="DO18" s="2"/>
      <x:c r="DP18" s="2"/>
      <x:c r="DQ18" s="2"/>
      <x:c r="DR18" s="2"/>
      <x:c r="DS18" s="2"/>
      <x:c r="DT18" s="2"/>
      <x:c r="DU18" s="2"/>
      <x:c r="DV18" s="2"/>
      <x:c r="DW18" s="2"/>
      <x:c r="DX18" s="2"/>
      <x:c r="DY18" s="2"/>
      <x:c r="DZ18" s="2"/>
      <x:c r="EA18" s="2"/>
      <x:c r="EB18" s="2"/>
      <x:c r="EC18" s="2"/>
      <x:c r="ED18" s="2"/>
      <x:c r="EE18" s="2"/>
      <x:c r="EF18" s="2"/>
      <x:c r="EG18" s="2"/>
      <x:c r="EH18" s="2"/>
      <x:c r="EI18" s="2"/>
      <x:c r="EJ18" s="2"/>
      <x:c r="EK18" s="2"/>
      <x:c r="EL18" s="2"/>
      <x:c r="EM18" s="2"/>
      <x:c r="EN18" s="2"/>
      <x:c r="EO18" s="2"/>
      <x:c r="EP18" s="2"/>
      <x:c r="EQ18" s="2"/>
      <x:c r="ER18" s="2"/>
      <x:c r="ES18" s="2"/>
      <x:c r="ET18" s="2"/>
      <x:c r="EU18" s="2"/>
      <x:c r="EV18" s="2"/>
      <x:c r="EW18" s="2"/>
      <x:c r="EX18" s="2"/>
      <x:c r="EY18" s="2"/>
      <x:c r="EZ18" s="2"/>
      <x:c r="FA18" s="2"/>
    </x:row>
    <x:row r="19" ht="135">
      <x:c r="A19" s="2" t="s">
        <x:v>71</x:v>
      </x:c>
      <x:c r="B19" s="2" t="s">
        <x:v>390</x:v>
      </x:c>
      <x:c r="C19" s="2" t="s">
        <x:v>3430</x:v>
      </x:c>
      <x:c r="D19" s="2" t="s">
        <x:v>391</x:v>
      </x:c>
      <x:c r="E19" s="2" t="s">
        <x:v>383</x:v>
      </x:c>
      <x:c r="F19" s="2" t="s">
        <x:v>169</x:v>
      </x:c>
      <x:c r="G19" s="2" t="s">
        <x:v>236</x:v>
      </x:c>
      <x:c r="H19" s="2" t="s">
        <x:v>1817</x:v>
      </x:c>
      <x:c r="I19" s="2" t="s">
        <x:v>1817</x:v>
      </x:c>
      <x:c r="J19" s="2" t="s">
        <x:v>383</x:v>
      </x:c>
      <x:c r="K19" s="2" t="s">
        <x:v>383</x:v>
      </x:c>
      <x:c r="L19" s="2" t="s">
        <x:v>172</x:v>
      </x:c>
      <x:c r="M19" s="2" t="s">
        <x:v>171</x:v>
      </x:c>
      <x:c r="N19" s="2" t="s">
        <x:v>172</x:v>
      </x:c>
      <x:c r="O19" s="2" t="s">
        <x:v>172</x:v>
      </x:c>
      <x:c r="P19" s="2" t="s">
        <x:v>172</x:v>
      </x:c>
      <x:c r="Q19" s="2" t="s">
        <x:v>171</x:v>
      </x:c>
      <x:c r="R19" s="2" t="s">
        <x:v>172</x:v>
      </x:c>
      <x:c r="S19" s="2" t="s">
        <x:v>3426</x:v>
      </x:c>
      <x:c r="T19" s="2" t="s">
        <x:v>3449</x:v>
      </x:c>
      <x:c r="U19" s="2" t="s">
        <x:v>1830</x:v>
      </x:c>
      <x:c r="V19" s="2" t="s">
        <x:v>172</x:v>
      </x:c>
      <x:c r="W19" s="2" t="s">
        <x:v>2057</x:v>
      </x:c>
      <x:c r="X19" s="2" t="s">
        <x:v>2056</x:v>
      </x:c>
      <x:c r="Y19" s="2">
        <x:v>16</x:v>
      </x:c>
      <x:c r="Z19" s="2" t="s">
        <x:v>3481</x:v>
      </x:c>
      <x:c r="AA19" s="2"/>
      <x:c r="AB19" s="2"/>
      <x:c r="AC19" s="2"/>
      <x:c r="AD19" s="2"/>
      <x:c r="AE19" s="2"/>
      <x:c r="AF19" s="2"/>
      <x:c r="AG19" s="2"/>
      <x:c r="AH19" s="2"/>
      <x:c r="AI19" s="2"/>
      <x:c r="AJ19" s="2"/>
      <x:c r="AK19" s="2"/>
      <x:c r="AL19" s="2"/>
      <x:c r="AM19" s="2"/>
      <x:c r="AN19" s="2"/>
      <x:c r="AO19" s="2"/>
      <x:c r="AP19" s="2"/>
      <x:c r="AQ19" s="2"/>
      <x:c r="AR19" s="2"/>
      <x:c r="AS19" s="2"/>
      <x:c r="AT19" s="2"/>
      <x:c r="AU19" s="2"/>
      <x:c r="AV19" s="2"/>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2"/>
      <x:c r="CO19" s="2"/>
      <x:c r="CP19" s="2"/>
      <x:c r="CQ19" s="2"/>
      <x:c r="CR19" s="2"/>
      <x:c r="CS19" s="2"/>
      <x:c r="CT19" s="2"/>
      <x:c r="CU19" s="2"/>
      <x:c r="CV19" s="2"/>
      <x:c r="CW19" s="2"/>
      <x:c r="CX19" s="2"/>
      <x:c r="CY19" s="2"/>
      <x:c r="CZ19" s="2"/>
      <x:c r="DA19" s="2"/>
      <x:c r="DB19" s="2"/>
      <x:c r="DC19" s="2"/>
      <x:c r="DD19" s="2"/>
      <x:c r="DE19" s="2"/>
      <x:c r="DF19" s="2"/>
      <x:c r="DG19" s="2"/>
      <x:c r="DH19" s="2"/>
      <x:c r="DI19" s="2"/>
      <x:c r="DJ19" s="2"/>
      <x:c r="DK19" s="2"/>
      <x:c r="DL19" s="2"/>
      <x:c r="DM19" s="2"/>
      <x:c r="DN19" s="2"/>
      <x:c r="DO19" s="2"/>
      <x:c r="DP19" s="2"/>
      <x:c r="DQ19" s="2"/>
      <x:c r="DR19" s="2"/>
      <x:c r="DS19" s="2"/>
      <x:c r="DT19" s="2"/>
      <x:c r="DU19" s="2"/>
      <x:c r="DV19" s="2"/>
      <x:c r="DW19" s="2"/>
      <x:c r="DX19" s="2"/>
      <x:c r="DY19" s="2"/>
      <x:c r="DZ19" s="2"/>
      <x:c r="EA19" s="2"/>
      <x:c r="EB19" s="2"/>
      <x:c r="EC19" s="2"/>
      <x:c r="ED19" s="2"/>
      <x:c r="EE19" s="2"/>
      <x:c r="EF19" s="2"/>
      <x:c r="EG19" s="2"/>
      <x:c r="EH19" s="2"/>
      <x:c r="EI19" s="2"/>
      <x:c r="EJ19" s="2"/>
      <x:c r="EK19" s="2"/>
      <x:c r="EL19" s="2"/>
      <x:c r="EM19" s="2"/>
      <x:c r="EN19" s="2"/>
      <x:c r="EO19" s="2"/>
      <x:c r="EP19" s="2"/>
      <x:c r="EQ19" s="2"/>
      <x:c r="ER19" s="2"/>
      <x:c r="ES19" s="2"/>
      <x:c r="ET19" s="2"/>
      <x:c r="EU19" s="2"/>
      <x:c r="EV19" s="2"/>
      <x:c r="EW19" s="2"/>
      <x:c r="EX19" s="2"/>
      <x:c r="EY19" s="2"/>
      <x:c r="EZ19" s="2"/>
      <x:c r="FA19" s="2"/>
    </x:row>
    <x:row r="20" ht="135">
      <x:c r="A20" s="2" t="s">
        <x:v>72</x:v>
      </x:c>
      <x:c r="B20" s="2" t="s">
        <x:v>2374</x:v>
      </x:c>
      <x:c r="C20" s="2" t="s">
        <x:v>3425</x:v>
      </x:c>
      <x:c r="D20" s="2" t="s">
        <x:v>446</x:v>
      </x:c>
      <x:c r="E20" s="2" t="s">
        <x:v>229</x:v>
      </x:c>
      <x:c r="F20" s="2" t="s">
        <x:v>229</x:v>
      </x:c>
      <x:c r="G20" s="2" t="s">
        <x:v>168</x:v>
      </x:c>
      <x:c r="H20" s="2" t="s">
        <x:v>1817</x:v>
      </x:c>
      <x:c r="I20" s="2" t="s">
        <x:v>1817</x:v>
      </x:c>
      <x:c r="J20" s="2" t="s">
        <x:v>229</x:v>
      </x:c>
      <x:c r="K20" s="2" t="s">
        <x:v>169</x:v>
      </x:c>
      <x:c r="L20" s="2" t="s">
        <x:v>172</x:v>
      </x:c>
      <x:c r="M20" s="2" t="s">
        <x:v>172</x:v>
      </x:c>
      <x:c r="N20" s="2" t="s">
        <x:v>172</x:v>
      </x:c>
      <x:c r="O20" s="2" t="s">
        <x:v>172</x:v>
      </x:c>
      <x:c r="P20" s="2" t="s">
        <x:v>171</x:v>
      </x:c>
      <x:c r="Q20" s="2" t="s">
        <x:v>171</x:v>
      </x:c>
      <x:c r="R20" s="2" t="s">
        <x:v>172</x:v>
      </x:c>
      <x:c r="S20" s="2" t="s">
        <x:v>3426</x:v>
      </x:c>
      <x:c r="T20" s="2" t="s">
        <x:v>3451</x:v>
      </x:c>
      <x:c r="U20" s="2" t="s">
        <x:v>1820</x:v>
      </x:c>
      <x:c r="V20" s="2" t="s">
        <x:v>171</x:v>
      </x:c>
      <x:c r="W20" s="2" t="s">
        <x:v>1708</x:v>
      </x:c>
      <x:c r="X20" s="2" t="s">
        <x:v>1822</x:v>
      </x:c>
      <x:c r="Y20" s="2">
        <x:v>1</x:v>
      </x:c>
      <x:c r="Z20" s="2" t="s">
        <x:v>3254</x:v>
      </x:c>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2"/>
      <x:c r="CO20" s="2"/>
      <x:c r="CP20" s="2"/>
      <x:c r="CQ20" s="2"/>
      <x:c r="CR20" s="2"/>
      <x:c r="CS20" s="2"/>
      <x:c r="CT20" s="2"/>
      <x:c r="CU20" s="2"/>
      <x:c r="CV20" s="2"/>
      <x:c r="CW20" s="2"/>
      <x:c r="CX20" s="2"/>
      <x:c r="CY20" s="2"/>
      <x:c r="CZ20" s="2"/>
      <x:c r="DA20" s="2"/>
      <x:c r="DB20" s="2"/>
      <x:c r="DC20" s="2"/>
      <x:c r="DD20" s="2"/>
      <x:c r="DE20" s="2"/>
      <x:c r="DF20" s="2"/>
      <x:c r="DG20" s="2"/>
      <x:c r="DH20" s="2"/>
      <x:c r="DI20" s="2"/>
      <x:c r="DJ20" s="2"/>
      <x:c r="DK20" s="2"/>
      <x:c r="DL20" s="2"/>
      <x:c r="DM20" s="2"/>
      <x:c r="DN20" s="2"/>
      <x:c r="DO20" s="2"/>
      <x:c r="DP20" s="2"/>
      <x:c r="DQ20" s="2"/>
      <x:c r="DR20" s="2"/>
      <x:c r="DS20" s="2"/>
      <x:c r="DT20" s="2"/>
      <x:c r="DU20" s="2"/>
      <x:c r="DV20" s="2"/>
      <x:c r="DW20" s="2"/>
      <x:c r="DX20" s="2"/>
      <x:c r="DY20" s="2"/>
      <x:c r="DZ20" s="2"/>
      <x:c r="EA20" s="2"/>
      <x:c r="EB20" s="2"/>
      <x:c r="EC20" s="2"/>
      <x:c r="ED20" s="2"/>
      <x:c r="EE20" s="2"/>
      <x:c r="EF20" s="2"/>
      <x:c r="EG20" s="2"/>
      <x:c r="EH20" s="2"/>
      <x:c r="EI20" s="2"/>
      <x:c r="EJ20" s="2"/>
      <x:c r="EK20" s="2"/>
      <x:c r="EL20" s="2"/>
      <x:c r="EM20" s="2"/>
      <x:c r="EN20" s="2"/>
      <x:c r="EO20" s="2"/>
      <x:c r="EP20" s="2"/>
      <x:c r="EQ20" s="2"/>
      <x:c r="ER20" s="2"/>
      <x:c r="ES20" s="2"/>
      <x:c r="ET20" s="2"/>
      <x:c r="EU20" s="2"/>
      <x:c r="EV20" s="2"/>
      <x:c r="EW20" s="2"/>
      <x:c r="EX20" s="2"/>
      <x:c r="EY20" s="2"/>
      <x:c r="EZ20" s="2"/>
      <x:c r="FA20" s="2"/>
    </x:row>
    <x:row r="21" ht="135">
      <x:c r="A21" s="2" t="s">
        <x:v>73</x:v>
      </x:c>
      <x:c r="B21" s="2" t="s">
        <x:v>2083</x:v>
      </x:c>
      <x:c r="C21" s="2" t="s">
        <x:v>3430</x:v>
      </x:c>
      <x:c r="D21" s="2" t="s">
        <x:v>466</x:v>
      </x:c>
      <x:c r="E21" s="2" t="s">
        <x:v>459</x:v>
      </x:c>
      <x:c r="F21" s="2" t="s">
        <x:v>459</x:v>
      </x:c>
      <x:c r="G21" s="2" t="s">
        <x:v>168</x:v>
      </x:c>
      <x:c r="H21" s="2" t="s">
        <x:v>1817</x:v>
      </x:c>
      <x:c r="I21" s="2" t="s">
        <x:v>1817</x:v>
      </x:c>
      <x:c r="J21" s="2" t="s">
        <x:v>463</x:v>
      </x:c>
      <x:c r="K21" s="2" t="s">
        <x:v>467</x:v>
      </x:c>
      <x:c r="L21" s="2" t="s">
        <x:v>172</x:v>
      </x:c>
      <x:c r="M21" s="2" t="s">
        <x:v>172</x:v>
      </x:c>
      <x:c r="N21" s="2" t="s">
        <x:v>172</x:v>
      </x:c>
      <x:c r="O21" s="2" t="s">
        <x:v>171</x:v>
      </x:c>
      <x:c r="P21" s="2" t="s">
        <x:v>172</x:v>
      </x:c>
      <x:c r="Q21" s="2" t="s">
        <x:v>171</x:v>
      </x:c>
      <x:c r="R21" s="2" t="s">
        <x:v>172</x:v>
      </x:c>
      <x:c r="S21" s="2" t="s">
        <x:v>3426</x:v>
      </x:c>
      <x:c r="T21" s="2" t="s">
        <x:v>3453</x:v>
      </x:c>
      <x:c r="U21" s="2" t="s">
        <x:v>1820</x:v>
      </x:c>
      <x:c r="V21" s="2" t="s">
        <x:v>171</x:v>
      </x:c>
      <x:c r="W21" s="2" t="s">
        <x:v>2085</x:v>
      </x:c>
      <x:c r="X21" s="2" t="s">
        <x:v>1822</x:v>
      </x:c>
      <x:c r="Y21" s="2">
        <x:v>1</x:v>
      </x:c>
      <x:c r="Z21" s="2" t="s">
        <x:v>3258</x:v>
      </x:c>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2"/>
      <x:c r="CO21" s="2"/>
      <x:c r="CP21" s="2"/>
      <x:c r="CQ21" s="2"/>
      <x:c r="CR21" s="2"/>
      <x:c r="CS21" s="2"/>
      <x:c r="CT21" s="2"/>
      <x:c r="CU21" s="2"/>
      <x:c r="CV21" s="2"/>
      <x:c r="CW21" s="2"/>
      <x:c r="CX21" s="2"/>
      <x:c r="CY21" s="2"/>
      <x:c r="CZ21" s="2"/>
      <x:c r="DA21" s="2"/>
      <x:c r="DB21" s="2"/>
      <x:c r="DC21" s="2"/>
      <x:c r="DD21" s="2"/>
      <x:c r="DE21" s="2"/>
      <x:c r="DF21" s="2"/>
      <x:c r="DG21" s="2"/>
      <x:c r="DH21" s="2"/>
      <x:c r="DI21" s="2"/>
      <x:c r="DJ21" s="2"/>
      <x:c r="DK21" s="2"/>
      <x:c r="DL21" s="2"/>
      <x:c r="DM21" s="2"/>
      <x:c r="DN21" s="2"/>
      <x:c r="DO21" s="2"/>
      <x:c r="DP21" s="2"/>
      <x:c r="DQ21" s="2"/>
      <x:c r="DR21" s="2"/>
      <x:c r="DS21" s="2"/>
      <x:c r="DT21" s="2"/>
      <x:c r="DU21" s="2"/>
      <x:c r="DV21" s="2"/>
      <x:c r="DW21" s="2"/>
      <x:c r="DX21" s="2"/>
      <x:c r="DY21" s="2"/>
      <x:c r="DZ21" s="2"/>
      <x:c r="EA21" s="2"/>
      <x:c r="EB21" s="2"/>
      <x:c r="EC21" s="2"/>
      <x:c r="ED21" s="2"/>
      <x:c r="EE21" s="2"/>
      <x:c r="EF21" s="2"/>
      <x:c r="EG21" s="2"/>
      <x:c r="EH21" s="2"/>
      <x:c r="EI21" s="2"/>
      <x:c r="EJ21" s="2"/>
      <x:c r="EK21" s="2"/>
      <x:c r="EL21" s="2"/>
      <x:c r="EM21" s="2"/>
      <x:c r="EN21" s="2"/>
      <x:c r="EO21" s="2"/>
      <x:c r="EP21" s="2"/>
      <x:c r="EQ21" s="2"/>
      <x:c r="ER21" s="2"/>
      <x:c r="ES21" s="2"/>
      <x:c r="ET21" s="2"/>
      <x:c r="EU21" s="2"/>
      <x:c r="EV21" s="2"/>
      <x:c r="EW21" s="2"/>
      <x:c r="EX21" s="2"/>
      <x:c r="EY21" s="2"/>
      <x:c r="EZ21" s="2"/>
      <x:c r="FA21" s="2"/>
    </x:row>
    <x:row r="22" ht="135">
      <x:c r="A22" s="2" t="s">
        <x:v>74</x:v>
      </x:c>
      <x:c r="B22" s="2" t="s">
        <x:v>535</x:v>
      </x:c>
      <x:c r="C22" s="2" t="s">
        <x:v>3425</x:v>
      </x:c>
      <x:c r="D22" s="2" t="s">
        <x:v>536</x:v>
      </x:c>
      <x:c r="E22" s="2" t="s">
        <x:v>530</x:v>
      </x:c>
      <x:c r="F22" s="2" t="s">
        <x:v>169</x:v>
      </x:c>
      <x:c r="G22" s="2" t="s">
        <x:v>187</x:v>
      </x:c>
      <x:c r="H22" s="2" t="s">
        <x:v>1817</x:v>
      </x:c>
      <x:c r="I22" s="2" t="s">
        <x:v>1817</x:v>
      </x:c>
      <x:c r="J22" s="2" t="s">
        <x:v>530</x:v>
      </x:c>
      <x:c r="K22" s="2" t="s">
        <x:v>530</x:v>
      </x:c>
      <x:c r="L22" s="2" t="s">
        <x:v>171</x:v>
      </x:c>
      <x:c r="M22" s="2" t="s">
        <x:v>172</x:v>
      </x:c>
      <x:c r="N22" s="2" t="s">
        <x:v>172</x:v>
      </x:c>
      <x:c r="O22" s="2" t="s">
        <x:v>172</x:v>
      </x:c>
      <x:c r="P22" s="2" t="s">
        <x:v>172</x:v>
      </x:c>
      <x:c r="Q22" s="2" t="s">
        <x:v>171</x:v>
      </x:c>
      <x:c r="R22" s="2" t="s">
        <x:v>172</x:v>
      </x:c>
      <x:c r="S22" s="2" t="s">
        <x:v>3426</x:v>
      </x:c>
      <x:c r="T22" s="2" t="s">
        <x:v>3455</x:v>
      </x:c>
      <x:c r="U22" s="2" t="s">
        <x:v>1830</x:v>
      </x:c>
      <x:c r="V22" s="2" t="s">
        <x:v>171</x:v>
      </x:c>
      <x:c r="W22" s="2" t="s">
        <x:v>2321</x:v>
      </x:c>
      <x:c r="X22" s="2" t="s">
        <x:v>2320</x:v>
      </x:c>
      <x:c r="Y22" s="2">
        <x:v>1</x:v>
      </x:c>
      <x:c r="Z22" s="2" t="s">
        <x:v>3270</x:v>
      </x:c>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c r="AY22" s="2"/>
      <x:c r="AZ22" s="2"/>
      <x:c r="BA22" s="2"/>
      <x:c r="BB22" s="2"/>
      <x:c r="BC22" s="2"/>
      <x:c r="BD22" s="2"/>
      <x:c r="BE22" s="2"/>
      <x:c r="BF22" s="2"/>
      <x:c r="BG22" s="2"/>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2"/>
      <x:c r="CO22" s="2"/>
      <x:c r="CP22" s="2"/>
      <x:c r="CQ22" s="2"/>
      <x:c r="CR22" s="2"/>
      <x:c r="CS22" s="2"/>
      <x:c r="CT22" s="2"/>
      <x:c r="CU22" s="2"/>
      <x:c r="CV22" s="2"/>
      <x:c r="CW22" s="2"/>
      <x:c r="CX22" s="2"/>
      <x:c r="CY22" s="2"/>
      <x:c r="CZ22" s="2"/>
      <x:c r="DA22" s="2"/>
      <x:c r="DB22" s="2"/>
      <x:c r="DC22" s="2"/>
      <x:c r="DD22" s="2"/>
      <x:c r="DE22" s="2"/>
      <x:c r="DF22" s="2"/>
      <x:c r="DG22" s="2"/>
      <x:c r="DH22" s="2"/>
      <x:c r="DI22" s="2"/>
      <x:c r="DJ22" s="2"/>
      <x:c r="DK22" s="2"/>
      <x:c r="DL22" s="2"/>
      <x:c r="DM22" s="2"/>
      <x:c r="DN22" s="2"/>
      <x:c r="DO22" s="2"/>
      <x:c r="DP22" s="2"/>
      <x:c r="DQ22" s="2"/>
      <x:c r="DR22" s="2"/>
      <x:c r="DS22" s="2"/>
      <x:c r="DT22" s="2"/>
      <x:c r="DU22" s="2"/>
      <x:c r="DV22" s="2"/>
      <x:c r="DW22" s="2"/>
      <x:c r="DX22" s="2"/>
      <x:c r="DY22" s="2"/>
      <x:c r="DZ22" s="2"/>
      <x:c r="EA22" s="2"/>
      <x:c r="EB22" s="2"/>
      <x:c r="EC22" s="2"/>
      <x:c r="ED22" s="2"/>
      <x:c r="EE22" s="2"/>
      <x:c r="EF22" s="2"/>
      <x:c r="EG22" s="2"/>
      <x:c r="EH22" s="2"/>
      <x:c r="EI22" s="2"/>
      <x:c r="EJ22" s="2"/>
      <x:c r="EK22" s="2"/>
      <x:c r="EL22" s="2"/>
      <x:c r="EM22" s="2"/>
      <x:c r="EN22" s="2"/>
      <x:c r="EO22" s="2"/>
      <x:c r="EP22" s="2"/>
      <x:c r="EQ22" s="2"/>
      <x:c r="ER22" s="2"/>
      <x:c r="ES22" s="2"/>
      <x:c r="ET22" s="2"/>
      <x:c r="EU22" s="2"/>
      <x:c r="EV22" s="2"/>
      <x:c r="EW22" s="2"/>
      <x:c r="EX22" s="2"/>
      <x:c r="EY22" s="2"/>
      <x:c r="EZ22" s="2"/>
      <x:c r="FA22" s="2"/>
    </x:row>
    <x:row r="23" ht="135">
      <x:c r="A23" s="2" t="s">
        <x:v>74</x:v>
      </x:c>
      <x:c r="B23" s="2" t="s">
        <x:v>543</x:v>
      </x:c>
      <x:c r="C23" s="2" t="s">
        <x:v>3425</x:v>
      </x:c>
      <x:c r="D23" s="2" t="s">
        <x:v>544</x:v>
      </x:c>
      <x:c r="E23" s="2" t="s">
        <x:v>530</x:v>
      </x:c>
      <x:c r="F23" s="2" t="s">
        <x:v>169</x:v>
      </x:c>
      <x:c r="G23" s="2" t="s">
        <x:v>187</x:v>
      </x:c>
      <x:c r="H23" s="2" t="s">
        <x:v>1817</x:v>
      </x:c>
      <x:c r="I23" s="2" t="s">
        <x:v>1817</x:v>
      </x:c>
      <x:c r="J23" s="2" t="s">
        <x:v>530</x:v>
      </x:c>
      <x:c r="K23" s="2" t="s">
        <x:v>530</x:v>
      </x:c>
      <x:c r="L23" s="2" t="s">
        <x:v>171</x:v>
      </x:c>
      <x:c r="M23" s="2" t="s">
        <x:v>172</x:v>
      </x:c>
      <x:c r="N23" s="2" t="s">
        <x:v>172</x:v>
      </x:c>
      <x:c r="O23" s="2" t="s">
        <x:v>172</x:v>
      </x:c>
      <x:c r="P23" s="2" t="s">
        <x:v>172</x:v>
      </x:c>
      <x:c r="Q23" s="2" t="s">
        <x:v>171</x:v>
      </x:c>
      <x:c r="R23" s="2" t="s">
        <x:v>172</x:v>
      </x:c>
      <x:c r="S23" s="2" t="s">
        <x:v>3426</x:v>
      </x:c>
      <x:c r="T23" s="2" t="s">
        <x:v>3455</x:v>
      </x:c>
      <x:c r="U23" s="2" t="s">
        <x:v>1830</x:v>
      </x:c>
      <x:c r="V23" s="2" t="s">
        <x:v>171</x:v>
      </x:c>
      <x:c r="W23" s="2" t="s">
        <x:v>2331</x:v>
      </x:c>
      <x:c r="X23" s="2" t="s">
        <x:v>2330</x:v>
      </x:c>
      <x:c r="Y23" s="2">
        <x:v>2</x:v>
      </x:c>
      <x:c r="Z23" s="2" t="s">
        <x:v>3274</x:v>
      </x:c>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c r="AY23" s="2"/>
      <x:c r="AZ23" s="2"/>
      <x:c r="BA23" s="2"/>
      <x:c r="BB23" s="2"/>
      <x:c r="BC23" s="2"/>
      <x:c r="BD23" s="2"/>
      <x:c r="BE23" s="2"/>
      <x:c r="BF23" s="2"/>
      <x:c r="BG23" s="2"/>
      <x:c r="BH23" s="2"/>
      <x:c r="BI23" s="2"/>
      <x:c r="BJ23" s="2"/>
      <x:c r="BK23" s="2"/>
      <x:c r="BL23" s="2"/>
      <x:c r="BM23" s="2"/>
      <x:c r="BN23" s="2"/>
      <x:c r="BO23" s="2"/>
      <x:c r="BP23" s="2"/>
      <x:c r="BQ23" s="2"/>
      <x:c r="BR23" s="2"/>
      <x:c r="BS23" s="2"/>
      <x:c r="BT23" s="2"/>
      <x:c r="BU23" s="2"/>
      <x:c r="BV23" s="2"/>
      <x:c r="BW23" s="2"/>
      <x:c r="BX23" s="2"/>
      <x:c r="BY23" s="2"/>
      <x:c r="BZ23" s="2"/>
      <x:c r="CA23" s="2"/>
      <x:c r="CB23" s="2"/>
      <x:c r="CC23" s="2"/>
      <x:c r="CD23" s="2"/>
      <x:c r="CE23" s="2"/>
      <x:c r="CF23" s="2"/>
      <x:c r="CG23" s="2"/>
      <x:c r="CH23" s="2"/>
      <x:c r="CI23" s="2"/>
      <x:c r="CJ23" s="2"/>
      <x:c r="CK23" s="2"/>
      <x:c r="CL23" s="2"/>
      <x:c r="CM23" s="2"/>
      <x:c r="CN23" s="2"/>
      <x:c r="CO23" s="2"/>
      <x:c r="CP23" s="2"/>
      <x:c r="CQ23" s="2"/>
      <x:c r="CR23" s="2"/>
      <x:c r="CS23" s="2"/>
      <x:c r="CT23" s="2"/>
      <x:c r="CU23" s="2"/>
      <x:c r="CV23" s="2"/>
      <x:c r="CW23" s="2"/>
      <x:c r="CX23" s="2"/>
      <x:c r="CY23" s="2"/>
      <x:c r="CZ23" s="2"/>
      <x:c r="DA23" s="2"/>
      <x:c r="DB23" s="2"/>
      <x:c r="DC23" s="2"/>
      <x:c r="DD23" s="2"/>
      <x:c r="DE23" s="2"/>
      <x:c r="DF23" s="2"/>
      <x:c r="DG23" s="2"/>
      <x:c r="DH23" s="2"/>
      <x:c r="DI23" s="2"/>
      <x:c r="DJ23" s="2"/>
      <x:c r="DK23" s="2"/>
      <x:c r="DL23" s="2"/>
      <x:c r="DM23" s="2"/>
      <x:c r="DN23" s="2"/>
      <x:c r="DO23" s="2"/>
      <x:c r="DP23" s="2"/>
      <x:c r="DQ23" s="2"/>
      <x:c r="DR23" s="2"/>
      <x:c r="DS23" s="2"/>
      <x:c r="DT23" s="2"/>
      <x:c r="DU23" s="2"/>
      <x:c r="DV23" s="2"/>
      <x:c r="DW23" s="2"/>
      <x:c r="DX23" s="2"/>
      <x:c r="DY23" s="2"/>
      <x:c r="DZ23" s="2"/>
      <x:c r="EA23" s="2"/>
      <x:c r="EB23" s="2"/>
      <x:c r="EC23" s="2"/>
      <x:c r="ED23" s="2"/>
      <x:c r="EE23" s="2"/>
      <x:c r="EF23" s="2"/>
      <x:c r="EG23" s="2"/>
      <x:c r="EH23" s="2"/>
      <x:c r="EI23" s="2"/>
      <x:c r="EJ23" s="2"/>
      <x:c r="EK23" s="2"/>
      <x:c r="EL23" s="2"/>
      <x:c r="EM23" s="2"/>
      <x:c r="EN23" s="2"/>
      <x:c r="EO23" s="2"/>
      <x:c r="EP23" s="2"/>
      <x:c r="EQ23" s="2"/>
      <x:c r="ER23" s="2"/>
      <x:c r="ES23" s="2"/>
      <x:c r="ET23" s="2"/>
      <x:c r="EU23" s="2"/>
      <x:c r="EV23" s="2"/>
      <x:c r="EW23" s="2"/>
      <x:c r="EX23" s="2"/>
      <x:c r="EY23" s="2"/>
      <x:c r="EZ23" s="2"/>
      <x:c r="FA23" s="2"/>
    </x:row>
    <x:row r="24" ht="135">
      <x:c r="A24" s="2" t="s">
        <x:v>74</x:v>
      </x:c>
      <x:c r="B24" s="2" t="s">
        <x:v>546</x:v>
      </x:c>
      <x:c r="C24" s="2" t="s">
        <x:v>3425</x:v>
      </x:c>
      <x:c r="D24" s="2" t="s">
        <x:v>547</x:v>
      </x:c>
      <x:c r="E24" s="2" t="s">
        <x:v>530</x:v>
      </x:c>
      <x:c r="F24" s="2" t="s">
        <x:v>169</x:v>
      </x:c>
      <x:c r="G24" s="2" t="s">
        <x:v>187</x:v>
      </x:c>
      <x:c r="H24" s="2" t="s">
        <x:v>1817</x:v>
      </x:c>
      <x:c r="I24" s="2" t="s">
        <x:v>1817</x:v>
      </x:c>
      <x:c r="J24" s="2" t="s">
        <x:v>530</x:v>
      </x:c>
      <x:c r="K24" s="2" t="s">
        <x:v>530</x:v>
      </x:c>
      <x:c r="L24" s="2" t="s">
        <x:v>171</x:v>
      </x:c>
      <x:c r="M24" s="2" t="s">
        <x:v>172</x:v>
      </x:c>
      <x:c r="N24" s="2" t="s">
        <x:v>172</x:v>
      </x:c>
      <x:c r="O24" s="2" t="s">
        <x:v>172</x:v>
      </x:c>
      <x:c r="P24" s="2" t="s">
        <x:v>172</x:v>
      </x:c>
      <x:c r="Q24" s="2" t="s">
        <x:v>171</x:v>
      </x:c>
      <x:c r="R24" s="2" t="s">
        <x:v>172</x:v>
      </x:c>
      <x:c r="S24" s="2" t="s">
        <x:v>3426</x:v>
      </x:c>
      <x:c r="T24" s="2" t="s">
        <x:v>3455</x:v>
      </x:c>
      <x:c r="U24" s="2" t="s">
        <x:v>1830</x:v>
      </x:c>
      <x:c r="V24" s="2" t="s">
        <x:v>172</x:v>
      </x:c>
      <x:c r="W24" s="2" t="s">
        <x:v>2335</x:v>
      </x:c>
      <x:c r="X24" s="2" t="s">
        <x:v>2334</x:v>
      </x:c>
      <x:c r="Y24" s="2">
        <x:v>3</x:v>
      </x:c>
      <x:c r="Z24" s="2" t="s">
        <x:v>3277</x:v>
      </x:c>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x:c r="CB24" s="2"/>
      <x:c r="CC24" s="2"/>
      <x:c r="CD24" s="2"/>
      <x:c r="CE24" s="2"/>
      <x:c r="CF24" s="2"/>
      <x:c r="CG24" s="2"/>
      <x:c r="CH24" s="2"/>
      <x:c r="CI24" s="2"/>
      <x:c r="CJ24" s="2"/>
      <x:c r="CK24" s="2"/>
      <x:c r="CL24" s="2"/>
      <x:c r="CM24" s="2"/>
      <x:c r="CN24" s="2"/>
      <x:c r="CO24" s="2"/>
      <x:c r="CP24" s="2"/>
      <x:c r="CQ24" s="2"/>
      <x:c r="CR24" s="2"/>
      <x:c r="CS24" s="2"/>
      <x:c r="CT24" s="2"/>
      <x:c r="CU24" s="2"/>
      <x:c r="CV24" s="2"/>
      <x:c r="CW24" s="2"/>
      <x:c r="CX24" s="2"/>
      <x:c r="CY24" s="2"/>
      <x:c r="CZ24" s="2"/>
      <x:c r="DA24" s="2"/>
      <x:c r="DB24" s="2"/>
      <x:c r="DC24" s="2"/>
      <x:c r="DD24" s="2"/>
      <x:c r="DE24" s="2"/>
      <x:c r="DF24" s="2"/>
      <x:c r="DG24" s="2"/>
      <x:c r="DH24" s="2"/>
      <x:c r="DI24" s="2"/>
      <x:c r="DJ24" s="2"/>
      <x:c r="DK24" s="2"/>
      <x:c r="DL24" s="2"/>
      <x:c r="DM24" s="2"/>
      <x:c r="DN24" s="2"/>
      <x:c r="DO24" s="2"/>
      <x:c r="DP24" s="2"/>
      <x:c r="DQ24" s="2"/>
      <x:c r="DR24" s="2"/>
      <x:c r="DS24" s="2"/>
      <x:c r="DT24" s="2"/>
      <x:c r="DU24" s="2"/>
      <x:c r="DV24" s="2"/>
      <x:c r="DW24" s="2"/>
      <x:c r="DX24" s="2"/>
      <x:c r="DY24" s="2"/>
      <x:c r="DZ24" s="2"/>
      <x:c r="EA24" s="2"/>
      <x:c r="EB24" s="2"/>
      <x:c r="EC24" s="2"/>
      <x:c r="ED24" s="2"/>
      <x:c r="EE24" s="2"/>
      <x:c r="EF24" s="2"/>
      <x:c r="EG24" s="2"/>
      <x:c r="EH24" s="2"/>
      <x:c r="EI24" s="2"/>
      <x:c r="EJ24" s="2"/>
      <x:c r="EK24" s="2"/>
      <x:c r="EL24" s="2"/>
      <x:c r="EM24" s="2"/>
      <x:c r="EN24" s="2"/>
      <x:c r="EO24" s="2"/>
      <x:c r="EP24" s="2"/>
      <x:c r="EQ24" s="2"/>
      <x:c r="ER24" s="2"/>
      <x:c r="ES24" s="2"/>
      <x:c r="ET24" s="2"/>
      <x:c r="EU24" s="2"/>
      <x:c r="EV24" s="2"/>
      <x:c r="EW24" s="2"/>
      <x:c r="EX24" s="2"/>
      <x:c r="EY24" s="2"/>
      <x:c r="EZ24" s="2"/>
      <x:c r="FA24" s="2"/>
    </x:row>
    <x:row r="25" ht="135">
      <x:c r="A25" s="2" t="s">
        <x:v>74</x:v>
      </x:c>
      <x:c r="B25" s="2" t="s">
        <x:v>2337</x:v>
      </x:c>
      <x:c r="C25" s="2" t="s">
        <x:v>3425</x:v>
      </x:c>
      <x:c r="D25" s="2" t="s">
        <x:v>552</x:v>
      </x:c>
      <x:c r="E25" s="2" t="s">
        <x:v>530</x:v>
      </x:c>
      <x:c r="F25" s="2" t="s">
        <x:v>530</x:v>
      </x:c>
      <x:c r="G25" s="2" t="s">
        <x:v>168</x:v>
      </x:c>
      <x:c r="H25" s="2" t="s">
        <x:v>1817</x:v>
      </x:c>
      <x:c r="I25" s="2" t="s">
        <x:v>1817</x:v>
      </x:c>
      <x:c r="J25" s="2" t="s">
        <x:v>530</x:v>
      </x:c>
      <x:c r="K25" s="2" t="s">
        <x:v>169</x:v>
      </x:c>
      <x:c r="L25" s="2" t="s">
        <x:v>172</x:v>
      </x:c>
      <x:c r="M25" s="2" t="s">
        <x:v>172</x:v>
      </x:c>
      <x:c r="N25" s="2" t="s">
        <x:v>172</x:v>
      </x:c>
      <x:c r="O25" s="2" t="s">
        <x:v>172</x:v>
      </x:c>
      <x:c r="P25" s="2" t="s">
        <x:v>171</x:v>
      </x:c>
      <x:c r="Q25" s="2" t="s">
        <x:v>171</x:v>
      </x:c>
      <x:c r="R25" s="2" t="s">
        <x:v>172</x:v>
      </x:c>
      <x:c r="S25" s="2" t="s">
        <x:v>3426</x:v>
      </x:c>
      <x:c r="T25" s="2" t="s">
        <x:v>3457</x:v>
      </x:c>
      <x:c r="U25" s="2" t="s">
        <x:v>1820</x:v>
      </x:c>
      <x:c r="V25" s="2" t="s">
        <x:v>172</x:v>
      </x:c>
      <x:c r="W25" s="2" t="s">
        <x:v>1662</x:v>
      </x:c>
      <x:c r="X25" s="2" t="s">
        <x:v>1822</x:v>
      </x:c>
      <x:c r="Y25" s="2">
        <x:v>4</x:v>
      </x:c>
      <x:c r="Z25" s="2" t="s">
        <x:v>3482</x:v>
      </x:c>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2"/>
      <x:c r="CO25" s="2"/>
      <x:c r="CP25" s="2"/>
      <x:c r="CQ25" s="2"/>
      <x:c r="CR25" s="2"/>
      <x:c r="CS25" s="2"/>
      <x:c r="CT25" s="2"/>
      <x:c r="CU25" s="2"/>
      <x:c r="CV25" s="2"/>
      <x:c r="CW25" s="2"/>
      <x:c r="CX25" s="2"/>
      <x:c r="CY25" s="2"/>
      <x:c r="CZ25" s="2"/>
      <x:c r="DA25" s="2"/>
      <x:c r="DB25" s="2"/>
      <x:c r="DC25" s="2"/>
      <x:c r="DD25" s="2"/>
      <x:c r="DE25" s="2"/>
      <x:c r="DF25" s="2"/>
      <x:c r="DG25" s="2"/>
      <x:c r="DH25" s="2"/>
      <x:c r="DI25" s="2"/>
      <x:c r="DJ25" s="2"/>
      <x:c r="DK25" s="2"/>
      <x:c r="DL25" s="2"/>
      <x:c r="DM25" s="2"/>
      <x:c r="DN25" s="2"/>
      <x:c r="DO25" s="2"/>
      <x:c r="DP25" s="2"/>
      <x:c r="DQ25" s="2"/>
      <x:c r="DR25" s="2"/>
      <x:c r="DS25" s="2"/>
      <x:c r="DT25" s="2"/>
      <x:c r="DU25" s="2"/>
      <x:c r="DV25" s="2"/>
      <x:c r="DW25" s="2"/>
      <x:c r="DX25" s="2"/>
      <x:c r="DY25" s="2"/>
      <x:c r="DZ25" s="2"/>
      <x:c r="EA25" s="2"/>
      <x:c r="EB25" s="2"/>
      <x:c r="EC25" s="2"/>
      <x:c r="ED25" s="2"/>
      <x:c r="EE25" s="2"/>
      <x:c r="EF25" s="2"/>
      <x:c r="EG25" s="2"/>
      <x:c r="EH25" s="2"/>
      <x:c r="EI25" s="2"/>
      <x:c r="EJ25" s="2"/>
      <x:c r="EK25" s="2"/>
      <x:c r="EL25" s="2"/>
      <x:c r="EM25" s="2"/>
      <x:c r="EN25" s="2"/>
      <x:c r="EO25" s="2"/>
      <x:c r="EP25" s="2"/>
      <x:c r="EQ25" s="2"/>
      <x:c r="ER25" s="2"/>
      <x:c r="ES25" s="2"/>
      <x:c r="ET25" s="2"/>
      <x:c r="EU25" s="2"/>
      <x:c r="EV25" s="2"/>
      <x:c r="EW25" s="2"/>
      <x:c r="EX25" s="2"/>
      <x:c r="EY25" s="2"/>
      <x:c r="EZ25" s="2"/>
      <x:c r="FA25" s="2"/>
    </x:row>
    <x:row r="26" ht="135">
      <x:c r="A26" s="2" t="s">
        <x:v>75</x:v>
      </x:c>
      <x:c r="B26" s="2" t="s">
        <x:v>566</x:v>
      </x:c>
      <x:c r="C26" s="2" t="s">
        <x:v>3425</x:v>
      </x:c>
      <x:c r="D26" s="2" t="s">
        <x:v>567</x:v>
      </x:c>
      <x:c r="E26" s="2" t="s">
        <x:v>563</x:v>
      </x:c>
      <x:c r="F26" s="2" t="s">
        <x:v>169</x:v>
      </x:c>
      <x:c r="G26" s="2" t="s">
        <x:v>187</x:v>
      </x:c>
      <x:c r="H26" s="2" t="s">
        <x:v>1817</x:v>
      </x:c>
      <x:c r="I26" s="2" t="s">
        <x:v>1817</x:v>
      </x:c>
      <x:c r="J26" s="2" t="s">
        <x:v>563</x:v>
      </x:c>
      <x:c r="K26" s="2" t="s">
        <x:v>563</x:v>
      </x:c>
      <x:c r="L26" s="2" t="s">
        <x:v>171</x:v>
      </x:c>
      <x:c r="M26" s="2" t="s">
        <x:v>172</x:v>
      </x:c>
      <x:c r="N26" s="2" t="s">
        <x:v>172</x:v>
      </x:c>
      <x:c r="O26" s="2" t="s">
        <x:v>172</x:v>
      </x:c>
      <x:c r="P26" s="2" t="s">
        <x:v>172</x:v>
      </x:c>
      <x:c r="Q26" s="2" t="s">
        <x:v>171</x:v>
      </x:c>
      <x:c r="R26" s="2" t="s">
        <x:v>172</x:v>
      </x:c>
      <x:c r="S26" s="2" t="s">
        <x:v>3426</x:v>
      </x:c>
      <x:c r="T26" s="2" t="s">
        <x:v>3460</x:v>
      </x:c>
      <x:c r="U26" s="2" t="s">
        <x:v>1830</x:v>
      </x:c>
      <x:c r="V26" s="2" t="s">
        <x:v>172</x:v>
      </x:c>
      <x:c r="W26" s="2" t="s">
        <x:v>2111</x:v>
      </x:c>
      <x:c r="X26" s="2" t="s">
        <x:v>2110</x:v>
      </x:c>
      <x:c r="Y26" s="2">
        <x:v>1</x:v>
      </x:c>
      <x:c r="Z26" s="2" t="s">
        <x:v>3279</x:v>
      </x:c>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c r="AY26" s="2"/>
      <x:c r="AZ26" s="2"/>
      <x:c r="BA26" s="2"/>
      <x:c r="BB26" s="2"/>
      <x:c r="BC26" s="2"/>
      <x:c r="BD26" s="2"/>
      <x:c r="BE26" s="2"/>
      <x:c r="BF26" s="2"/>
      <x:c r="BG26" s="2"/>
      <x:c r="BH26" s="2"/>
      <x:c r="BI26" s="2"/>
      <x:c r="BJ26" s="2"/>
      <x:c r="BK26" s="2"/>
      <x:c r="BL26" s="2"/>
      <x:c r="BM26" s="2"/>
      <x:c r="BN26" s="2"/>
      <x:c r="BO26" s="2"/>
      <x:c r="BP26" s="2"/>
      <x:c r="BQ26" s="2"/>
      <x:c r="BR26" s="2"/>
      <x:c r="BS26" s="2"/>
      <x:c r="BT26" s="2"/>
      <x:c r="BU26" s="2"/>
      <x:c r="BV26" s="2"/>
      <x:c r="BW26" s="2"/>
      <x:c r="BX26" s="2"/>
      <x:c r="BY26" s="2"/>
      <x:c r="BZ26" s="2"/>
      <x:c r="CA26" s="2"/>
      <x:c r="CB26" s="2"/>
      <x:c r="CC26" s="2"/>
      <x:c r="CD26" s="2"/>
      <x:c r="CE26" s="2"/>
      <x:c r="CF26" s="2"/>
      <x:c r="CG26" s="2"/>
      <x:c r="CH26" s="2"/>
      <x:c r="CI26" s="2"/>
      <x:c r="CJ26" s="2"/>
      <x:c r="CK26" s="2"/>
      <x:c r="CL26" s="2"/>
      <x:c r="CM26" s="2"/>
      <x:c r="CN26" s="2"/>
      <x:c r="CO26" s="2"/>
      <x:c r="CP26" s="2"/>
      <x:c r="CQ26" s="2"/>
      <x:c r="CR26" s="2"/>
      <x:c r="CS26" s="2"/>
      <x:c r="CT26" s="2"/>
      <x:c r="CU26" s="2"/>
      <x:c r="CV26" s="2"/>
      <x:c r="CW26" s="2"/>
      <x:c r="CX26" s="2"/>
      <x:c r="CY26" s="2"/>
      <x:c r="CZ26" s="2"/>
      <x:c r="DA26" s="2"/>
      <x:c r="DB26" s="2"/>
      <x:c r="DC26" s="2"/>
      <x:c r="DD26" s="2"/>
      <x:c r="DE26" s="2"/>
      <x:c r="DF26" s="2"/>
      <x:c r="DG26" s="2"/>
      <x:c r="DH26" s="2"/>
      <x:c r="DI26" s="2"/>
      <x:c r="DJ26" s="2"/>
      <x:c r="DK26" s="2"/>
      <x:c r="DL26" s="2"/>
      <x:c r="DM26" s="2"/>
      <x:c r="DN26" s="2"/>
      <x:c r="DO26" s="2"/>
      <x:c r="DP26" s="2"/>
      <x:c r="DQ26" s="2"/>
      <x:c r="DR26" s="2"/>
      <x:c r="DS26" s="2"/>
      <x:c r="DT26" s="2"/>
      <x:c r="DU26" s="2"/>
      <x:c r="DV26" s="2"/>
      <x:c r="DW26" s="2"/>
      <x:c r="DX26" s="2"/>
      <x:c r="DY26" s="2"/>
      <x:c r="DZ26" s="2"/>
      <x:c r="EA26" s="2"/>
      <x:c r="EB26" s="2"/>
      <x:c r="EC26" s="2"/>
      <x:c r="ED26" s="2"/>
      <x:c r="EE26" s="2"/>
      <x:c r="EF26" s="2"/>
      <x:c r="EG26" s="2"/>
      <x:c r="EH26" s="2"/>
      <x:c r="EI26" s="2"/>
      <x:c r="EJ26" s="2"/>
      <x:c r="EK26" s="2"/>
      <x:c r="EL26" s="2"/>
      <x:c r="EM26" s="2"/>
      <x:c r="EN26" s="2"/>
      <x:c r="EO26" s="2"/>
      <x:c r="EP26" s="2"/>
      <x:c r="EQ26" s="2"/>
      <x:c r="ER26" s="2"/>
      <x:c r="ES26" s="2"/>
      <x:c r="ET26" s="2"/>
      <x:c r="EU26" s="2"/>
      <x:c r="EV26" s="2"/>
      <x:c r="EW26" s="2"/>
      <x:c r="EX26" s="2"/>
      <x:c r="EY26" s="2"/>
      <x:c r="EZ26" s="2"/>
      <x:c r="FA26" s="2"/>
    </x:row>
    <x:row r="27" ht="135">
      <x:c r="A27" s="2" t="s">
        <x:v>75</x:v>
      </x:c>
      <x:c r="B27" s="2" t="s">
        <x:v>575</x:v>
      </x:c>
      <x:c r="C27" s="2" t="s">
        <x:v>3425</x:v>
      </x:c>
      <x:c r="D27" s="2" t="s">
        <x:v>576</x:v>
      </x:c>
      <x:c r="E27" s="2" t="s">
        <x:v>571</x:v>
      </x:c>
      <x:c r="F27" s="2" t="s">
        <x:v>169</x:v>
      </x:c>
      <x:c r="G27" s="2" t="s">
        <x:v>236</x:v>
      </x:c>
      <x:c r="H27" s="2" t="s">
        <x:v>1817</x:v>
      </x:c>
      <x:c r="I27" s="2" t="s">
        <x:v>1817</x:v>
      </x:c>
      <x:c r="J27" s="2" t="s">
        <x:v>571</x:v>
      </x:c>
      <x:c r="K27" s="2" t="s">
        <x:v>571</x:v>
      </x:c>
      <x:c r="L27" s="2" t="s">
        <x:v>172</x:v>
      </x:c>
      <x:c r="M27" s="2" t="s">
        <x:v>171</x:v>
      </x:c>
      <x:c r="N27" s="2" t="s">
        <x:v>172</x:v>
      </x:c>
      <x:c r="O27" s="2" t="s">
        <x:v>172</x:v>
      </x:c>
      <x:c r="P27" s="2" t="s">
        <x:v>172</x:v>
      </x:c>
      <x:c r="Q27" s="2" t="s">
        <x:v>171</x:v>
      </x:c>
      <x:c r="R27" s="2" t="s">
        <x:v>172</x:v>
      </x:c>
      <x:c r="S27" s="2" t="s">
        <x:v>3426</x:v>
      </x:c>
      <x:c r="T27" s="2" t="s">
        <x:v>3462</x:v>
      </x:c>
      <x:c r="U27" s="2" t="s">
        <x:v>1830</x:v>
      </x:c>
      <x:c r="V27" s="2" t="s">
        <x:v>171</x:v>
      </x:c>
      <x:c r="W27" s="2" t="s">
        <x:v>2119</x:v>
      </x:c>
      <x:c r="X27" s="2" t="s">
        <x:v>2118</x:v>
      </x:c>
      <x:c r="Y27" s="2">
        <x:v>2</x:v>
      </x:c>
      <x:c r="Z27" s="2" t="s">
        <x:v>3280</x:v>
      </x:c>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c r="AY27" s="2"/>
      <x:c r="AZ27" s="2"/>
      <x:c r="BA27" s="2"/>
      <x:c r="BB27" s="2"/>
      <x:c r="BC27" s="2"/>
      <x:c r="BD27" s="2"/>
      <x:c r="BE27" s="2"/>
      <x:c r="BF27" s="2"/>
      <x:c r="BG27" s="2"/>
      <x:c r="BH27" s="2"/>
      <x:c r="BI27" s="2"/>
      <x:c r="BJ27" s="2"/>
      <x:c r="BK27" s="2"/>
      <x:c r="BL27" s="2"/>
      <x:c r="BM27" s="2"/>
      <x:c r="BN27" s="2"/>
      <x:c r="BO27" s="2"/>
      <x:c r="BP27" s="2"/>
      <x:c r="BQ27" s="2"/>
      <x:c r="BR27" s="2"/>
      <x:c r="BS27" s="2"/>
      <x:c r="BT27" s="2"/>
      <x:c r="BU27" s="2"/>
      <x:c r="BV27" s="2"/>
      <x:c r="BW27" s="2"/>
      <x:c r="BX27" s="2"/>
      <x:c r="BY27" s="2"/>
      <x:c r="BZ27" s="2"/>
      <x:c r="CA27" s="2"/>
      <x:c r="CB27" s="2"/>
      <x:c r="CC27" s="2"/>
      <x:c r="CD27" s="2"/>
      <x:c r="CE27" s="2"/>
      <x:c r="CF27" s="2"/>
      <x:c r="CG27" s="2"/>
      <x:c r="CH27" s="2"/>
      <x:c r="CI27" s="2"/>
      <x:c r="CJ27" s="2"/>
      <x:c r="CK27" s="2"/>
      <x:c r="CL27" s="2"/>
      <x:c r="CM27" s="2"/>
      <x:c r="CN27" s="2"/>
      <x:c r="CO27" s="2"/>
      <x:c r="CP27" s="2"/>
      <x:c r="CQ27" s="2"/>
      <x:c r="CR27" s="2"/>
      <x:c r="CS27" s="2"/>
      <x:c r="CT27" s="2"/>
      <x:c r="CU27" s="2"/>
      <x:c r="CV27" s="2"/>
      <x:c r="CW27" s="2"/>
      <x:c r="CX27" s="2"/>
      <x:c r="CY27" s="2"/>
      <x:c r="CZ27" s="2"/>
      <x:c r="DA27" s="2"/>
      <x:c r="DB27" s="2"/>
      <x:c r="DC27" s="2"/>
      <x:c r="DD27" s="2"/>
      <x:c r="DE27" s="2"/>
      <x:c r="DF27" s="2"/>
      <x:c r="DG27" s="2"/>
      <x:c r="DH27" s="2"/>
      <x:c r="DI27" s="2"/>
      <x:c r="DJ27" s="2"/>
      <x:c r="DK27" s="2"/>
      <x:c r="DL27" s="2"/>
      <x:c r="DM27" s="2"/>
      <x:c r="DN27" s="2"/>
      <x:c r="DO27" s="2"/>
      <x:c r="DP27" s="2"/>
      <x:c r="DQ27" s="2"/>
      <x:c r="DR27" s="2"/>
      <x:c r="DS27" s="2"/>
      <x:c r="DT27" s="2"/>
      <x:c r="DU27" s="2"/>
      <x:c r="DV27" s="2"/>
      <x:c r="DW27" s="2"/>
      <x:c r="DX27" s="2"/>
      <x:c r="DY27" s="2"/>
      <x:c r="DZ27" s="2"/>
      <x:c r="EA27" s="2"/>
      <x:c r="EB27" s="2"/>
      <x:c r="EC27" s="2"/>
      <x:c r="ED27" s="2"/>
      <x:c r="EE27" s="2"/>
      <x:c r="EF27" s="2"/>
      <x:c r="EG27" s="2"/>
      <x:c r="EH27" s="2"/>
      <x:c r="EI27" s="2"/>
      <x:c r="EJ27" s="2"/>
      <x:c r="EK27" s="2"/>
      <x:c r="EL27" s="2"/>
      <x:c r="EM27" s="2"/>
      <x:c r="EN27" s="2"/>
      <x:c r="EO27" s="2"/>
      <x:c r="EP27" s="2"/>
      <x:c r="EQ27" s="2"/>
      <x:c r="ER27" s="2"/>
      <x:c r="ES27" s="2"/>
      <x:c r="ET27" s="2"/>
      <x:c r="EU27" s="2"/>
      <x:c r="EV27" s="2"/>
      <x:c r="EW27" s="2"/>
      <x:c r="EX27" s="2"/>
      <x:c r="EY27" s="2"/>
      <x:c r="EZ27" s="2"/>
      <x:c r="FA27" s="2"/>
    </x:row>
    <x:row r="28" ht="135">
      <x:c r="A28" s="2" t="s">
        <x:v>75</x:v>
      </x:c>
      <x:c r="B28" s="2" t="s">
        <x:v>581</x:v>
      </x:c>
      <x:c r="C28" s="2" t="s">
        <x:v>3425</x:v>
      </x:c>
      <x:c r="D28" s="2" t="s">
        <x:v>582</x:v>
      </x:c>
      <x:c r="E28" s="2" t="s">
        <x:v>571</x:v>
      </x:c>
      <x:c r="F28" s="2" t="s">
        <x:v>169</x:v>
      </x:c>
      <x:c r="G28" s="2" t="s">
        <x:v>187</x:v>
      </x:c>
      <x:c r="H28" s="2" t="s">
        <x:v>1817</x:v>
      </x:c>
      <x:c r="I28" s="2" t="s">
        <x:v>1817</x:v>
      </x:c>
      <x:c r="J28" s="2" t="s">
        <x:v>571</x:v>
      </x:c>
      <x:c r="K28" s="2" t="s">
        <x:v>571</x:v>
      </x:c>
      <x:c r="L28" s="2" t="s">
        <x:v>171</x:v>
      </x:c>
      <x:c r="M28" s="2" t="s">
        <x:v>172</x:v>
      </x:c>
      <x:c r="N28" s="2" t="s">
        <x:v>172</x:v>
      </x:c>
      <x:c r="O28" s="2" t="s">
        <x:v>172</x:v>
      </x:c>
      <x:c r="P28" s="2" t="s">
        <x:v>172</x:v>
      </x:c>
      <x:c r="Q28" s="2" t="s">
        <x:v>171</x:v>
      </x:c>
      <x:c r="R28" s="2" t="s">
        <x:v>172</x:v>
      </x:c>
      <x:c r="S28" s="2" t="s">
        <x:v>3426</x:v>
      </x:c>
      <x:c r="T28" s="2" t="s">
        <x:v>3463</x:v>
      </x:c>
      <x:c r="U28" s="2" t="s">
        <x:v>1830</x:v>
      </x:c>
      <x:c r="V28" s="2" t="s">
        <x:v>171</x:v>
      </x:c>
      <x:c r="W28" s="2" t="s">
        <x:v>2126</x:v>
      </x:c>
      <x:c r="X28" s="2" t="s">
        <x:v>2125</x:v>
      </x:c>
      <x:c r="Y28" s="2">
        <x:v>3</x:v>
      </x:c>
      <x:c r="Z28" s="2" t="s">
        <x:v>3483</x:v>
      </x:c>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c r="AY28" s="2"/>
      <x:c r="AZ28" s="2"/>
      <x:c r="BA28" s="2"/>
      <x:c r="BB28" s="2"/>
      <x:c r="BC28" s="2"/>
      <x:c r="BD28" s="2"/>
      <x:c r="BE28" s="2"/>
      <x:c r="BF28" s="2"/>
      <x:c r="BG28" s="2"/>
      <x:c r="BH28" s="2"/>
      <x:c r="BI28" s="2"/>
      <x:c r="BJ28" s="2"/>
      <x:c r="BK28" s="2"/>
      <x:c r="BL28" s="2"/>
      <x:c r="BM28" s="2"/>
      <x:c r="BN28" s="2"/>
      <x:c r="BO28" s="2"/>
      <x:c r="BP28" s="2"/>
      <x:c r="BQ28" s="2"/>
      <x:c r="BR28" s="2"/>
      <x:c r="BS28" s="2"/>
      <x:c r="BT28" s="2"/>
      <x:c r="BU28" s="2"/>
      <x:c r="BV28" s="2"/>
      <x:c r="BW28" s="2"/>
      <x:c r="BX28" s="2"/>
      <x:c r="BY28" s="2"/>
      <x:c r="BZ28" s="2"/>
      <x:c r="CA28" s="2"/>
      <x:c r="CB28" s="2"/>
      <x:c r="CC28" s="2"/>
      <x:c r="CD28" s="2"/>
      <x:c r="CE28" s="2"/>
      <x:c r="CF28" s="2"/>
      <x:c r="CG28" s="2"/>
      <x:c r="CH28" s="2"/>
      <x:c r="CI28" s="2"/>
      <x:c r="CJ28" s="2"/>
      <x:c r="CK28" s="2"/>
      <x:c r="CL28" s="2"/>
      <x:c r="CM28" s="2"/>
      <x:c r="CN28" s="2"/>
      <x:c r="CO28" s="2"/>
      <x:c r="CP28" s="2"/>
      <x:c r="CQ28" s="2"/>
      <x:c r="CR28" s="2"/>
      <x:c r="CS28" s="2"/>
      <x:c r="CT28" s="2"/>
      <x:c r="CU28" s="2"/>
      <x:c r="CV28" s="2"/>
      <x:c r="CW28" s="2"/>
      <x:c r="CX28" s="2"/>
      <x:c r="CY28" s="2"/>
      <x:c r="CZ28" s="2"/>
      <x:c r="DA28" s="2"/>
      <x:c r="DB28" s="2"/>
      <x:c r="DC28" s="2"/>
      <x:c r="DD28" s="2"/>
      <x:c r="DE28" s="2"/>
      <x:c r="DF28" s="2"/>
      <x:c r="DG28" s="2"/>
      <x:c r="DH28" s="2"/>
      <x:c r="DI28" s="2"/>
      <x:c r="DJ28" s="2"/>
      <x:c r="DK28" s="2"/>
      <x:c r="DL28" s="2"/>
      <x:c r="DM28" s="2"/>
      <x:c r="DN28" s="2"/>
      <x:c r="DO28" s="2"/>
      <x:c r="DP28" s="2"/>
      <x:c r="DQ28" s="2"/>
      <x:c r="DR28" s="2"/>
      <x:c r="DS28" s="2"/>
      <x:c r="DT28" s="2"/>
      <x:c r="DU28" s="2"/>
      <x:c r="DV28" s="2"/>
      <x:c r="DW28" s="2"/>
      <x:c r="DX28" s="2"/>
      <x:c r="DY28" s="2"/>
      <x:c r="DZ28" s="2"/>
      <x:c r="EA28" s="2"/>
      <x:c r="EB28" s="2"/>
      <x:c r="EC28" s="2"/>
      <x:c r="ED28" s="2"/>
      <x:c r="EE28" s="2"/>
      <x:c r="EF28" s="2"/>
      <x:c r="EG28" s="2"/>
      <x:c r="EH28" s="2"/>
      <x:c r="EI28" s="2"/>
      <x:c r="EJ28" s="2"/>
      <x:c r="EK28" s="2"/>
      <x:c r="EL28" s="2"/>
      <x:c r="EM28" s="2"/>
      <x:c r="EN28" s="2"/>
      <x:c r="EO28" s="2"/>
      <x:c r="EP28" s="2"/>
      <x:c r="EQ28" s="2"/>
      <x:c r="ER28" s="2"/>
      <x:c r="ES28" s="2"/>
      <x:c r="ET28" s="2"/>
      <x:c r="EU28" s="2"/>
      <x:c r="EV28" s="2"/>
      <x:c r="EW28" s="2"/>
      <x:c r="EX28" s="2"/>
      <x:c r="EY28" s="2"/>
      <x:c r="EZ28" s="2"/>
      <x:c r="FA28" s="2"/>
    </x:row>
    <x:row r="29" ht="135">
      <x:c r="A29" s="2" t="s">
        <x:v>75</x:v>
      </x:c>
      <x:c r="B29" s="2" t="s">
        <x:v>584</x:v>
      </x:c>
      <x:c r="C29" s="2" t="s">
        <x:v>3425</x:v>
      </x:c>
      <x:c r="D29" s="2" t="s">
        <x:v>585</x:v>
      </x:c>
      <x:c r="E29" s="2" t="s">
        <x:v>571</x:v>
      </x:c>
      <x:c r="F29" s="2" t="s">
        <x:v>169</x:v>
      </x:c>
      <x:c r="G29" s="2" t="s">
        <x:v>187</x:v>
      </x:c>
      <x:c r="H29" s="2" t="s">
        <x:v>1817</x:v>
      </x:c>
      <x:c r="I29" s="2" t="s">
        <x:v>1817</x:v>
      </x:c>
      <x:c r="J29" s="2" t="s">
        <x:v>571</x:v>
      </x:c>
      <x:c r="K29" s="2" t="s">
        <x:v>571</x:v>
      </x:c>
      <x:c r="L29" s="2" t="s">
        <x:v>171</x:v>
      </x:c>
      <x:c r="M29" s="2" t="s">
        <x:v>172</x:v>
      </x:c>
      <x:c r="N29" s="2" t="s">
        <x:v>172</x:v>
      </x:c>
      <x:c r="O29" s="2" t="s">
        <x:v>172</x:v>
      </x:c>
      <x:c r="P29" s="2" t="s">
        <x:v>172</x:v>
      </x:c>
      <x:c r="Q29" s="2" t="s">
        <x:v>171</x:v>
      </x:c>
      <x:c r="R29" s="2" t="s">
        <x:v>172</x:v>
      </x:c>
      <x:c r="S29" s="2" t="s">
        <x:v>3426</x:v>
      </x:c>
      <x:c r="T29" s="2" t="s">
        <x:v>3463</x:v>
      </x:c>
      <x:c r="U29" s="2" t="s">
        <x:v>1830</x:v>
      </x:c>
      <x:c r="V29" s="2" t="s">
        <x:v>172</x:v>
      </x:c>
      <x:c r="W29" s="2" t="s">
        <x:v>2129</x:v>
      </x:c>
      <x:c r="X29" s="2" t="s">
        <x:v>2128</x:v>
      </x:c>
      <x:c r="Y29" s="2">
        <x:v>4</x:v>
      </x:c>
      <x:c r="Z29" s="2" t="s">
        <x:v>3484</x:v>
      </x:c>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c r="AY29" s="2"/>
      <x:c r="AZ29" s="2"/>
      <x:c r="BA29" s="2"/>
      <x:c r="BB29" s="2"/>
      <x:c r="BC29" s="2"/>
      <x:c r="BD29" s="2"/>
      <x:c r="BE29" s="2"/>
      <x:c r="BF29" s="2"/>
      <x:c r="BG29" s="2"/>
      <x:c r="BH29" s="2"/>
      <x:c r="BI29" s="2"/>
      <x:c r="BJ29" s="2"/>
      <x:c r="BK29" s="2"/>
      <x:c r="BL29" s="2"/>
      <x:c r="BM29" s="2"/>
      <x:c r="BN29" s="2"/>
      <x:c r="BO29" s="2"/>
      <x:c r="BP29" s="2"/>
      <x:c r="BQ29" s="2"/>
      <x:c r="BR29" s="2"/>
      <x:c r="BS29" s="2"/>
      <x:c r="BT29" s="2"/>
      <x:c r="BU29" s="2"/>
      <x:c r="BV29" s="2"/>
      <x:c r="BW29" s="2"/>
      <x:c r="BX29" s="2"/>
      <x:c r="BY29" s="2"/>
      <x:c r="BZ29" s="2"/>
      <x:c r="CA29" s="2"/>
      <x:c r="CB29" s="2"/>
      <x:c r="CC29" s="2"/>
      <x:c r="CD29" s="2"/>
      <x:c r="CE29" s="2"/>
      <x:c r="CF29" s="2"/>
      <x:c r="CG29" s="2"/>
      <x:c r="CH29" s="2"/>
      <x:c r="CI29" s="2"/>
      <x:c r="CJ29" s="2"/>
      <x:c r="CK29" s="2"/>
      <x:c r="CL29" s="2"/>
      <x:c r="CM29" s="2"/>
      <x:c r="CN29" s="2"/>
      <x:c r="CO29" s="2"/>
      <x:c r="CP29" s="2"/>
      <x:c r="CQ29" s="2"/>
      <x:c r="CR29" s="2"/>
      <x:c r="CS29" s="2"/>
      <x:c r="CT29" s="2"/>
      <x:c r="CU29" s="2"/>
      <x:c r="CV29" s="2"/>
      <x:c r="CW29" s="2"/>
      <x:c r="CX29" s="2"/>
      <x:c r="CY29" s="2"/>
      <x:c r="CZ29" s="2"/>
      <x:c r="DA29" s="2"/>
      <x:c r="DB29" s="2"/>
      <x:c r="DC29" s="2"/>
      <x:c r="DD29" s="2"/>
      <x:c r="DE29" s="2"/>
      <x:c r="DF29" s="2"/>
      <x:c r="DG29" s="2"/>
      <x:c r="DH29" s="2"/>
      <x:c r="DI29" s="2"/>
      <x:c r="DJ29" s="2"/>
      <x:c r="DK29" s="2"/>
      <x:c r="DL29" s="2"/>
      <x:c r="DM29" s="2"/>
      <x:c r="DN29" s="2"/>
      <x:c r="DO29" s="2"/>
      <x:c r="DP29" s="2"/>
      <x:c r="DQ29" s="2"/>
      <x:c r="DR29" s="2"/>
      <x:c r="DS29" s="2"/>
      <x:c r="DT29" s="2"/>
      <x:c r="DU29" s="2"/>
      <x:c r="DV29" s="2"/>
      <x:c r="DW29" s="2"/>
      <x:c r="DX29" s="2"/>
      <x:c r="DY29" s="2"/>
      <x:c r="DZ29" s="2"/>
      <x:c r="EA29" s="2"/>
      <x:c r="EB29" s="2"/>
      <x:c r="EC29" s="2"/>
      <x:c r="ED29" s="2"/>
      <x:c r="EE29" s="2"/>
      <x:c r="EF29" s="2"/>
      <x:c r="EG29" s="2"/>
      <x:c r="EH29" s="2"/>
      <x:c r="EI29" s="2"/>
      <x:c r="EJ29" s="2"/>
      <x:c r="EK29" s="2"/>
      <x:c r="EL29" s="2"/>
      <x:c r="EM29" s="2"/>
      <x:c r="EN29" s="2"/>
      <x:c r="EO29" s="2"/>
      <x:c r="EP29" s="2"/>
      <x:c r="EQ29" s="2"/>
      <x:c r="ER29" s="2"/>
      <x:c r="ES29" s="2"/>
      <x:c r="ET29" s="2"/>
      <x:c r="EU29" s="2"/>
      <x:c r="EV29" s="2"/>
      <x:c r="EW29" s="2"/>
      <x:c r="EX29" s="2"/>
      <x:c r="EY29" s="2"/>
      <x:c r="EZ29" s="2"/>
      <x:c r="FA29" s="2"/>
    </x:row>
    <x:row r="30" ht="135">
      <x:c r="A30" s="2" t="s">
        <x:v>75</x:v>
      </x:c>
      <x:c r="B30" s="2" t="s">
        <x:v>587</x:v>
      </x:c>
      <x:c r="C30" s="2" t="s">
        <x:v>3425</x:v>
      </x:c>
      <x:c r="D30" s="2" t="s">
        <x:v>588</x:v>
      </x:c>
      <x:c r="E30" s="2" t="s">
        <x:v>571</x:v>
      </x:c>
      <x:c r="F30" s="2" t="s">
        <x:v>169</x:v>
      </x:c>
      <x:c r="G30" s="2" t="s">
        <x:v>187</x:v>
      </x:c>
      <x:c r="H30" s="2" t="s">
        <x:v>1817</x:v>
      </x:c>
      <x:c r="I30" s="2" t="s">
        <x:v>1817</x:v>
      </x:c>
      <x:c r="J30" s="2" t="s">
        <x:v>571</x:v>
      </x:c>
      <x:c r="K30" s="2" t="s">
        <x:v>571</x:v>
      </x:c>
      <x:c r="L30" s="2" t="s">
        <x:v>171</x:v>
      </x:c>
      <x:c r="M30" s="2" t="s">
        <x:v>172</x:v>
      </x:c>
      <x:c r="N30" s="2" t="s">
        <x:v>172</x:v>
      </x:c>
      <x:c r="O30" s="2" t="s">
        <x:v>172</x:v>
      </x:c>
      <x:c r="P30" s="2" t="s">
        <x:v>172</x:v>
      </x:c>
      <x:c r="Q30" s="2" t="s">
        <x:v>171</x:v>
      </x:c>
      <x:c r="R30" s="2" t="s">
        <x:v>172</x:v>
      </x:c>
      <x:c r="S30" s="2" t="s">
        <x:v>3426</x:v>
      </x:c>
      <x:c r="T30" s="2" t="s">
        <x:v>3463</x:v>
      </x:c>
      <x:c r="U30" s="2" t="s">
        <x:v>1830</x:v>
      </x:c>
      <x:c r="V30" s="2" t="s">
        <x:v>172</x:v>
      </x:c>
      <x:c r="W30" s="2" t="s">
        <x:v>2132</x:v>
      </x:c>
      <x:c r="X30" s="2" t="s">
        <x:v>2131</x:v>
      </x:c>
      <x:c r="Y30" s="2">
        <x:v>5</x:v>
      </x:c>
      <x:c r="Z30" s="2" t="s">
        <x:v>3485</x:v>
      </x:c>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c r="AY30" s="2"/>
      <x:c r="AZ30" s="2"/>
      <x:c r="BA30" s="2"/>
      <x:c r="BB30" s="2"/>
      <x:c r="BC30" s="2"/>
      <x:c r="BD30" s="2"/>
      <x:c r="BE30" s="2"/>
      <x:c r="BF30" s="2"/>
      <x:c r="BG30" s="2"/>
      <x:c r="BH30" s="2"/>
      <x:c r="BI30" s="2"/>
      <x:c r="BJ30" s="2"/>
      <x:c r="BK30" s="2"/>
      <x:c r="BL30" s="2"/>
      <x:c r="BM30" s="2"/>
      <x:c r="BN30" s="2"/>
      <x:c r="BO30" s="2"/>
      <x:c r="BP30" s="2"/>
      <x:c r="BQ30" s="2"/>
      <x:c r="BR30" s="2"/>
      <x:c r="BS30" s="2"/>
      <x:c r="BT30" s="2"/>
      <x:c r="BU30" s="2"/>
      <x:c r="BV30" s="2"/>
      <x:c r="BW30" s="2"/>
      <x:c r="BX30" s="2"/>
      <x:c r="BY30" s="2"/>
      <x:c r="BZ30" s="2"/>
      <x:c r="CA30" s="2"/>
      <x:c r="CB30" s="2"/>
      <x:c r="CC30" s="2"/>
      <x:c r="CD30" s="2"/>
      <x:c r="CE30" s="2"/>
      <x:c r="CF30" s="2"/>
      <x:c r="CG30" s="2"/>
      <x:c r="CH30" s="2"/>
      <x:c r="CI30" s="2"/>
      <x:c r="CJ30" s="2"/>
      <x:c r="CK30" s="2"/>
      <x:c r="CL30" s="2"/>
      <x:c r="CM30" s="2"/>
      <x:c r="CN30" s="2"/>
      <x:c r="CO30" s="2"/>
      <x:c r="CP30" s="2"/>
      <x:c r="CQ30" s="2"/>
      <x:c r="CR30" s="2"/>
      <x:c r="CS30" s="2"/>
      <x:c r="CT30" s="2"/>
      <x:c r="CU30" s="2"/>
      <x:c r="CV30" s="2"/>
      <x:c r="CW30" s="2"/>
      <x:c r="CX30" s="2"/>
      <x:c r="CY30" s="2"/>
      <x:c r="CZ30" s="2"/>
      <x:c r="DA30" s="2"/>
      <x:c r="DB30" s="2"/>
      <x:c r="DC30" s="2"/>
      <x:c r="DD30" s="2"/>
      <x:c r="DE30" s="2"/>
      <x:c r="DF30" s="2"/>
      <x:c r="DG30" s="2"/>
      <x:c r="DH30" s="2"/>
      <x:c r="DI30" s="2"/>
      <x:c r="DJ30" s="2"/>
      <x:c r="DK30" s="2"/>
      <x:c r="DL30" s="2"/>
      <x:c r="DM30" s="2"/>
      <x:c r="DN30" s="2"/>
      <x:c r="DO30" s="2"/>
      <x:c r="DP30" s="2"/>
      <x:c r="DQ30" s="2"/>
      <x:c r="DR30" s="2"/>
      <x:c r="DS30" s="2"/>
      <x:c r="DT30" s="2"/>
      <x:c r="DU30" s="2"/>
      <x:c r="DV30" s="2"/>
      <x:c r="DW30" s="2"/>
      <x:c r="DX30" s="2"/>
      <x:c r="DY30" s="2"/>
      <x:c r="DZ30" s="2"/>
      <x:c r="EA30" s="2"/>
      <x:c r="EB30" s="2"/>
      <x:c r="EC30" s="2"/>
      <x:c r="ED30" s="2"/>
      <x:c r="EE30" s="2"/>
      <x:c r="EF30" s="2"/>
      <x:c r="EG30" s="2"/>
      <x:c r="EH30" s="2"/>
      <x:c r="EI30" s="2"/>
      <x:c r="EJ30" s="2"/>
      <x:c r="EK30" s="2"/>
      <x:c r="EL30" s="2"/>
      <x:c r="EM30" s="2"/>
      <x:c r="EN30" s="2"/>
      <x:c r="EO30" s="2"/>
      <x:c r="EP30" s="2"/>
      <x:c r="EQ30" s="2"/>
      <x:c r="ER30" s="2"/>
      <x:c r="ES30" s="2"/>
      <x:c r="ET30" s="2"/>
      <x:c r="EU30" s="2"/>
      <x:c r="EV30" s="2"/>
      <x:c r="EW30" s="2"/>
      <x:c r="EX30" s="2"/>
      <x:c r="EY30" s="2"/>
      <x:c r="EZ30" s="2"/>
      <x:c r="FA30" s="2"/>
    </x:row>
    <x:row r="31" ht="135">
      <x:c r="A31" s="2" t="s">
        <x:v>75</x:v>
      </x:c>
      <x:c r="B31" s="2" t="s">
        <x:v>596</x:v>
      </x:c>
      <x:c r="C31" s="2" t="s">
        <x:v>3425</x:v>
      </x:c>
      <x:c r="D31" s="2" t="s">
        <x:v>585</x:v>
      </x:c>
      <x:c r="E31" s="2" t="s">
        <x:v>571</x:v>
      </x:c>
      <x:c r="F31" s="2" t="s">
        <x:v>169</x:v>
      </x:c>
      <x:c r="G31" s="2" t="s">
        <x:v>236</x:v>
      </x:c>
      <x:c r="H31" s="2" t="s">
        <x:v>1817</x:v>
      </x:c>
      <x:c r="I31" s="2" t="s">
        <x:v>1817</x:v>
      </x:c>
      <x:c r="J31" s="2" t="s">
        <x:v>571</x:v>
      </x:c>
      <x:c r="K31" s="2" t="s">
        <x:v>571</x:v>
      </x:c>
      <x:c r="L31" s="2" t="s">
        <x:v>172</x:v>
      </x:c>
      <x:c r="M31" s="2" t="s">
        <x:v>171</x:v>
      </x:c>
      <x:c r="N31" s="2" t="s">
        <x:v>172</x:v>
      </x:c>
      <x:c r="O31" s="2" t="s">
        <x:v>172</x:v>
      </x:c>
      <x:c r="P31" s="2" t="s">
        <x:v>172</x:v>
      </x:c>
      <x:c r="Q31" s="2" t="s">
        <x:v>171</x:v>
      </x:c>
      <x:c r="R31" s="2" t="s">
        <x:v>172</x:v>
      </x:c>
      <x:c r="S31" s="2" t="s">
        <x:v>3426</x:v>
      </x:c>
      <x:c r="T31" s="2" t="s">
        <x:v>3462</x:v>
      </x:c>
      <x:c r="U31" s="2" t="s">
        <x:v>1830</x:v>
      </x:c>
      <x:c r="V31" s="2" t="s">
        <x:v>171</x:v>
      </x:c>
      <x:c r="W31" s="2" t="s">
        <x:v>2143</x:v>
      </x:c>
      <x:c r="X31" s="2" t="s">
        <x:v>2142</x:v>
      </x:c>
      <x:c r="Y31" s="2">
        <x:v>6</x:v>
      </x:c>
      <x:c r="Z31" s="2" t="s">
        <x:v>3486</x:v>
      </x:c>
      <x:c r="AA31" s="2"/>
      <x:c r="AB31" s="2"/>
      <x:c r="AC31" s="2"/>
      <x:c r="AD31" s="2"/>
      <x:c r="AE31" s="2"/>
      <x:c r="AF31" s="2"/>
      <x:c r="AG31" s="2"/>
      <x:c r="AH31" s="2"/>
      <x:c r="AI31" s="2"/>
      <x:c r="AJ31" s="2"/>
      <x:c r="AK31" s="2"/>
      <x:c r="AL31" s="2"/>
      <x:c r="AM31" s="2"/>
      <x:c r="AN31" s="2"/>
      <x:c r="AO31" s="2"/>
      <x:c r="AP31" s="2"/>
      <x:c r="AQ31" s="2"/>
      <x:c r="AR31" s="2"/>
      <x:c r="AS31" s="2"/>
      <x:c r="AT31" s="2"/>
      <x:c r="AU31" s="2"/>
      <x:c r="AV31" s="2"/>
      <x:c r="AW31" s="2"/>
      <x:c r="AX31" s="2"/>
      <x:c r="AY31" s="2"/>
      <x:c r="AZ31" s="2"/>
      <x:c r="BA31" s="2"/>
      <x:c r="BB31" s="2"/>
      <x:c r="BC31" s="2"/>
      <x:c r="BD31" s="2"/>
      <x:c r="BE31" s="2"/>
      <x:c r="BF31" s="2"/>
      <x:c r="BG31" s="2"/>
      <x:c r="BH31" s="2"/>
      <x:c r="BI31" s="2"/>
      <x:c r="BJ31" s="2"/>
      <x:c r="BK31" s="2"/>
      <x:c r="BL31" s="2"/>
      <x:c r="BM31" s="2"/>
      <x:c r="BN31" s="2"/>
      <x:c r="BO31" s="2"/>
      <x:c r="BP31" s="2"/>
      <x:c r="BQ31" s="2"/>
      <x:c r="BR31" s="2"/>
      <x:c r="BS31" s="2"/>
      <x:c r="BT31" s="2"/>
      <x:c r="BU31" s="2"/>
      <x:c r="BV31" s="2"/>
      <x:c r="BW31" s="2"/>
      <x:c r="BX31" s="2"/>
      <x:c r="BY31" s="2"/>
      <x:c r="BZ31" s="2"/>
      <x:c r="CA31" s="2"/>
      <x:c r="CB31" s="2"/>
      <x:c r="CC31" s="2"/>
      <x:c r="CD31" s="2"/>
      <x:c r="CE31" s="2"/>
      <x:c r="CF31" s="2"/>
      <x:c r="CG31" s="2"/>
      <x:c r="CH31" s="2"/>
      <x:c r="CI31" s="2"/>
      <x:c r="CJ31" s="2"/>
      <x:c r="CK31" s="2"/>
      <x:c r="CL31" s="2"/>
      <x:c r="CM31" s="2"/>
      <x:c r="CN31" s="2"/>
      <x:c r="CO31" s="2"/>
      <x:c r="CP31" s="2"/>
      <x:c r="CQ31" s="2"/>
      <x:c r="CR31" s="2"/>
      <x:c r="CS31" s="2"/>
      <x:c r="CT31" s="2"/>
      <x:c r="CU31" s="2"/>
      <x:c r="CV31" s="2"/>
      <x:c r="CW31" s="2"/>
      <x:c r="CX31" s="2"/>
      <x:c r="CY31" s="2"/>
      <x:c r="CZ31" s="2"/>
      <x:c r="DA31" s="2"/>
      <x:c r="DB31" s="2"/>
      <x:c r="DC31" s="2"/>
      <x:c r="DD31" s="2"/>
      <x:c r="DE31" s="2"/>
      <x:c r="DF31" s="2"/>
      <x:c r="DG31" s="2"/>
      <x:c r="DH31" s="2"/>
      <x:c r="DI31" s="2"/>
      <x:c r="DJ31" s="2"/>
      <x:c r="DK31" s="2"/>
      <x:c r="DL31" s="2"/>
      <x:c r="DM31" s="2"/>
      <x:c r="DN31" s="2"/>
      <x:c r="DO31" s="2"/>
      <x:c r="DP31" s="2"/>
      <x:c r="DQ31" s="2"/>
      <x:c r="DR31" s="2"/>
      <x:c r="DS31" s="2"/>
      <x:c r="DT31" s="2"/>
      <x:c r="DU31" s="2"/>
      <x:c r="DV31" s="2"/>
      <x:c r="DW31" s="2"/>
      <x:c r="DX31" s="2"/>
      <x:c r="DY31" s="2"/>
      <x:c r="DZ31" s="2"/>
      <x:c r="EA31" s="2"/>
      <x:c r="EB31" s="2"/>
      <x:c r="EC31" s="2"/>
      <x:c r="ED31" s="2"/>
      <x:c r="EE31" s="2"/>
      <x:c r="EF31" s="2"/>
      <x:c r="EG31" s="2"/>
      <x:c r="EH31" s="2"/>
      <x:c r="EI31" s="2"/>
      <x:c r="EJ31" s="2"/>
      <x:c r="EK31" s="2"/>
      <x:c r="EL31" s="2"/>
      <x:c r="EM31" s="2"/>
      <x:c r="EN31" s="2"/>
      <x:c r="EO31" s="2"/>
      <x:c r="EP31" s="2"/>
      <x:c r="EQ31" s="2"/>
      <x:c r="ER31" s="2"/>
      <x:c r="ES31" s="2"/>
      <x:c r="ET31" s="2"/>
      <x:c r="EU31" s="2"/>
      <x:c r="EV31" s="2"/>
      <x:c r="EW31" s="2"/>
      <x:c r="EX31" s="2"/>
      <x:c r="EY31" s="2"/>
      <x:c r="EZ31" s="2"/>
      <x:c r="FA31" s="2"/>
    </x:row>
    <x:row r="32" ht="135">
      <x:c r="A32" s="2" t="s">
        <x:v>75</x:v>
      </x:c>
      <x:c r="B32" s="2" t="s">
        <x:v>597</x:v>
      </x:c>
      <x:c r="C32" s="2" t="s">
        <x:v>3425</x:v>
      </x:c>
      <x:c r="D32" s="2" t="s">
        <x:v>598</x:v>
      </x:c>
      <x:c r="E32" s="2" t="s">
        <x:v>571</x:v>
      </x:c>
      <x:c r="F32" s="2" t="s">
        <x:v>169</x:v>
      </x:c>
      <x:c r="G32" s="2" t="s">
        <x:v>187</x:v>
      </x:c>
      <x:c r="H32" s="2" t="s">
        <x:v>1817</x:v>
      </x:c>
      <x:c r="I32" s="2" t="s">
        <x:v>1817</x:v>
      </x:c>
      <x:c r="J32" s="2" t="s">
        <x:v>571</x:v>
      </x:c>
      <x:c r="K32" s="2" t="s">
        <x:v>571</x:v>
      </x:c>
      <x:c r="L32" s="2" t="s">
        <x:v>171</x:v>
      </x:c>
      <x:c r="M32" s="2" t="s">
        <x:v>172</x:v>
      </x:c>
      <x:c r="N32" s="2" t="s">
        <x:v>172</x:v>
      </x:c>
      <x:c r="O32" s="2" t="s">
        <x:v>172</x:v>
      </x:c>
      <x:c r="P32" s="2" t="s">
        <x:v>172</x:v>
      </x:c>
      <x:c r="Q32" s="2" t="s">
        <x:v>171</x:v>
      </x:c>
      <x:c r="R32" s="2" t="s">
        <x:v>172</x:v>
      </x:c>
      <x:c r="S32" s="2" t="s">
        <x:v>3426</x:v>
      </x:c>
      <x:c r="T32" s="2" t="s">
        <x:v>3463</x:v>
      </x:c>
      <x:c r="U32" s="2" t="s">
        <x:v>1830</x:v>
      </x:c>
      <x:c r="V32" s="2" t="s">
        <x:v>172</x:v>
      </x:c>
      <x:c r="W32" s="2" t="s">
        <x:v>2146</x:v>
      </x:c>
      <x:c r="X32" s="2" t="s">
        <x:v>2145</x:v>
      </x:c>
      <x:c r="Y32" s="2">
        <x:v>7</x:v>
      </x:c>
      <x:c r="Z32" s="2" t="s">
        <x:v>3487</x:v>
      </x:c>
      <x:c r="AA32" s="2"/>
      <x:c r="AB32" s="2"/>
      <x:c r="AC32" s="2"/>
      <x:c r="AD32" s="2"/>
      <x:c r="AE32" s="2"/>
      <x:c r="AF32" s="2"/>
      <x:c r="AG32" s="2"/>
      <x:c r="AH32" s="2"/>
      <x:c r="AI32" s="2"/>
      <x:c r="AJ32" s="2"/>
      <x:c r="AK32" s="2"/>
      <x:c r="AL32" s="2"/>
      <x:c r="AM32" s="2"/>
      <x:c r="AN32" s="2"/>
      <x:c r="AO32" s="2"/>
      <x:c r="AP32" s="2"/>
      <x:c r="AQ32" s="2"/>
      <x:c r="AR32" s="2"/>
      <x:c r="AS32" s="2"/>
      <x:c r="AT32" s="2"/>
      <x:c r="AU32" s="2"/>
      <x:c r="AV32" s="2"/>
      <x:c r="AW32" s="2"/>
      <x:c r="AX32" s="2"/>
      <x:c r="AY32" s="2"/>
      <x:c r="AZ32" s="2"/>
      <x:c r="BA32" s="2"/>
      <x:c r="BB32" s="2"/>
      <x:c r="BC32" s="2"/>
      <x:c r="BD32" s="2"/>
      <x:c r="BE32" s="2"/>
      <x:c r="BF32" s="2"/>
      <x:c r="BG32" s="2"/>
      <x:c r="BH32" s="2"/>
      <x:c r="BI32" s="2"/>
      <x:c r="BJ32" s="2"/>
      <x:c r="BK32" s="2"/>
      <x:c r="BL32" s="2"/>
      <x:c r="BM32" s="2"/>
      <x:c r="BN32" s="2"/>
      <x:c r="BO32" s="2"/>
      <x:c r="BP32" s="2"/>
      <x:c r="BQ32" s="2"/>
      <x:c r="BR32" s="2"/>
      <x:c r="BS32" s="2"/>
      <x:c r="BT32" s="2"/>
      <x:c r="BU32" s="2"/>
      <x:c r="BV32" s="2"/>
      <x:c r="BW32" s="2"/>
      <x:c r="BX32" s="2"/>
      <x:c r="BY32" s="2"/>
      <x:c r="BZ32" s="2"/>
      <x:c r="CA32" s="2"/>
      <x:c r="CB32" s="2"/>
      <x:c r="CC32" s="2"/>
      <x:c r="CD32" s="2"/>
      <x:c r="CE32" s="2"/>
      <x:c r="CF32" s="2"/>
      <x:c r="CG32" s="2"/>
      <x:c r="CH32" s="2"/>
      <x:c r="CI32" s="2"/>
      <x:c r="CJ32" s="2"/>
      <x:c r="CK32" s="2"/>
      <x:c r="CL32" s="2"/>
      <x:c r="CM32" s="2"/>
      <x:c r="CN32" s="2"/>
      <x:c r="CO32" s="2"/>
      <x:c r="CP32" s="2"/>
      <x:c r="CQ32" s="2"/>
      <x:c r="CR32" s="2"/>
      <x:c r="CS32" s="2"/>
      <x:c r="CT32" s="2"/>
      <x:c r="CU32" s="2"/>
      <x:c r="CV32" s="2"/>
      <x:c r="CW32" s="2"/>
      <x:c r="CX32" s="2"/>
      <x:c r="CY32" s="2"/>
      <x:c r="CZ32" s="2"/>
      <x:c r="DA32" s="2"/>
      <x:c r="DB32" s="2"/>
      <x:c r="DC32" s="2"/>
      <x:c r="DD32" s="2"/>
      <x:c r="DE32" s="2"/>
      <x:c r="DF32" s="2"/>
      <x:c r="DG32" s="2"/>
      <x:c r="DH32" s="2"/>
      <x:c r="DI32" s="2"/>
      <x:c r="DJ32" s="2"/>
      <x:c r="DK32" s="2"/>
      <x:c r="DL32" s="2"/>
      <x:c r="DM32" s="2"/>
      <x:c r="DN32" s="2"/>
      <x:c r="DO32" s="2"/>
      <x:c r="DP32" s="2"/>
      <x:c r="DQ32" s="2"/>
      <x:c r="DR32" s="2"/>
      <x:c r="DS32" s="2"/>
      <x:c r="DT32" s="2"/>
      <x:c r="DU32" s="2"/>
      <x:c r="DV32" s="2"/>
      <x:c r="DW32" s="2"/>
      <x:c r="DX32" s="2"/>
      <x:c r="DY32" s="2"/>
      <x:c r="DZ32" s="2"/>
      <x:c r="EA32" s="2"/>
      <x:c r="EB32" s="2"/>
      <x:c r="EC32" s="2"/>
      <x:c r="ED32" s="2"/>
      <x:c r="EE32" s="2"/>
      <x:c r="EF32" s="2"/>
      <x:c r="EG32" s="2"/>
      <x:c r="EH32" s="2"/>
      <x:c r="EI32" s="2"/>
      <x:c r="EJ32" s="2"/>
      <x:c r="EK32" s="2"/>
      <x:c r="EL32" s="2"/>
      <x:c r="EM32" s="2"/>
      <x:c r="EN32" s="2"/>
      <x:c r="EO32" s="2"/>
      <x:c r="EP32" s="2"/>
      <x:c r="EQ32" s="2"/>
      <x:c r="ER32" s="2"/>
      <x:c r="ES32" s="2"/>
      <x:c r="ET32" s="2"/>
      <x:c r="EU32" s="2"/>
      <x:c r="EV32" s="2"/>
      <x:c r="EW32" s="2"/>
      <x:c r="EX32" s="2"/>
      <x:c r="EY32" s="2"/>
      <x:c r="EZ32" s="2"/>
      <x:c r="FA32" s="2"/>
    </x:row>
    <x:row r="33" ht="135">
      <x:c r="A33" s="2" t="s">
        <x:v>75</x:v>
      </x:c>
      <x:c r="B33" s="2" t="s">
        <x:v>606</x:v>
      </x:c>
      <x:c r="C33" s="2" t="s">
        <x:v>3425</x:v>
      </x:c>
      <x:c r="D33" s="2" t="s">
        <x:v>607</x:v>
      </x:c>
      <x:c r="E33" s="2" t="s">
        <x:v>571</x:v>
      </x:c>
      <x:c r="F33" s="2" t="s">
        <x:v>169</x:v>
      </x:c>
      <x:c r="G33" s="2" t="s">
        <x:v>187</x:v>
      </x:c>
      <x:c r="H33" s="2" t="s">
        <x:v>1817</x:v>
      </x:c>
      <x:c r="I33" s="2" t="s">
        <x:v>1817</x:v>
      </x:c>
      <x:c r="J33" s="2" t="s">
        <x:v>571</x:v>
      </x:c>
      <x:c r="K33" s="2" t="s">
        <x:v>571</x:v>
      </x:c>
      <x:c r="L33" s="2" t="s">
        <x:v>171</x:v>
      </x:c>
      <x:c r="M33" s="2" t="s">
        <x:v>172</x:v>
      </x:c>
      <x:c r="N33" s="2" t="s">
        <x:v>172</x:v>
      </x:c>
      <x:c r="O33" s="2" t="s">
        <x:v>172</x:v>
      </x:c>
      <x:c r="P33" s="2" t="s">
        <x:v>172</x:v>
      </x:c>
      <x:c r="Q33" s="2" t="s">
        <x:v>171</x:v>
      </x:c>
      <x:c r="R33" s="2" t="s">
        <x:v>172</x:v>
      </x:c>
      <x:c r="S33" s="2" t="s">
        <x:v>3426</x:v>
      </x:c>
      <x:c r="T33" s="2" t="s">
        <x:v>3463</x:v>
      </x:c>
      <x:c r="U33" s="2" t="s">
        <x:v>1830</x:v>
      </x:c>
      <x:c r="V33" s="2" t="s">
        <x:v>171</x:v>
      </x:c>
      <x:c r="W33" s="2" t="s">
        <x:v>2162</x:v>
      </x:c>
      <x:c r="X33" s="2" t="s">
        <x:v>2161</x:v>
      </x:c>
      <x:c r="Y33" s="2">
        <x:v>8</x:v>
      </x:c>
      <x:c r="Z33" s="2" t="s">
        <x:v>3488</x:v>
      </x:c>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c r="AY33" s="2"/>
      <x:c r="AZ33" s="2"/>
      <x:c r="BA33" s="2"/>
      <x:c r="BB33" s="2"/>
      <x:c r="BC33" s="2"/>
      <x:c r="BD33" s="2"/>
      <x:c r="BE33" s="2"/>
      <x:c r="BF33" s="2"/>
      <x:c r="BG33" s="2"/>
      <x:c r="BH33" s="2"/>
      <x:c r="BI33" s="2"/>
      <x:c r="BJ33" s="2"/>
      <x:c r="BK33" s="2"/>
      <x:c r="BL33" s="2"/>
      <x:c r="BM33" s="2"/>
      <x:c r="BN33" s="2"/>
      <x:c r="BO33" s="2"/>
      <x:c r="BP33" s="2"/>
      <x:c r="BQ33" s="2"/>
      <x:c r="BR33" s="2"/>
      <x:c r="BS33" s="2"/>
      <x:c r="BT33" s="2"/>
      <x:c r="BU33" s="2"/>
      <x:c r="BV33" s="2"/>
      <x:c r="BW33" s="2"/>
      <x:c r="BX33" s="2"/>
      <x:c r="BY33" s="2"/>
      <x:c r="BZ33" s="2"/>
      <x:c r="CA33" s="2"/>
      <x:c r="CB33" s="2"/>
      <x:c r="CC33" s="2"/>
      <x:c r="CD33" s="2"/>
      <x:c r="CE33" s="2"/>
      <x:c r="CF33" s="2"/>
      <x:c r="CG33" s="2"/>
      <x:c r="CH33" s="2"/>
      <x:c r="CI33" s="2"/>
      <x:c r="CJ33" s="2"/>
      <x:c r="CK33" s="2"/>
      <x:c r="CL33" s="2"/>
      <x:c r="CM33" s="2"/>
      <x:c r="CN33" s="2"/>
      <x:c r="CO33" s="2"/>
      <x:c r="CP33" s="2"/>
      <x:c r="CQ33" s="2"/>
      <x:c r="CR33" s="2"/>
      <x:c r="CS33" s="2"/>
      <x:c r="CT33" s="2"/>
      <x:c r="CU33" s="2"/>
      <x:c r="CV33" s="2"/>
      <x:c r="CW33" s="2"/>
      <x:c r="CX33" s="2"/>
      <x:c r="CY33" s="2"/>
      <x:c r="CZ33" s="2"/>
      <x:c r="DA33" s="2"/>
      <x:c r="DB33" s="2"/>
      <x:c r="DC33" s="2"/>
      <x:c r="DD33" s="2"/>
      <x:c r="DE33" s="2"/>
      <x:c r="DF33" s="2"/>
      <x:c r="DG33" s="2"/>
      <x:c r="DH33" s="2"/>
      <x:c r="DI33" s="2"/>
      <x:c r="DJ33" s="2"/>
      <x:c r="DK33" s="2"/>
      <x:c r="DL33" s="2"/>
      <x:c r="DM33" s="2"/>
      <x:c r="DN33" s="2"/>
      <x:c r="DO33" s="2"/>
      <x:c r="DP33" s="2"/>
      <x:c r="DQ33" s="2"/>
      <x:c r="DR33" s="2"/>
      <x:c r="DS33" s="2"/>
      <x:c r="DT33" s="2"/>
      <x:c r="DU33" s="2"/>
      <x:c r="DV33" s="2"/>
      <x:c r="DW33" s="2"/>
      <x:c r="DX33" s="2"/>
      <x:c r="DY33" s="2"/>
      <x:c r="DZ33" s="2"/>
      <x:c r="EA33" s="2"/>
      <x:c r="EB33" s="2"/>
      <x:c r="EC33" s="2"/>
      <x:c r="ED33" s="2"/>
      <x:c r="EE33" s="2"/>
      <x:c r="EF33" s="2"/>
      <x:c r="EG33" s="2"/>
      <x:c r="EH33" s="2"/>
      <x:c r="EI33" s="2"/>
      <x:c r="EJ33" s="2"/>
      <x:c r="EK33" s="2"/>
      <x:c r="EL33" s="2"/>
      <x:c r="EM33" s="2"/>
      <x:c r="EN33" s="2"/>
      <x:c r="EO33" s="2"/>
      <x:c r="EP33" s="2"/>
      <x:c r="EQ33" s="2"/>
      <x:c r="ER33" s="2"/>
      <x:c r="ES33" s="2"/>
      <x:c r="ET33" s="2"/>
      <x:c r="EU33" s="2"/>
      <x:c r="EV33" s="2"/>
      <x:c r="EW33" s="2"/>
      <x:c r="EX33" s="2"/>
      <x:c r="EY33" s="2"/>
      <x:c r="EZ33" s="2"/>
      <x:c r="FA33" s="2"/>
    </x:row>
    <x:row r="34" ht="135">
      <x:c r="A34" s="2" t="s">
        <x:v>75</x:v>
      </x:c>
      <x:c r="B34" s="2" t="s">
        <x:v>612</x:v>
      </x:c>
      <x:c r="C34" s="2" t="s">
        <x:v>3425</x:v>
      </x:c>
      <x:c r="D34" s="2" t="s">
        <x:v>613</x:v>
      </x:c>
      <x:c r="E34" s="2" t="s">
        <x:v>571</x:v>
      </x:c>
      <x:c r="F34" s="2" t="s">
        <x:v>169</x:v>
      </x:c>
      <x:c r="G34" s="2" t="s">
        <x:v>236</x:v>
      </x:c>
      <x:c r="H34" s="2" t="s">
        <x:v>1817</x:v>
      </x:c>
      <x:c r="I34" s="2" t="s">
        <x:v>1817</x:v>
      </x:c>
      <x:c r="J34" s="2" t="s">
        <x:v>571</x:v>
      </x:c>
      <x:c r="K34" s="2" t="s">
        <x:v>571</x:v>
      </x:c>
      <x:c r="L34" s="2" t="s">
        <x:v>172</x:v>
      </x:c>
      <x:c r="M34" s="2" t="s">
        <x:v>171</x:v>
      </x:c>
      <x:c r="N34" s="2" t="s">
        <x:v>172</x:v>
      </x:c>
      <x:c r="O34" s="2" t="s">
        <x:v>172</x:v>
      </x:c>
      <x:c r="P34" s="2" t="s">
        <x:v>172</x:v>
      </x:c>
      <x:c r="Q34" s="2" t="s">
        <x:v>171</x:v>
      </x:c>
      <x:c r="R34" s="2" t="s">
        <x:v>172</x:v>
      </x:c>
      <x:c r="S34" s="2" t="s">
        <x:v>3426</x:v>
      </x:c>
      <x:c r="T34" s="2" t="s">
        <x:v>3462</x:v>
      </x:c>
      <x:c r="U34" s="2" t="s">
        <x:v>1830</x:v>
      </x:c>
      <x:c r="V34" s="2" t="s">
        <x:v>172</x:v>
      </x:c>
      <x:c r="W34" s="2" t="s">
        <x:v>2166</x:v>
      </x:c>
      <x:c r="X34" s="2" t="s">
        <x:v>2165</x:v>
      </x:c>
      <x:c r="Y34" s="2">
        <x:v>9</x:v>
      </x:c>
      <x:c r="Z34" s="2" t="s">
        <x:v>3489</x:v>
      </x:c>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c r="AY34" s="2"/>
      <x:c r="AZ34" s="2"/>
      <x:c r="BA34" s="2"/>
      <x:c r="BB34" s="2"/>
      <x:c r="BC34" s="2"/>
      <x:c r="BD34" s="2"/>
      <x:c r="BE34" s="2"/>
      <x:c r="BF34" s="2"/>
      <x:c r="BG34" s="2"/>
      <x:c r="BH34" s="2"/>
      <x:c r="BI34" s="2"/>
      <x:c r="BJ34" s="2"/>
      <x:c r="BK34" s="2"/>
      <x:c r="BL34" s="2"/>
      <x:c r="BM34" s="2"/>
      <x:c r="BN34" s="2"/>
      <x:c r="BO34" s="2"/>
      <x:c r="BP34" s="2"/>
      <x:c r="BQ34" s="2"/>
      <x:c r="BR34" s="2"/>
      <x:c r="BS34" s="2"/>
      <x:c r="BT34" s="2"/>
      <x:c r="BU34" s="2"/>
      <x:c r="BV34" s="2"/>
      <x:c r="BW34" s="2"/>
      <x:c r="BX34" s="2"/>
      <x:c r="BY34" s="2"/>
      <x:c r="BZ34" s="2"/>
      <x:c r="CA34" s="2"/>
      <x:c r="CB34" s="2"/>
      <x:c r="CC34" s="2"/>
      <x:c r="CD34" s="2"/>
      <x:c r="CE34" s="2"/>
      <x:c r="CF34" s="2"/>
      <x:c r="CG34" s="2"/>
      <x:c r="CH34" s="2"/>
      <x:c r="CI34" s="2"/>
      <x:c r="CJ34" s="2"/>
      <x:c r="CK34" s="2"/>
      <x:c r="CL34" s="2"/>
      <x:c r="CM34" s="2"/>
      <x:c r="CN34" s="2"/>
      <x:c r="CO34" s="2"/>
      <x:c r="CP34" s="2"/>
      <x:c r="CQ34" s="2"/>
      <x:c r="CR34" s="2"/>
      <x:c r="CS34" s="2"/>
      <x:c r="CT34" s="2"/>
      <x:c r="CU34" s="2"/>
      <x:c r="CV34" s="2"/>
      <x:c r="CW34" s="2"/>
      <x:c r="CX34" s="2"/>
      <x:c r="CY34" s="2"/>
      <x:c r="CZ34" s="2"/>
      <x:c r="DA34" s="2"/>
      <x:c r="DB34" s="2"/>
      <x:c r="DC34" s="2"/>
      <x:c r="DD34" s="2"/>
      <x:c r="DE34" s="2"/>
      <x:c r="DF34" s="2"/>
      <x:c r="DG34" s="2"/>
      <x:c r="DH34" s="2"/>
      <x:c r="DI34" s="2"/>
      <x:c r="DJ34" s="2"/>
      <x:c r="DK34" s="2"/>
      <x:c r="DL34" s="2"/>
      <x:c r="DM34" s="2"/>
      <x:c r="DN34" s="2"/>
      <x:c r="DO34" s="2"/>
      <x:c r="DP34" s="2"/>
      <x:c r="DQ34" s="2"/>
      <x:c r="DR34" s="2"/>
      <x:c r="DS34" s="2"/>
      <x:c r="DT34" s="2"/>
      <x:c r="DU34" s="2"/>
      <x:c r="DV34" s="2"/>
      <x:c r="DW34" s="2"/>
      <x:c r="DX34" s="2"/>
      <x:c r="DY34" s="2"/>
      <x:c r="DZ34" s="2"/>
      <x:c r="EA34" s="2"/>
      <x:c r="EB34" s="2"/>
      <x:c r="EC34" s="2"/>
      <x:c r="ED34" s="2"/>
      <x:c r="EE34" s="2"/>
      <x:c r="EF34" s="2"/>
      <x:c r="EG34" s="2"/>
      <x:c r="EH34" s="2"/>
      <x:c r="EI34" s="2"/>
      <x:c r="EJ34" s="2"/>
      <x:c r="EK34" s="2"/>
      <x:c r="EL34" s="2"/>
      <x:c r="EM34" s="2"/>
      <x:c r="EN34" s="2"/>
      <x:c r="EO34" s="2"/>
      <x:c r="EP34" s="2"/>
      <x:c r="EQ34" s="2"/>
      <x:c r="ER34" s="2"/>
      <x:c r="ES34" s="2"/>
      <x:c r="ET34" s="2"/>
      <x:c r="EU34" s="2"/>
      <x:c r="EV34" s="2"/>
      <x:c r="EW34" s="2"/>
      <x:c r="EX34" s="2"/>
      <x:c r="EY34" s="2"/>
      <x:c r="EZ34" s="2"/>
      <x:c r="FA34" s="2"/>
    </x:row>
    <x:row r="35" ht="135">
      <x:c r="A35" s="2" t="s">
        <x:v>76</x:v>
      </x:c>
      <x:c r="B35" s="2" t="s">
        <x:v>640</x:v>
      </x:c>
      <x:c r="C35" s="2" t="s">
        <x:v>3425</x:v>
      </x:c>
      <x:c r="D35" s="2" t="s">
        <x:v>641</x:v>
      </x:c>
      <x:c r="E35" s="2" t="s">
        <x:v>314</x:v>
      </x:c>
      <x:c r="F35" s="2" t="s">
        <x:v>169</x:v>
      </x:c>
      <x:c r="G35" s="2" t="s">
        <x:v>187</x:v>
      </x:c>
      <x:c r="H35" s="2" t="s">
        <x:v>1817</x:v>
      </x:c>
      <x:c r="I35" s="2" t="s">
        <x:v>1817</x:v>
      </x:c>
      <x:c r="J35" s="2" t="s">
        <x:v>638</x:v>
      </x:c>
      <x:c r="K35" s="2" t="s">
        <x:v>638</x:v>
      </x:c>
      <x:c r="L35" s="2" t="s">
        <x:v>171</x:v>
      </x:c>
      <x:c r="M35" s="2" t="s">
        <x:v>172</x:v>
      </x:c>
      <x:c r="N35" s="2" t="s">
        <x:v>172</x:v>
      </x:c>
      <x:c r="O35" s="2" t="s">
        <x:v>172</x:v>
      </x:c>
      <x:c r="P35" s="2" t="s">
        <x:v>172</x:v>
      </x:c>
      <x:c r="Q35" s="2" t="s">
        <x:v>171</x:v>
      </x:c>
      <x:c r="R35" s="2" t="s">
        <x:v>172</x:v>
      </x:c>
      <x:c r="S35" s="2" t="s">
        <x:v>3426</x:v>
      </x:c>
      <x:c r="T35" s="2" t="s">
        <x:v>3466</x:v>
      </x:c>
      <x:c r="U35" s="2" t="s">
        <x:v>1848</x:v>
      </x:c>
      <x:c r="V35" s="2" t="s">
        <x:v>171</x:v>
      </x:c>
      <x:c r="W35" s="2" t="s">
        <x:v>2205</x:v>
      </x:c>
      <x:c r="X35" s="2" t="s">
        <x:v>2204</x:v>
      </x:c>
      <x:c r="Y35" s="2">
        <x:v>1</x:v>
      </x:c>
      <x:c r="Z35" s="2" t="s">
        <x:v>3283</x:v>
      </x:c>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c r="AY35" s="2"/>
      <x:c r="AZ35" s="2"/>
      <x:c r="BA35" s="2"/>
      <x:c r="BB35" s="2"/>
      <x:c r="BC35" s="2"/>
      <x:c r="BD35" s="2"/>
      <x:c r="BE35" s="2"/>
      <x:c r="BF35" s="2"/>
      <x:c r="BG35" s="2"/>
      <x:c r="BH35" s="2"/>
      <x:c r="BI35" s="2"/>
      <x:c r="BJ35" s="2"/>
      <x:c r="BK35" s="2"/>
      <x:c r="BL35" s="2"/>
      <x:c r="BM35" s="2"/>
      <x:c r="BN35" s="2"/>
      <x:c r="BO35" s="2"/>
      <x:c r="BP35" s="2"/>
      <x:c r="BQ35" s="2"/>
      <x:c r="BR35" s="2"/>
      <x:c r="BS35" s="2"/>
      <x:c r="BT35" s="2"/>
      <x:c r="BU35" s="2"/>
      <x:c r="BV35" s="2"/>
      <x:c r="BW35" s="2"/>
      <x:c r="BX35" s="2"/>
      <x:c r="BY35" s="2"/>
      <x:c r="BZ35" s="2"/>
      <x:c r="CA35" s="2"/>
      <x:c r="CB35" s="2"/>
      <x:c r="CC35" s="2"/>
      <x:c r="CD35" s="2"/>
      <x:c r="CE35" s="2"/>
      <x:c r="CF35" s="2"/>
      <x:c r="CG35" s="2"/>
      <x:c r="CH35" s="2"/>
      <x:c r="CI35" s="2"/>
      <x:c r="CJ35" s="2"/>
      <x:c r="CK35" s="2"/>
      <x:c r="CL35" s="2"/>
      <x:c r="CM35" s="2"/>
      <x:c r="CN35" s="2"/>
      <x:c r="CO35" s="2"/>
      <x:c r="CP35" s="2"/>
      <x:c r="CQ35" s="2"/>
      <x:c r="CR35" s="2"/>
      <x:c r="CS35" s="2"/>
      <x:c r="CT35" s="2"/>
      <x:c r="CU35" s="2"/>
      <x:c r="CV35" s="2"/>
      <x:c r="CW35" s="2"/>
      <x:c r="CX35" s="2"/>
      <x:c r="CY35" s="2"/>
      <x:c r="CZ35" s="2"/>
      <x:c r="DA35" s="2"/>
      <x:c r="DB35" s="2"/>
      <x:c r="DC35" s="2"/>
      <x:c r="DD35" s="2"/>
      <x:c r="DE35" s="2"/>
      <x:c r="DF35" s="2"/>
      <x:c r="DG35" s="2"/>
      <x:c r="DH35" s="2"/>
      <x:c r="DI35" s="2"/>
      <x:c r="DJ35" s="2"/>
      <x:c r="DK35" s="2"/>
      <x:c r="DL35" s="2"/>
      <x:c r="DM35" s="2"/>
      <x:c r="DN35" s="2"/>
      <x:c r="DO35" s="2"/>
      <x:c r="DP35" s="2"/>
      <x:c r="DQ35" s="2"/>
      <x:c r="DR35" s="2"/>
      <x:c r="DS35" s="2"/>
      <x:c r="DT35" s="2"/>
      <x:c r="DU35" s="2"/>
      <x:c r="DV35" s="2"/>
      <x:c r="DW35" s="2"/>
      <x:c r="DX35" s="2"/>
      <x:c r="DY35" s="2"/>
      <x:c r="DZ35" s="2"/>
      <x:c r="EA35" s="2"/>
      <x:c r="EB35" s="2"/>
      <x:c r="EC35" s="2"/>
      <x:c r="ED35" s="2"/>
      <x:c r="EE35" s="2"/>
      <x:c r="EF35" s="2"/>
      <x:c r="EG35" s="2"/>
      <x:c r="EH35" s="2"/>
      <x:c r="EI35" s="2"/>
      <x:c r="EJ35" s="2"/>
      <x:c r="EK35" s="2"/>
      <x:c r="EL35" s="2"/>
      <x:c r="EM35" s="2"/>
      <x:c r="EN35" s="2"/>
      <x:c r="EO35" s="2"/>
      <x:c r="EP35" s="2"/>
      <x:c r="EQ35" s="2"/>
      <x:c r="ER35" s="2"/>
      <x:c r="ES35" s="2"/>
      <x:c r="ET35" s="2"/>
      <x:c r="EU35" s="2"/>
      <x:c r="EV35" s="2"/>
      <x:c r="EW35" s="2"/>
      <x:c r="EX35" s="2"/>
      <x:c r="EY35" s="2"/>
      <x:c r="EZ35" s="2"/>
      <x:c r="FA35" s="2"/>
    </x:row>
    <x:row r="36" ht="135">
      <x:c r="A36" s="2" t="s">
        <x:v>76</x:v>
      </x:c>
      <x:c r="B36" s="2" t="s">
        <x:v>651</x:v>
      </x:c>
      <x:c r="C36" s="2" t="s">
        <x:v>3425</x:v>
      </x:c>
      <x:c r="D36" s="2" t="s">
        <x:v>652</x:v>
      </x:c>
      <x:c r="E36" s="2" t="s">
        <x:v>638</x:v>
      </x:c>
      <x:c r="F36" s="2" t="s">
        <x:v>169</x:v>
      </x:c>
      <x:c r="G36" s="2" t="s">
        <x:v>187</x:v>
      </x:c>
      <x:c r="H36" s="2" t="s">
        <x:v>1817</x:v>
      </x:c>
      <x:c r="I36" s="2" t="s">
        <x:v>1817</x:v>
      </x:c>
      <x:c r="J36" s="2" t="s">
        <x:v>638</x:v>
      </x:c>
      <x:c r="K36" s="2" t="s">
        <x:v>638</x:v>
      </x:c>
      <x:c r="L36" s="2" t="s">
        <x:v>171</x:v>
      </x:c>
      <x:c r="M36" s="2" t="s">
        <x:v>172</x:v>
      </x:c>
      <x:c r="N36" s="2" t="s">
        <x:v>172</x:v>
      </x:c>
      <x:c r="O36" s="2" t="s">
        <x:v>172</x:v>
      </x:c>
      <x:c r="P36" s="2" t="s">
        <x:v>172</x:v>
      </x:c>
      <x:c r="Q36" s="2" t="s">
        <x:v>171</x:v>
      </x:c>
      <x:c r="R36" s="2" t="s">
        <x:v>172</x:v>
      </x:c>
      <x:c r="S36" s="2" t="s">
        <x:v>3426</x:v>
      </x:c>
      <x:c r="T36" s="2" t="s">
        <x:v>3466</x:v>
      </x:c>
      <x:c r="U36" s="2" t="s">
        <x:v>1848</x:v>
      </x:c>
      <x:c r="V36" s="2" t="s">
        <x:v>171</x:v>
      </x:c>
      <x:c r="W36" s="2" t="s">
        <x:v>2211</x:v>
      </x:c>
      <x:c r="X36" s="2" t="s">
        <x:v>2210</x:v>
      </x:c>
      <x:c r="Y36" s="2">
        <x:v>2</x:v>
      </x:c>
      <x:c r="Z36" s="2" t="s">
        <x:v>3286</x:v>
      </x:c>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c r="AY36" s="2"/>
      <x:c r="AZ36" s="2"/>
      <x:c r="BA36" s="2"/>
      <x:c r="BB36" s="2"/>
      <x:c r="BC36" s="2"/>
      <x:c r="BD36" s="2"/>
      <x:c r="BE36" s="2"/>
      <x:c r="BF36" s="2"/>
      <x:c r="BG36" s="2"/>
      <x:c r="BH36" s="2"/>
      <x:c r="BI36" s="2"/>
      <x:c r="BJ36" s="2"/>
      <x:c r="BK36" s="2"/>
      <x:c r="BL36" s="2"/>
      <x:c r="BM36" s="2"/>
      <x:c r="BN36" s="2"/>
      <x:c r="BO36" s="2"/>
      <x:c r="BP36" s="2"/>
      <x:c r="BQ36" s="2"/>
      <x:c r="BR36" s="2"/>
      <x:c r="BS36" s="2"/>
      <x:c r="BT36" s="2"/>
      <x:c r="BU36" s="2"/>
      <x:c r="BV36" s="2"/>
      <x:c r="BW36" s="2"/>
      <x:c r="BX36" s="2"/>
      <x:c r="BY36" s="2"/>
      <x:c r="BZ36" s="2"/>
      <x:c r="CA36" s="2"/>
      <x:c r="CB36" s="2"/>
      <x:c r="CC36" s="2"/>
      <x:c r="CD36" s="2"/>
      <x:c r="CE36" s="2"/>
      <x:c r="CF36" s="2"/>
      <x:c r="CG36" s="2"/>
      <x:c r="CH36" s="2"/>
      <x:c r="CI36" s="2"/>
      <x:c r="CJ36" s="2"/>
      <x:c r="CK36" s="2"/>
      <x:c r="CL36" s="2"/>
      <x:c r="CM36" s="2"/>
      <x:c r="CN36" s="2"/>
      <x:c r="CO36" s="2"/>
      <x:c r="CP36" s="2"/>
      <x:c r="CQ36" s="2"/>
      <x:c r="CR36" s="2"/>
      <x:c r="CS36" s="2"/>
      <x:c r="CT36" s="2"/>
      <x:c r="CU36" s="2"/>
      <x:c r="CV36" s="2"/>
      <x:c r="CW36" s="2"/>
      <x:c r="CX36" s="2"/>
      <x:c r="CY36" s="2"/>
      <x:c r="CZ36" s="2"/>
      <x:c r="DA36" s="2"/>
      <x:c r="DB36" s="2"/>
      <x:c r="DC36" s="2"/>
      <x:c r="DD36" s="2"/>
      <x:c r="DE36" s="2"/>
      <x:c r="DF36" s="2"/>
      <x:c r="DG36" s="2"/>
      <x:c r="DH36" s="2"/>
      <x:c r="DI36" s="2"/>
      <x:c r="DJ36" s="2"/>
      <x:c r="DK36" s="2"/>
      <x:c r="DL36" s="2"/>
      <x:c r="DM36" s="2"/>
      <x:c r="DN36" s="2"/>
      <x:c r="DO36" s="2"/>
      <x:c r="DP36" s="2"/>
      <x:c r="DQ36" s="2"/>
      <x:c r="DR36" s="2"/>
      <x:c r="DS36" s="2"/>
      <x:c r="DT36" s="2"/>
      <x:c r="DU36" s="2"/>
      <x:c r="DV36" s="2"/>
      <x:c r="DW36" s="2"/>
      <x:c r="DX36" s="2"/>
      <x:c r="DY36" s="2"/>
      <x:c r="DZ36" s="2"/>
      <x:c r="EA36" s="2"/>
      <x:c r="EB36" s="2"/>
      <x:c r="EC36" s="2"/>
      <x:c r="ED36" s="2"/>
      <x:c r="EE36" s="2"/>
      <x:c r="EF36" s="2"/>
      <x:c r="EG36" s="2"/>
      <x:c r="EH36" s="2"/>
      <x:c r="EI36" s="2"/>
      <x:c r="EJ36" s="2"/>
      <x:c r="EK36" s="2"/>
      <x:c r="EL36" s="2"/>
      <x:c r="EM36" s="2"/>
      <x:c r="EN36" s="2"/>
      <x:c r="EO36" s="2"/>
      <x:c r="EP36" s="2"/>
      <x:c r="EQ36" s="2"/>
      <x:c r="ER36" s="2"/>
      <x:c r="ES36" s="2"/>
      <x:c r="ET36" s="2"/>
      <x:c r="EU36" s="2"/>
      <x:c r="EV36" s="2"/>
      <x:c r="EW36" s="2"/>
      <x:c r="EX36" s="2"/>
      <x:c r="EY36" s="2"/>
      <x:c r="EZ36" s="2"/>
      <x:c r="FA36" s="2"/>
    </x:row>
    <x:row r="37" ht="135">
      <x:c r="A37" s="2" t="s">
        <x:v>76</x:v>
      </x:c>
      <x:c r="B37" s="2" t="s">
        <x:v>2213</x:v>
      </x:c>
      <x:c r="C37" s="2" t="s">
        <x:v>3425</x:v>
      </x:c>
      <x:c r="D37" s="2" t="s">
        <x:v>656</x:v>
      </x:c>
      <x:c r="E37" s="2" t="s">
        <x:v>657</x:v>
      </x:c>
      <x:c r="F37" s="2" t="s">
        <x:v>657</x:v>
      </x:c>
      <x:c r="G37" s="2" t="s">
        <x:v>168</x:v>
      </x:c>
      <x:c r="H37" s="2" t="s">
        <x:v>1817</x:v>
      </x:c>
      <x:c r="I37" s="2" t="s">
        <x:v>1817</x:v>
      </x:c>
      <x:c r="J37" s="2" t="s">
        <x:v>638</x:v>
      </x:c>
      <x:c r="K37" s="2" t="s">
        <x:v>657</x:v>
      </x:c>
      <x:c r="L37" s="2" t="s">
        <x:v>172</x:v>
      </x:c>
      <x:c r="M37" s="2" t="s">
        <x:v>172</x:v>
      </x:c>
      <x:c r="N37" s="2" t="s">
        <x:v>172</x:v>
      </x:c>
      <x:c r="O37" s="2" t="s">
        <x:v>171</x:v>
      </x:c>
      <x:c r="P37" s="2" t="s">
        <x:v>172</x:v>
      </x:c>
      <x:c r="Q37" s="2" t="s">
        <x:v>171</x:v>
      </x:c>
      <x:c r="R37" s="2" t="s">
        <x:v>172</x:v>
      </x:c>
      <x:c r="S37" s="2" t="s">
        <x:v>3426</x:v>
      </x:c>
      <x:c r="T37" s="2" t="s">
        <x:v>3468</x:v>
      </x:c>
      <x:c r="U37" s="2" t="s">
        <x:v>1820</x:v>
      </x:c>
      <x:c r="V37" s="2" t="s">
        <x:v>171</x:v>
      </x:c>
      <x:c r="W37" s="2" t="s">
        <x:v>2215</x:v>
      </x:c>
      <x:c r="X37" s="2" t="s">
        <x:v>1822</x:v>
      </x:c>
      <x:c r="Y37" s="2">
        <x:v>3</x:v>
      </x:c>
      <x:c r="Z37" s="2" t="s">
        <x:v>3490</x:v>
      </x:c>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c r="AY37" s="2"/>
      <x:c r="AZ37" s="2"/>
      <x:c r="BA37" s="2"/>
      <x:c r="BB37" s="2"/>
      <x:c r="BC37" s="2"/>
      <x:c r="BD37" s="2"/>
      <x:c r="BE37" s="2"/>
      <x:c r="BF37" s="2"/>
      <x:c r="BG37" s="2"/>
      <x:c r="BH37" s="2"/>
      <x:c r="BI37" s="2"/>
      <x:c r="BJ37" s="2"/>
      <x:c r="BK37" s="2"/>
      <x:c r="BL37" s="2"/>
      <x:c r="BM37" s="2"/>
      <x:c r="BN37" s="2"/>
      <x:c r="BO37" s="2"/>
      <x:c r="BP37" s="2"/>
      <x:c r="BQ37" s="2"/>
      <x:c r="BR37" s="2"/>
      <x:c r="BS37" s="2"/>
      <x:c r="BT37" s="2"/>
      <x:c r="BU37" s="2"/>
      <x:c r="BV37" s="2"/>
      <x:c r="BW37" s="2"/>
      <x:c r="BX37" s="2"/>
      <x:c r="BY37" s="2"/>
      <x:c r="BZ37" s="2"/>
      <x:c r="CA37" s="2"/>
      <x:c r="CB37" s="2"/>
      <x:c r="CC37" s="2"/>
      <x:c r="CD37" s="2"/>
      <x:c r="CE37" s="2"/>
      <x:c r="CF37" s="2"/>
      <x:c r="CG37" s="2"/>
      <x:c r="CH37" s="2"/>
      <x:c r="CI37" s="2"/>
      <x:c r="CJ37" s="2"/>
      <x:c r="CK37" s="2"/>
      <x:c r="CL37" s="2"/>
      <x:c r="CM37" s="2"/>
      <x:c r="CN37" s="2"/>
      <x:c r="CO37" s="2"/>
      <x:c r="CP37" s="2"/>
      <x:c r="CQ37" s="2"/>
      <x:c r="CR37" s="2"/>
      <x:c r="CS37" s="2"/>
      <x:c r="CT37" s="2"/>
      <x:c r="CU37" s="2"/>
      <x:c r="CV37" s="2"/>
      <x:c r="CW37" s="2"/>
      <x:c r="CX37" s="2"/>
      <x:c r="CY37" s="2"/>
      <x:c r="CZ37" s="2"/>
      <x:c r="DA37" s="2"/>
      <x:c r="DB37" s="2"/>
      <x:c r="DC37" s="2"/>
      <x:c r="DD37" s="2"/>
      <x:c r="DE37" s="2"/>
      <x:c r="DF37" s="2"/>
      <x:c r="DG37" s="2"/>
      <x:c r="DH37" s="2"/>
      <x:c r="DI37" s="2"/>
      <x:c r="DJ37" s="2"/>
      <x:c r="DK37" s="2"/>
      <x:c r="DL37" s="2"/>
      <x:c r="DM37" s="2"/>
      <x:c r="DN37" s="2"/>
      <x:c r="DO37" s="2"/>
      <x:c r="DP37" s="2"/>
      <x:c r="DQ37" s="2"/>
      <x:c r="DR37" s="2"/>
      <x:c r="DS37" s="2"/>
      <x:c r="DT37" s="2"/>
      <x:c r="DU37" s="2"/>
      <x:c r="DV37" s="2"/>
      <x:c r="DW37" s="2"/>
      <x:c r="DX37" s="2"/>
      <x:c r="DY37" s="2"/>
      <x:c r="DZ37" s="2"/>
      <x:c r="EA37" s="2"/>
      <x:c r="EB37" s="2"/>
      <x:c r="EC37" s="2"/>
      <x:c r="ED37" s="2"/>
      <x:c r="EE37" s="2"/>
      <x:c r="EF37" s="2"/>
      <x:c r="EG37" s="2"/>
      <x:c r="EH37" s="2"/>
      <x:c r="EI37" s="2"/>
      <x:c r="EJ37" s="2"/>
      <x:c r="EK37" s="2"/>
      <x:c r="EL37" s="2"/>
      <x:c r="EM37" s="2"/>
      <x:c r="EN37" s="2"/>
      <x:c r="EO37" s="2"/>
      <x:c r="EP37" s="2"/>
      <x:c r="EQ37" s="2"/>
      <x:c r="ER37" s="2"/>
      <x:c r="ES37" s="2"/>
      <x:c r="ET37" s="2"/>
      <x:c r="EU37" s="2"/>
      <x:c r="EV37" s="2"/>
      <x:c r="EW37" s="2"/>
      <x:c r="EX37" s="2"/>
      <x:c r="EY37" s="2"/>
      <x:c r="EZ37" s="2"/>
      <x:c r="FA37" s="2"/>
    </x:row>
    <x:row r="38" ht="135">
      <x:c r="A38" s="2" t="s">
        <x:v>76</x:v>
      </x:c>
      <x:c r="B38" s="2" t="s">
        <x:v>675</x:v>
      </x:c>
      <x:c r="C38" s="2" t="s">
        <x:v>3425</x:v>
      </x:c>
      <x:c r="D38" s="2" t="s">
        <x:v>676</x:v>
      </x:c>
      <x:c r="E38" s="2" t="s">
        <x:v>657</x:v>
      </x:c>
      <x:c r="F38" s="2" t="s">
        <x:v>169</x:v>
      </x:c>
      <x:c r="G38" s="2" t="s">
        <x:v>187</x:v>
      </x:c>
      <x:c r="H38" s="2" t="s">
        <x:v>1817</x:v>
      </x:c>
      <x:c r="I38" s="2" t="s">
        <x:v>1817</x:v>
      </x:c>
      <x:c r="J38" s="2" t="s">
        <x:v>657</x:v>
      </x:c>
      <x:c r="K38" s="2" t="s">
        <x:v>657</x:v>
      </x:c>
      <x:c r="L38" s="2" t="s">
        <x:v>171</x:v>
      </x:c>
      <x:c r="M38" s="2" t="s">
        <x:v>172</x:v>
      </x:c>
      <x:c r="N38" s="2" t="s">
        <x:v>172</x:v>
      </x:c>
      <x:c r="O38" s="2" t="s">
        <x:v>172</x:v>
      </x:c>
      <x:c r="P38" s="2" t="s">
        <x:v>172</x:v>
      </x:c>
      <x:c r="Q38" s="2" t="s">
        <x:v>171</x:v>
      </x:c>
      <x:c r="R38" s="2" t="s">
        <x:v>172</x:v>
      </x:c>
      <x:c r="S38" s="2" t="s">
        <x:v>3426</x:v>
      </x:c>
      <x:c r="T38" s="2" t="s">
        <x:v>3470</x:v>
      </x:c>
      <x:c r="U38" s="2" t="s">
        <x:v>1830</x:v>
      </x:c>
      <x:c r="V38" s="2" t="s">
        <x:v>171</x:v>
      </x:c>
      <x:c r="W38" s="2" t="s">
        <x:v>2227</x:v>
      </x:c>
      <x:c r="X38" s="2" t="s">
        <x:v>2226</x:v>
      </x:c>
      <x:c r="Y38" s="2">
        <x:v>4</x:v>
      </x:c>
      <x:c r="Z38" s="2" t="s">
        <x:v>3491</x:v>
      </x:c>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c r="AY38" s="2"/>
      <x:c r="AZ38" s="2"/>
      <x:c r="BA38" s="2"/>
      <x:c r="BB38" s="2"/>
      <x:c r="BC38" s="2"/>
      <x:c r="BD38" s="2"/>
      <x:c r="BE38" s="2"/>
      <x:c r="BF38" s="2"/>
      <x:c r="BG38" s="2"/>
      <x:c r="BH38" s="2"/>
      <x:c r="BI38" s="2"/>
      <x:c r="BJ38" s="2"/>
      <x:c r="BK38" s="2"/>
      <x:c r="BL38" s="2"/>
      <x:c r="BM38" s="2"/>
      <x:c r="BN38" s="2"/>
      <x:c r="BO38" s="2"/>
      <x:c r="BP38" s="2"/>
      <x:c r="BQ38" s="2"/>
      <x:c r="BR38" s="2"/>
      <x:c r="BS38" s="2"/>
      <x:c r="BT38" s="2"/>
      <x:c r="BU38" s="2"/>
      <x:c r="BV38" s="2"/>
      <x:c r="BW38" s="2"/>
      <x:c r="BX38" s="2"/>
      <x:c r="BY38" s="2"/>
      <x:c r="BZ38" s="2"/>
      <x:c r="CA38" s="2"/>
      <x:c r="CB38" s="2"/>
      <x:c r="CC38" s="2"/>
      <x:c r="CD38" s="2"/>
      <x:c r="CE38" s="2"/>
      <x:c r="CF38" s="2"/>
      <x:c r="CG38" s="2"/>
      <x:c r="CH38" s="2"/>
      <x:c r="CI38" s="2"/>
      <x:c r="CJ38" s="2"/>
      <x:c r="CK38" s="2"/>
      <x:c r="CL38" s="2"/>
      <x:c r="CM38" s="2"/>
      <x:c r="CN38" s="2"/>
      <x:c r="CO38" s="2"/>
      <x:c r="CP38" s="2"/>
      <x:c r="CQ38" s="2"/>
      <x:c r="CR38" s="2"/>
      <x:c r="CS38" s="2"/>
      <x:c r="CT38" s="2"/>
      <x:c r="CU38" s="2"/>
      <x:c r="CV38" s="2"/>
      <x:c r="CW38" s="2"/>
      <x:c r="CX38" s="2"/>
      <x:c r="CY38" s="2"/>
      <x:c r="CZ38" s="2"/>
      <x:c r="DA38" s="2"/>
      <x:c r="DB38" s="2"/>
      <x:c r="DC38" s="2"/>
      <x:c r="DD38" s="2"/>
      <x:c r="DE38" s="2"/>
      <x:c r="DF38" s="2"/>
      <x:c r="DG38" s="2"/>
      <x:c r="DH38" s="2"/>
      <x:c r="DI38" s="2"/>
      <x:c r="DJ38" s="2"/>
      <x:c r="DK38" s="2"/>
      <x:c r="DL38" s="2"/>
      <x:c r="DM38" s="2"/>
      <x:c r="DN38" s="2"/>
      <x:c r="DO38" s="2"/>
      <x:c r="DP38" s="2"/>
      <x:c r="DQ38" s="2"/>
      <x:c r="DR38" s="2"/>
      <x:c r="DS38" s="2"/>
      <x:c r="DT38" s="2"/>
      <x:c r="DU38" s="2"/>
      <x:c r="DV38" s="2"/>
      <x:c r="DW38" s="2"/>
      <x:c r="DX38" s="2"/>
      <x:c r="DY38" s="2"/>
      <x:c r="DZ38" s="2"/>
      <x:c r="EA38" s="2"/>
      <x:c r="EB38" s="2"/>
      <x:c r="EC38" s="2"/>
      <x:c r="ED38" s="2"/>
      <x:c r="EE38" s="2"/>
      <x:c r="EF38" s="2"/>
      <x:c r="EG38" s="2"/>
      <x:c r="EH38" s="2"/>
      <x:c r="EI38" s="2"/>
      <x:c r="EJ38" s="2"/>
      <x:c r="EK38" s="2"/>
      <x:c r="EL38" s="2"/>
      <x:c r="EM38" s="2"/>
      <x:c r="EN38" s="2"/>
      <x:c r="EO38" s="2"/>
      <x:c r="EP38" s="2"/>
      <x:c r="EQ38" s="2"/>
      <x:c r="ER38" s="2"/>
      <x:c r="ES38" s="2"/>
      <x:c r="ET38" s="2"/>
      <x:c r="EU38" s="2"/>
      <x:c r="EV38" s="2"/>
      <x:c r="EW38" s="2"/>
      <x:c r="EX38" s="2"/>
      <x:c r="EY38" s="2"/>
      <x:c r="EZ38" s="2"/>
      <x:c r="FA38" s="2"/>
    </x:row>
    <x:row r="39" ht="135">
      <x:c r="A39" s="2" t="s">
        <x:v>76</x:v>
      </x:c>
      <x:c r="B39" s="2" t="s">
        <x:v>684</x:v>
      </x:c>
      <x:c r="C39" s="2" t="s">
        <x:v>3425</x:v>
      </x:c>
      <x:c r="D39" s="2" t="s">
        <x:v>685</x:v>
      </x:c>
      <x:c r="E39" s="2" t="s">
        <x:v>657</x:v>
      </x:c>
      <x:c r="F39" s="2" t="s">
        <x:v>169</x:v>
      </x:c>
      <x:c r="G39" s="2" t="s">
        <x:v>236</x:v>
      </x:c>
      <x:c r="H39" s="2" t="s">
        <x:v>1817</x:v>
      </x:c>
      <x:c r="I39" s="2" t="s">
        <x:v>1817</x:v>
      </x:c>
      <x:c r="J39" s="2" t="s">
        <x:v>657</x:v>
      </x:c>
      <x:c r="K39" s="2" t="s">
        <x:v>657</x:v>
      </x:c>
      <x:c r="L39" s="2" t="s">
        <x:v>172</x:v>
      </x:c>
      <x:c r="M39" s="2" t="s">
        <x:v>171</x:v>
      </x:c>
      <x:c r="N39" s="2" t="s">
        <x:v>172</x:v>
      </x:c>
      <x:c r="O39" s="2" t="s">
        <x:v>172</x:v>
      </x:c>
      <x:c r="P39" s="2" t="s">
        <x:v>172</x:v>
      </x:c>
      <x:c r="Q39" s="2" t="s">
        <x:v>171</x:v>
      </x:c>
      <x:c r="R39" s="2" t="s">
        <x:v>172</x:v>
      </x:c>
      <x:c r="S39" s="2" t="s">
        <x:v>3426</x:v>
      </x:c>
      <x:c r="T39" s="2" t="s">
        <x:v>3471</x:v>
      </x:c>
      <x:c r="U39" s="2" t="s">
        <x:v>1830</x:v>
      </x:c>
      <x:c r="V39" s="2" t="s">
        <x:v>171</x:v>
      </x:c>
      <x:c r="W39" s="2" t="s">
        <x:v>2232</x:v>
      </x:c>
      <x:c r="X39" s="2" t="s">
        <x:v>2231</x:v>
      </x:c>
      <x:c r="Y39" s="2">
        <x:v>5</x:v>
      </x:c>
      <x:c r="Z39" s="2" t="s">
        <x:v>3492</x:v>
      </x:c>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c r="AY39" s="2"/>
      <x:c r="AZ39" s="2"/>
      <x:c r="BA39" s="2"/>
      <x:c r="BB39" s="2"/>
      <x:c r="BC39" s="2"/>
      <x:c r="BD39" s="2"/>
      <x:c r="BE39" s="2"/>
      <x:c r="BF39" s="2"/>
      <x:c r="BG39" s="2"/>
      <x:c r="BH39" s="2"/>
      <x:c r="BI39" s="2"/>
      <x:c r="BJ39" s="2"/>
      <x:c r="BK39" s="2"/>
      <x:c r="BL39" s="2"/>
      <x:c r="BM39" s="2"/>
      <x:c r="BN39" s="2"/>
      <x:c r="BO39" s="2"/>
      <x:c r="BP39" s="2"/>
      <x:c r="BQ39" s="2"/>
      <x:c r="BR39" s="2"/>
      <x:c r="BS39" s="2"/>
      <x:c r="BT39" s="2"/>
      <x:c r="BU39" s="2"/>
      <x:c r="BV39" s="2"/>
      <x:c r="BW39" s="2"/>
      <x:c r="BX39" s="2"/>
      <x:c r="BY39" s="2"/>
      <x:c r="BZ39" s="2"/>
      <x:c r="CA39" s="2"/>
      <x:c r="CB39" s="2"/>
      <x:c r="CC39" s="2"/>
      <x:c r="CD39" s="2"/>
      <x:c r="CE39" s="2"/>
      <x:c r="CF39" s="2"/>
      <x:c r="CG39" s="2"/>
      <x:c r="CH39" s="2"/>
      <x:c r="CI39" s="2"/>
      <x:c r="CJ39" s="2"/>
      <x:c r="CK39" s="2"/>
      <x:c r="CL39" s="2"/>
      <x:c r="CM39" s="2"/>
      <x:c r="CN39" s="2"/>
      <x:c r="CO39" s="2"/>
      <x:c r="CP39" s="2"/>
      <x:c r="CQ39" s="2"/>
      <x:c r="CR39" s="2"/>
      <x:c r="CS39" s="2"/>
      <x:c r="CT39" s="2"/>
      <x:c r="CU39" s="2"/>
      <x:c r="CV39" s="2"/>
      <x:c r="CW39" s="2"/>
      <x:c r="CX39" s="2"/>
      <x:c r="CY39" s="2"/>
      <x:c r="CZ39" s="2"/>
      <x:c r="DA39" s="2"/>
      <x:c r="DB39" s="2"/>
      <x:c r="DC39" s="2"/>
      <x:c r="DD39" s="2"/>
      <x:c r="DE39" s="2"/>
      <x:c r="DF39" s="2"/>
      <x:c r="DG39" s="2"/>
      <x:c r="DH39" s="2"/>
      <x:c r="DI39" s="2"/>
      <x:c r="DJ39" s="2"/>
      <x:c r="DK39" s="2"/>
      <x:c r="DL39" s="2"/>
      <x:c r="DM39" s="2"/>
      <x:c r="DN39" s="2"/>
      <x:c r="DO39" s="2"/>
      <x:c r="DP39" s="2"/>
      <x:c r="DQ39" s="2"/>
      <x:c r="DR39" s="2"/>
      <x:c r="DS39" s="2"/>
      <x:c r="DT39" s="2"/>
      <x:c r="DU39" s="2"/>
      <x:c r="DV39" s="2"/>
      <x:c r="DW39" s="2"/>
      <x:c r="DX39" s="2"/>
      <x:c r="DY39" s="2"/>
      <x:c r="DZ39" s="2"/>
      <x:c r="EA39" s="2"/>
      <x:c r="EB39" s="2"/>
      <x:c r="EC39" s="2"/>
      <x:c r="ED39" s="2"/>
      <x:c r="EE39" s="2"/>
      <x:c r="EF39" s="2"/>
      <x:c r="EG39" s="2"/>
      <x:c r="EH39" s="2"/>
      <x:c r="EI39" s="2"/>
      <x:c r="EJ39" s="2"/>
      <x:c r="EK39" s="2"/>
      <x:c r="EL39" s="2"/>
      <x:c r="EM39" s="2"/>
      <x:c r="EN39" s="2"/>
      <x:c r="EO39" s="2"/>
      <x:c r="EP39" s="2"/>
      <x:c r="EQ39" s="2"/>
      <x:c r="ER39" s="2"/>
      <x:c r="ES39" s="2"/>
      <x:c r="ET39" s="2"/>
      <x:c r="EU39" s="2"/>
      <x:c r="EV39" s="2"/>
      <x:c r="EW39" s="2"/>
      <x:c r="EX39" s="2"/>
      <x:c r="EY39" s="2"/>
      <x:c r="EZ39" s="2"/>
      <x:c r="FA39" s="2"/>
    </x:row>
    <x:row r="40" ht="135">
      <x:c r="A40" s="2" t="s">
        <x:v>76</x:v>
      </x:c>
      <x:c r="B40" s="2" t="s">
        <x:v>689</x:v>
      </x:c>
      <x:c r="C40" s="2" t="s">
        <x:v>3425</x:v>
      </x:c>
      <x:c r="D40" s="2" t="s">
        <x:v>690</x:v>
      </x:c>
      <x:c r="E40" s="2" t="s">
        <x:v>657</x:v>
      </x:c>
      <x:c r="F40" s="2" t="s">
        <x:v>169</x:v>
      </x:c>
      <x:c r="G40" s="2" t="s">
        <x:v>236</x:v>
      </x:c>
      <x:c r="H40" s="2" t="s">
        <x:v>1817</x:v>
      </x:c>
      <x:c r="I40" s="2" t="s">
        <x:v>1817</x:v>
      </x:c>
      <x:c r="J40" s="2" t="s">
        <x:v>657</x:v>
      </x:c>
      <x:c r="K40" s="2" t="s">
        <x:v>657</x:v>
      </x:c>
      <x:c r="L40" s="2" t="s">
        <x:v>172</x:v>
      </x:c>
      <x:c r="M40" s="2" t="s">
        <x:v>171</x:v>
      </x:c>
      <x:c r="N40" s="2" t="s">
        <x:v>172</x:v>
      </x:c>
      <x:c r="O40" s="2" t="s">
        <x:v>172</x:v>
      </x:c>
      <x:c r="P40" s="2" t="s">
        <x:v>172</x:v>
      </x:c>
      <x:c r="Q40" s="2" t="s">
        <x:v>171</x:v>
      </x:c>
      <x:c r="R40" s="2" t="s">
        <x:v>172</x:v>
      </x:c>
      <x:c r="S40" s="2" t="s">
        <x:v>3426</x:v>
      </x:c>
      <x:c r="T40" s="2" t="s">
        <x:v>3471</x:v>
      </x:c>
      <x:c r="U40" s="2" t="s">
        <x:v>1830</x:v>
      </x:c>
      <x:c r="V40" s="2" t="s">
        <x:v>172</x:v>
      </x:c>
      <x:c r="W40" s="2" t="s">
        <x:v>2236</x:v>
      </x:c>
      <x:c r="X40" s="2" t="s">
        <x:v>2235</x:v>
      </x:c>
      <x:c r="Y40" s="2">
        <x:v>6</x:v>
      </x:c>
      <x:c r="Z40" s="2" t="s">
        <x:v>3493</x:v>
      </x:c>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c r="AY40" s="2"/>
      <x:c r="AZ40" s="2"/>
      <x:c r="BA40" s="2"/>
      <x:c r="BB40" s="2"/>
      <x:c r="BC40" s="2"/>
      <x:c r="BD40" s="2"/>
      <x:c r="BE40" s="2"/>
      <x:c r="BF40" s="2"/>
      <x:c r="BG40" s="2"/>
      <x:c r="BH40" s="2"/>
      <x:c r="BI40" s="2"/>
      <x:c r="BJ40" s="2"/>
      <x:c r="BK40" s="2"/>
      <x:c r="BL40" s="2"/>
      <x:c r="BM40" s="2"/>
      <x:c r="BN40" s="2"/>
      <x:c r="BO40" s="2"/>
      <x:c r="BP40" s="2"/>
      <x:c r="BQ40" s="2"/>
      <x:c r="BR40" s="2"/>
      <x:c r="BS40" s="2"/>
      <x:c r="BT40" s="2"/>
      <x:c r="BU40" s="2"/>
      <x:c r="BV40" s="2"/>
      <x:c r="BW40" s="2"/>
      <x:c r="BX40" s="2"/>
      <x:c r="BY40" s="2"/>
      <x:c r="BZ40" s="2"/>
      <x:c r="CA40" s="2"/>
      <x:c r="CB40" s="2"/>
      <x:c r="CC40" s="2"/>
      <x:c r="CD40" s="2"/>
      <x:c r="CE40" s="2"/>
      <x:c r="CF40" s="2"/>
      <x:c r="CG40" s="2"/>
      <x:c r="CH40" s="2"/>
      <x:c r="CI40" s="2"/>
      <x:c r="CJ40" s="2"/>
      <x:c r="CK40" s="2"/>
      <x:c r="CL40" s="2"/>
      <x:c r="CM40" s="2"/>
      <x:c r="CN40" s="2"/>
      <x:c r="CO40" s="2"/>
      <x:c r="CP40" s="2"/>
      <x:c r="CQ40" s="2"/>
      <x:c r="CR40" s="2"/>
      <x:c r="CS40" s="2"/>
      <x:c r="CT40" s="2"/>
      <x:c r="CU40" s="2"/>
      <x:c r="CV40" s="2"/>
      <x:c r="CW40" s="2"/>
      <x:c r="CX40" s="2"/>
      <x:c r="CY40" s="2"/>
      <x:c r="CZ40" s="2"/>
      <x:c r="DA40" s="2"/>
      <x:c r="DB40" s="2"/>
      <x:c r="DC40" s="2"/>
      <x:c r="DD40" s="2"/>
      <x:c r="DE40" s="2"/>
      <x:c r="DF40" s="2"/>
      <x:c r="DG40" s="2"/>
      <x:c r="DH40" s="2"/>
      <x:c r="DI40" s="2"/>
      <x:c r="DJ40" s="2"/>
      <x:c r="DK40" s="2"/>
      <x:c r="DL40" s="2"/>
      <x:c r="DM40" s="2"/>
      <x:c r="DN40" s="2"/>
      <x:c r="DO40" s="2"/>
      <x:c r="DP40" s="2"/>
      <x:c r="DQ40" s="2"/>
      <x:c r="DR40" s="2"/>
      <x:c r="DS40" s="2"/>
      <x:c r="DT40" s="2"/>
      <x:c r="DU40" s="2"/>
      <x:c r="DV40" s="2"/>
      <x:c r="DW40" s="2"/>
      <x:c r="DX40" s="2"/>
      <x:c r="DY40" s="2"/>
      <x:c r="DZ40" s="2"/>
      <x:c r="EA40" s="2"/>
      <x:c r="EB40" s="2"/>
      <x:c r="EC40" s="2"/>
      <x:c r="ED40" s="2"/>
      <x:c r="EE40" s="2"/>
      <x:c r="EF40" s="2"/>
      <x:c r="EG40" s="2"/>
      <x:c r="EH40" s="2"/>
      <x:c r="EI40" s="2"/>
      <x:c r="EJ40" s="2"/>
      <x:c r="EK40" s="2"/>
      <x:c r="EL40" s="2"/>
      <x:c r="EM40" s="2"/>
      <x:c r="EN40" s="2"/>
      <x:c r="EO40" s="2"/>
      <x:c r="EP40" s="2"/>
      <x:c r="EQ40" s="2"/>
      <x:c r="ER40" s="2"/>
      <x:c r="ES40" s="2"/>
      <x:c r="ET40" s="2"/>
      <x:c r="EU40" s="2"/>
      <x:c r="EV40" s="2"/>
      <x:c r="EW40" s="2"/>
      <x:c r="EX40" s="2"/>
      <x:c r="EY40" s="2"/>
      <x:c r="EZ40" s="2"/>
      <x:c r="FA40" s="2"/>
    </x:row>
    <x:row r="41" ht="135">
      <x:c r="A41" s="2" t="s">
        <x:v>76</x:v>
      </x:c>
      <x:c r="B41" s="2" t="s">
        <x:v>2234</x:v>
      </x:c>
      <x:c r="C41" s="2" t="s">
        <x:v>3425</x:v>
      </x:c>
      <x:c r="D41" s="2" t="s">
        <x:v>693</x:v>
      </x:c>
      <x:c r="E41" s="2" t="s">
        <x:v>657</x:v>
      </x:c>
      <x:c r="F41" s="2" t="s">
        <x:v>657</x:v>
      </x:c>
      <x:c r="G41" s="2" t="s">
        <x:v>168</x:v>
      </x:c>
      <x:c r="H41" s="2" t="s">
        <x:v>1817</x:v>
      </x:c>
      <x:c r="I41" s="2" t="s">
        <x:v>1817</x:v>
      </x:c>
      <x:c r="J41" s="2" t="s">
        <x:v>657</x:v>
      </x:c>
      <x:c r="K41" s="2" t="s">
        <x:v>169</x:v>
      </x:c>
      <x:c r="L41" s="2" t="s">
        <x:v>172</x:v>
      </x:c>
      <x:c r="M41" s="2" t="s">
        <x:v>172</x:v>
      </x:c>
      <x:c r="N41" s="2" t="s">
        <x:v>172</x:v>
      </x:c>
      <x:c r="O41" s="2" t="s">
        <x:v>172</x:v>
      </x:c>
      <x:c r="P41" s="2" t="s">
        <x:v>171</x:v>
      </x:c>
      <x:c r="Q41" s="2" t="s">
        <x:v>171</x:v>
      </x:c>
      <x:c r="R41" s="2" t="s">
        <x:v>172</x:v>
      </x:c>
      <x:c r="S41" s="2" t="s">
        <x:v>3426</x:v>
      </x:c>
      <x:c r="T41" s="2" t="s">
        <x:v>3473</x:v>
      </x:c>
      <x:c r="U41" s="2" t="s">
        <x:v>1820</x:v>
      </x:c>
      <x:c r="V41" s="2" t="s">
        <x:v>172</x:v>
      </x:c>
      <x:c r="W41" s="2" t="s">
        <x:v>1614</x:v>
      </x:c>
      <x:c r="X41" s="2" t="s">
        <x:v>1822</x:v>
      </x:c>
      <x:c r="Y41" s="2">
        <x:v>7</x:v>
      </x:c>
      <x:c r="Z41" s="2" t="s">
        <x:v>3494</x:v>
      </x:c>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c r="AY41" s="2"/>
      <x:c r="AZ41" s="2"/>
      <x:c r="BA41" s="2"/>
      <x:c r="BB41" s="2"/>
      <x:c r="BC41" s="2"/>
      <x:c r="BD41" s="2"/>
      <x:c r="BE41" s="2"/>
      <x:c r="BF41" s="2"/>
      <x:c r="BG41" s="2"/>
      <x:c r="BH41" s="2"/>
      <x:c r="BI41" s="2"/>
      <x:c r="BJ41" s="2"/>
      <x:c r="BK41" s="2"/>
      <x:c r="BL41" s="2"/>
      <x:c r="BM41" s="2"/>
      <x:c r="BN41" s="2"/>
      <x:c r="BO41" s="2"/>
      <x:c r="BP41" s="2"/>
      <x:c r="BQ41" s="2"/>
      <x:c r="BR41" s="2"/>
      <x:c r="BS41" s="2"/>
      <x:c r="BT41" s="2"/>
      <x:c r="BU41" s="2"/>
      <x:c r="BV41" s="2"/>
      <x:c r="BW41" s="2"/>
      <x:c r="BX41" s="2"/>
      <x:c r="BY41" s="2"/>
      <x:c r="BZ41" s="2"/>
      <x:c r="CA41" s="2"/>
      <x:c r="CB41" s="2"/>
      <x:c r="CC41" s="2"/>
      <x:c r="CD41" s="2"/>
      <x:c r="CE41" s="2"/>
      <x:c r="CF41" s="2"/>
      <x:c r="CG41" s="2"/>
      <x:c r="CH41" s="2"/>
      <x:c r="CI41" s="2"/>
      <x:c r="CJ41" s="2"/>
      <x:c r="CK41" s="2"/>
      <x:c r="CL41" s="2"/>
      <x:c r="CM41" s="2"/>
      <x:c r="CN41" s="2"/>
      <x:c r="CO41" s="2"/>
      <x:c r="CP41" s="2"/>
      <x:c r="CQ41" s="2"/>
      <x:c r="CR41" s="2"/>
      <x:c r="CS41" s="2"/>
      <x:c r="CT41" s="2"/>
      <x:c r="CU41" s="2"/>
      <x:c r="CV41" s="2"/>
      <x:c r="CW41" s="2"/>
      <x:c r="CX41" s="2"/>
      <x:c r="CY41" s="2"/>
      <x:c r="CZ41" s="2"/>
      <x:c r="DA41" s="2"/>
      <x:c r="DB41" s="2"/>
      <x:c r="DC41" s="2"/>
      <x:c r="DD41" s="2"/>
      <x:c r="DE41" s="2"/>
      <x:c r="DF41" s="2"/>
      <x:c r="DG41" s="2"/>
      <x:c r="DH41" s="2"/>
      <x:c r="DI41" s="2"/>
      <x:c r="DJ41" s="2"/>
      <x:c r="DK41" s="2"/>
      <x:c r="DL41" s="2"/>
      <x:c r="DM41" s="2"/>
      <x:c r="DN41" s="2"/>
      <x:c r="DO41" s="2"/>
      <x:c r="DP41" s="2"/>
      <x:c r="DQ41" s="2"/>
      <x:c r="DR41" s="2"/>
      <x:c r="DS41" s="2"/>
      <x:c r="DT41" s="2"/>
      <x:c r="DU41" s="2"/>
      <x:c r="DV41" s="2"/>
      <x:c r="DW41" s="2"/>
      <x:c r="DX41" s="2"/>
      <x:c r="DY41" s="2"/>
      <x:c r="DZ41" s="2"/>
      <x:c r="EA41" s="2"/>
      <x:c r="EB41" s="2"/>
      <x:c r="EC41" s="2"/>
      <x:c r="ED41" s="2"/>
      <x:c r="EE41" s="2"/>
      <x:c r="EF41" s="2"/>
      <x:c r="EG41" s="2"/>
      <x:c r="EH41" s="2"/>
      <x:c r="EI41" s="2"/>
      <x:c r="EJ41" s="2"/>
      <x:c r="EK41" s="2"/>
      <x:c r="EL41" s="2"/>
      <x:c r="EM41" s="2"/>
      <x:c r="EN41" s="2"/>
      <x:c r="EO41" s="2"/>
      <x:c r="EP41" s="2"/>
      <x:c r="EQ41" s="2"/>
      <x:c r="ER41" s="2"/>
      <x:c r="ES41" s="2"/>
      <x:c r="ET41" s="2"/>
      <x:c r="EU41" s="2"/>
      <x:c r="EV41" s="2"/>
      <x:c r="EW41" s="2"/>
      <x:c r="EX41" s="2"/>
      <x:c r="EY41" s="2"/>
      <x:c r="EZ41" s="2"/>
      <x:c r="FA41" s="2"/>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9" defaultRowHeight="16.799999237060547"/>
  <x:cols>
    <x:col min="1" max="12" width="16" customWidth="1"/>
  </x:cols>
  <x:sheetData>
    <x:row r="1" ht="34" customHeight="1">
      <x:c r="A1" s="1" t="s">
        <x:v>23</x:v>
      </x:c>
      <x:c r="B1" s="1" t="s">
        <x:v>3495</x:v>
      </x:c>
      <x:c r="C1" s="1" t="s">
        <x:v>3496</x:v>
      </x:c>
      <x:c r="D1" s="1" t="s">
        <x:v>3497</x:v>
      </x:c>
      <x:c r="E1" s="1" t="s">
        <x:v>3498</x:v>
      </x:c>
      <x:c r="F1" s="1" t="s">
        <x:v>3499</x:v>
      </x:c>
      <x:c r="G1" s="1" t="s">
        <x:v>3500</x:v>
      </x:c>
      <x:c r="H1" s="1" t="s">
        <x:v>3501</x:v>
      </x:c>
      <x:c r="I1" s="1" t="s">
        <x:v>3502</x:v>
      </x:c>
      <x:c r="J1" s="1" t="s">
        <x:v>1205</x:v>
      </x:c>
      <x:c r="K1" s="1" t="s">
        <x:v>3503</x:v>
      </x:c>
      <x:c r="L1" s="1" t="s">
        <x:v>3504</x:v>
      </x:c>
    </x:row>
    <x:row r="2" ht="101">
      <x:c r="A2" s="2" t="s">
        <x:v>67</x:v>
      </x:c>
      <x:c r="B2" s="2" t="s">
        <x:v>169</x:v>
      </x:c>
      <x:c r="C2" s="2" t="s">
        <x:v>169</x:v>
      </x:c>
      <x:c r="D2" s="2" t="s">
        <x:v>169</x:v>
      </x:c>
      <x:c r="E2" s="2" t="s">
        <x:v>169</x:v>
      </x:c>
      <x:c r="F2" s="2" t="s">
        <x:v>169</x:v>
      </x:c>
      <x:c r="G2" s="2" t="s">
        <x:v>169</x:v>
      </x:c>
      <x:c r="H2" s="2" t="s">
        <x:v>169</x:v>
      </x:c>
      <x:c r="I2" s="2" t="s">
        <x:v>169</x:v>
      </x:c>
      <x:c r="J2" s="2" t="s">
        <x:v>179</x:v>
      </x:c>
      <x:c r="K2" s="2" t="s">
        <x:v>3505</x:v>
      </x:c>
      <x:c r="L2" s="2" t="s">
        <x:v>3506</x:v>
      </x:c>
    </x:row>
    <x:row r="3" ht="101">
      <x:c r="A3" s="2" t="s">
        <x:v>68</x:v>
      </x:c>
      <x:c r="B3" s="2" t="s">
        <x:v>200</x:v>
      </x:c>
      <x:c r="C3" s="2" t="s">
        <x:v>200</x:v>
      </x:c>
      <x:c r="D3" s="2" t="s">
        <x:v>169</x:v>
      </x:c>
      <x:c r="E3" s="2" t="s">
        <x:v>169</x:v>
      </x:c>
      <x:c r="F3" s="2" t="s">
        <x:v>169</x:v>
      </x:c>
      <x:c r="G3" s="2" t="s">
        <x:v>169</x:v>
      </x:c>
      <x:c r="H3" s="2" t="s">
        <x:v>169</x:v>
      </x:c>
      <x:c r="I3" s="2" t="s">
        <x:v>200</x:v>
      </x:c>
      <x:c r="J3" s="2" t="s">
        <x:v>1612</x:v>
      </x:c>
      <x:c r="K3" s="2" t="s">
        <x:v>3507</x:v>
      </x:c>
      <x:c r="L3" s="2" t="s">
        <x:v>3506</x:v>
      </x:c>
    </x:row>
    <x:row r="4" ht="101">
      <x:c r="A4" s="2" t="s">
        <x:v>69</x:v>
      </x:c>
      <x:c r="B4" s="2" t="s">
        <x:v>200</x:v>
      </x:c>
      <x:c r="C4" s="2" t="s">
        <x:v>200</x:v>
      </x:c>
      <x:c r="D4" s="2" t="s">
        <x:v>169</x:v>
      </x:c>
      <x:c r="E4" s="2" t="s">
        <x:v>169</x:v>
      </x:c>
      <x:c r="F4" s="2" t="s">
        <x:v>200</x:v>
      </x:c>
      <x:c r="G4" s="2" t="s">
        <x:v>169</x:v>
      </x:c>
      <x:c r="H4" s="2" t="s">
        <x:v>169</x:v>
      </x:c>
      <x:c r="I4" s="2" t="s">
        <x:v>169</x:v>
      </x:c>
      <x:c r="J4" s="2" t="s">
        <x:v>1340</x:v>
      </x:c>
      <x:c r="K4" s="2" t="s">
        <x:v>3508</x:v>
      </x:c>
      <x:c r="L4" s="2" t="s">
        <x:v>3506</x:v>
      </x:c>
    </x:row>
    <x:row r="5" ht="101">
      <x:c r="A5" s="2" t="s">
        <x:v>70</x:v>
      </x:c>
      <x:c r="B5" s="2" t="s">
        <x:v>169</x:v>
      </x:c>
      <x:c r="C5" s="2" t="s">
        <x:v>169</x:v>
      </x:c>
      <x:c r="D5" s="2" t="s">
        <x:v>169</x:v>
      </x:c>
      <x:c r="E5" s="2" t="s">
        <x:v>169</x:v>
      </x:c>
      <x:c r="F5" s="2" t="s">
        <x:v>169</x:v>
      </x:c>
      <x:c r="G5" s="2" t="s">
        <x:v>169</x:v>
      </x:c>
      <x:c r="H5" s="2" t="s">
        <x:v>169</x:v>
      </x:c>
      <x:c r="I5" s="2" t="s">
        <x:v>169</x:v>
      </x:c>
      <x:c r="J5" s="2" t="s">
        <x:v>179</x:v>
      </x:c>
      <x:c r="K5" s="2" t="s">
        <x:v>3505</x:v>
      </x:c>
      <x:c r="L5" s="2" t="s">
        <x:v>3506</x:v>
      </x:c>
    </x:row>
    <x:row r="6" ht="135">
      <x:c r="A6" s="2" t="s">
        <x:v>71</x:v>
      </x:c>
      <x:c r="B6" s="2" t="s">
        <x:v>1911</x:v>
      </x:c>
      <x:c r="C6" s="2" t="s">
        <x:v>1911</x:v>
      </x:c>
      <x:c r="D6" s="2" t="s">
        <x:v>169</x:v>
      </x:c>
      <x:c r="E6" s="2" t="s">
        <x:v>1465</x:v>
      </x:c>
      <x:c r="F6" s="2" t="s">
        <x:v>1353</x:v>
      </x:c>
      <x:c r="G6" s="2" t="s">
        <x:v>169</x:v>
      </x:c>
      <x:c r="H6" s="2" t="s">
        <x:v>200</x:v>
      </x:c>
      <x:c r="I6" s="2" t="s">
        <x:v>169</x:v>
      </x:c>
      <x:c r="J6" s="2" t="s">
        <x:v>1449</x:v>
      </x:c>
      <x:c r="K6" s="2" t="s">
        <x:v>3509</x:v>
      </x:c>
      <x:c r="L6" s="2" t="s">
        <x:v>3506</x:v>
      </x:c>
    </x:row>
    <x:row r="7" ht="101">
      <x:c r="A7" s="2" t="s">
        <x:v>72</x:v>
      </x:c>
      <x:c r="B7" s="2" t="s">
        <x:v>200</x:v>
      </x:c>
      <x:c r="C7" s="2" t="s">
        <x:v>200</x:v>
      </x:c>
      <x:c r="D7" s="2" t="s">
        <x:v>169</x:v>
      </x:c>
      <x:c r="E7" s="2" t="s">
        <x:v>169</x:v>
      </x:c>
      <x:c r="F7" s="2" t="s">
        <x:v>169</x:v>
      </x:c>
      <x:c r="G7" s="2" t="s">
        <x:v>169</x:v>
      </x:c>
      <x:c r="H7" s="2" t="s">
        <x:v>169</x:v>
      </x:c>
      <x:c r="I7" s="2" t="s">
        <x:v>200</x:v>
      </x:c>
      <x:c r="J7" s="2" t="s">
        <x:v>1612</x:v>
      </x:c>
      <x:c r="K7" s="2" t="s">
        <x:v>3507</x:v>
      </x:c>
      <x:c r="L7" s="2" t="s">
        <x:v>3506</x:v>
      </x:c>
    </x:row>
    <x:row r="8" ht="101">
      <x:c r="A8" s="2" t="s">
        <x:v>73</x:v>
      </x:c>
      <x:c r="B8" s="2" t="s">
        <x:v>200</x:v>
      </x:c>
      <x:c r="C8" s="2" t="s">
        <x:v>200</x:v>
      </x:c>
      <x:c r="D8" s="2" t="s">
        <x:v>169</x:v>
      </x:c>
      <x:c r="E8" s="2" t="s">
        <x:v>169</x:v>
      </x:c>
      <x:c r="F8" s="2" t="s">
        <x:v>169</x:v>
      </x:c>
      <x:c r="G8" s="2" t="s">
        <x:v>169</x:v>
      </x:c>
      <x:c r="H8" s="2" t="s">
        <x:v>200</x:v>
      </x:c>
      <x:c r="I8" s="2" t="s">
        <x:v>169</x:v>
      </x:c>
      <x:c r="J8" s="2" t="s">
        <x:v>1449</x:v>
      </x:c>
      <x:c r="K8" s="2" t="s">
        <x:v>3510</x:v>
      </x:c>
      <x:c r="L8" s="2" t="s">
        <x:v>3506</x:v>
      </x:c>
    </x:row>
    <x:row r="9" ht="101">
      <x:c r="A9" s="2" t="s">
        <x:v>74</x:v>
      </x:c>
      <x:c r="B9" s="2" t="s">
        <x:v>218</x:v>
      </x:c>
      <x:c r="C9" s="2" t="s">
        <x:v>218</x:v>
      </x:c>
      <x:c r="D9" s="2" t="s">
        <x:v>169</x:v>
      </x:c>
      <x:c r="E9" s="2" t="s">
        <x:v>1466</x:v>
      </x:c>
      <x:c r="F9" s="2" t="s">
        <x:v>169</x:v>
      </x:c>
      <x:c r="G9" s="2" t="s">
        <x:v>169</x:v>
      </x:c>
      <x:c r="H9" s="2" t="s">
        <x:v>169</x:v>
      </x:c>
      <x:c r="I9" s="2" t="s">
        <x:v>200</x:v>
      </x:c>
      <x:c r="J9" s="2" t="s">
        <x:v>1612</x:v>
      </x:c>
      <x:c r="K9" s="2" t="s">
        <x:v>3511</x:v>
      </x:c>
      <x:c r="L9" s="2" t="s">
        <x:v>3506</x:v>
      </x:c>
    </x:row>
    <x:row r="10" ht="118">
      <x:c r="A10" s="2" t="s">
        <x:v>75</x:v>
      </x:c>
      <x:c r="B10" s="2" t="s">
        <x:v>298</x:v>
      </x:c>
      <x:c r="C10" s="2" t="s">
        <x:v>298</x:v>
      </x:c>
      <x:c r="D10" s="2" t="s">
        <x:v>169</x:v>
      </x:c>
      <x:c r="E10" s="2" t="s">
        <x:v>1573</x:v>
      </x:c>
      <x:c r="F10" s="2" t="s">
        <x:v>1466</x:v>
      </x:c>
      <x:c r="G10" s="2" t="s">
        <x:v>169</x:v>
      </x:c>
      <x:c r="H10" s="2" t="s">
        <x:v>169</x:v>
      </x:c>
      <x:c r="I10" s="2" t="s">
        <x:v>169</x:v>
      </x:c>
      <x:c r="J10" s="2" t="s">
        <x:v>1449</x:v>
      </x:c>
      <x:c r="K10" s="2" t="s">
        <x:v>3512</x:v>
      </x:c>
      <x:c r="L10" s="2" t="s">
        <x:v>3506</x:v>
      </x:c>
    </x:row>
    <x:row r="11" ht="152">
      <x:c r="A11" s="2" t="s">
        <x:v>76</x:v>
      </x:c>
      <x:c r="B11" s="2" t="s">
        <x:v>330</x:v>
      </x:c>
      <x:c r="C11" s="2" t="s">
        <x:v>330</x:v>
      </x:c>
      <x:c r="D11" s="2" t="s">
        <x:v>169</x:v>
      </x:c>
      <x:c r="E11" s="2" t="s">
        <x:v>1466</x:v>
      </x:c>
      <x:c r="F11" s="2" t="s">
        <x:v>1353</x:v>
      </x:c>
      <x:c r="G11" s="2" t="s">
        <x:v>169</x:v>
      </x:c>
      <x:c r="H11" s="2" t="s">
        <x:v>200</x:v>
      </x:c>
      <x:c r="I11" s="2" t="s">
        <x:v>200</x:v>
      </x:c>
      <x:c r="J11" s="2" t="s">
        <x:v>1612</x:v>
      </x:c>
      <x:c r="K11" s="2" t="s">
        <x:v>3513</x:v>
      </x:c>
      <x:c r="L11" s="2" t="s">
        <x:v>3506</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ColWidth="9" defaultRowHeight="16.799999237060547"/>
  <x:cols>
    <x:col min="1" max="28" width="16" customWidth="1"/>
  </x:cols>
  <x:sheetData>
    <x:row r="1" ht="34" customHeight="1">
      <x:c r="A1" s="1" t="s">
        <x:v>23</x:v>
      </x:c>
      <x:c r="B1" s="1" t="s">
        <x:v>3514</x:v>
      </x:c>
      <x:c r="C1" s="1" t="s">
        <x:v>127</x:v>
      </x:c>
      <x:c r="D1" s="1" t="s">
        <x:v>57</x:v>
      </x:c>
      <x:c r="E1" s="1" t="s">
        <x:v>128</x:v>
      </x:c>
      <x:c r="F1" s="1" t="s">
        <x:v>129</x:v>
      </x:c>
      <x:c r="G1" s="1" t="s">
        <x:v>3515</x:v>
      </x:c>
      <x:c r="H1" s="1" t="s">
        <x:v>130</x:v>
      </x:c>
      <x:c r="I1" s="1" t="s">
        <x:v>131</x:v>
      </x:c>
      <x:c r="J1" s="1" t="s">
        <x:v>132</x:v>
      </x:c>
      <x:c r="K1" s="1" t="s">
        <x:v>133</x:v>
      </x:c>
      <x:c r="L1" s="1" t="s">
        <x:v>3516</x:v>
      </x:c>
      <x:c r="M1" s="1" t="s">
        <x:v>58</x:v>
      </x:c>
      <x:c r="N1" s="1" t="s">
        <x:v>3517</x:v>
      </x:c>
      <x:c r="O1" s="1" t="s">
        <x:v>134</x:v>
      </x:c>
      <x:c r="P1" s="1" t="s">
        <x:v>59</x:v>
      </x:c>
      <x:c r="Q1" s="1" t="s">
        <x:v>135</x:v>
      </x:c>
      <x:c r="R1" s="1" t="s">
        <x:v>35</x:v>
      </x:c>
      <x:c r="S1" s="1" t="s">
        <x:v>3518</x:v>
      </x:c>
      <x:c r="T1" s="1" t="s">
        <x:v>3519</x:v>
      </x:c>
      <x:c r="U1" s="1" t="s">
        <x:v>3520</x:v>
      </x:c>
      <x:c r="V1" s="1" t="s">
        <x:v>3521</x:v>
      </x:c>
      <x:c r="W1" s="1" t="s">
        <x:v>3522</x:v>
      </x:c>
      <x:c r="X1" s="1" t="s">
        <x:v>3523</x:v>
      </x:c>
      <x:c r="Y1" s="1" t="s">
        <x:v>3524</x:v>
      </x:c>
      <x:c r="Z1" s="1" t="s">
        <x:v>3525</x:v>
      </x:c>
      <x:c r="AA1" s="1" t="s">
        <x:v>3045</x:v>
      </x:c>
      <x:c r="AB1" s="1" t="s">
        <x:v>3526</x:v>
      </x:c>
    </x:row>
    <x:row r="2" ht="286">
      <x:c r="A2" s="2" t="s">
        <x:v>67</x:v>
      </x:c>
      <x:c r="B2" s="2" t="s">
        <x:v>3527</x:v>
      </x:c>
      <x:c r="C2" s="2" t="s">
        <x:v>3528</x:v>
      </x:c>
      <x:c r="D2" s="2" t="s">
        <x:v>3216</x:v>
      </x:c>
      <x:c r="E2" s="2" t="s">
        <x:v>169</x:v>
      </x:c>
      <x:c r="F2" s="2" t="s">
        <x:v>169</x:v>
      </x:c>
      <x:c r="G2" s="2" t="s">
        <x:v>169</x:v>
      </x:c>
      <x:c r="H2" s="2" t="s">
        <x:v>3051</x:v>
      </x:c>
      <x:c r="I2" s="2" t="s">
        <x:v>169</x:v>
      </x:c>
      <x:c r="J2" s="2" t="s">
        <x:v>169</x:v>
      </x:c>
      <x:c r="K2" s="2" t="s">
        <x:v>3529</x:v>
      </x:c>
      <x:c r="L2" s="2" t="s">
        <x:v>3217</x:v>
      </x:c>
      <x:c r="M2" s="2" t="s">
        <x:v>3530</x:v>
      </x:c>
      <x:c r="N2" s="2" t="s">
        <x:v>3531</x:v>
      </x:c>
      <x:c r="O2" s="2" t="s">
        <x:v>3532</x:v>
      </x:c>
      <x:c r="P2" s="2" t="s">
        <x:v>3533</x:v>
      </x:c>
      <x:c r="Q2" s="2" t="s">
        <x:v>3534</x:v>
      </x:c>
      <x:c r="R2" s="2" t="s">
        <x:v>3535</x:v>
      </x:c>
      <x:c r="S2" s="2" t="s">
        <x:v>172</x:v>
      </x:c>
      <x:c r="T2" s="2" t="s">
        <x:v>3536</x:v>
      </x:c>
      <x:c r="U2" s="2" t="s">
        <x:v>107</x:v>
      </x:c>
      <x:c r="V2" s="2" t="s">
        <x:v>107</x:v>
      </x:c>
      <x:c r="W2" s="2" t="s">
        <x:v>107</x:v>
      </x:c>
      <x:c r="X2" s="2" t="s">
        <x:v>107</x:v>
      </x:c>
      <x:c r="Y2" s="2" t="s">
        <x:v>107</x:v>
      </x:c>
      <x:c r="Z2" s="2" t="s">
        <x:v>107</x:v>
      </x:c>
      <x:c r="AA2" s="2" t="s">
        <x:v>3052</x:v>
      </x:c>
      <x:c r="AB2" s="2" t="s">
        <x:v>3537</x:v>
      </x:c>
    </x:row>
    <x:row r="3" ht="303">
      <x:c r="A3" s="2" t="s">
        <x:v>68</x:v>
      </x:c>
      <x:c r="B3" s="2" t="s">
        <x:v>1768</x:v>
      </x:c>
      <x:c r="C3" s="2" t="s">
        <x:v>1769</x:v>
      </x:c>
      <x:c r="D3" s="2" t="s">
        <x:v>1771</x:v>
      </x:c>
      <x:c r="E3" s="2" t="s">
        <x:v>169</x:v>
      </x:c>
      <x:c r="F3" s="2" t="s">
        <x:v>169</x:v>
      </x:c>
      <x:c r="G3" s="2" t="s">
        <x:v>169</x:v>
      </x:c>
      <x:c r="H3" s="2" t="s">
        <x:v>1760</x:v>
      </x:c>
      <x:c r="I3" s="2" t="s">
        <x:v>169</x:v>
      </x:c>
      <x:c r="J3" s="2" t="s">
        <x:v>169</x:v>
      </x:c>
      <x:c r="K3" s="2" t="s">
        <x:v>1779</x:v>
      </x:c>
      <x:c r="L3" s="2" t="s">
        <x:v>1773</x:v>
      </x:c>
      <x:c r="M3" s="2" t="s">
        <x:v>1777</x:v>
      </x:c>
      <x:c r="N3" s="2" t="s">
        <x:v>1374</x:v>
      </x:c>
      <x:c r="O3" s="2" t="s">
        <x:v>1375</x:v>
      </x:c>
      <x:c r="P3" s="2" t="s">
        <x:v>2765</x:v>
      </x:c>
      <x:c r="Q3" s="2" t="s">
        <x:v>3538</x:v>
      </x:c>
      <x:c r="R3" s="2" t="s">
        <x:v>3535</x:v>
      </x:c>
      <x:c r="S3" s="2" t="s">
        <x:v>172</x:v>
      </x:c>
      <x:c r="T3" s="2" t="s">
        <x:v>3536</x:v>
      </x:c>
      <x:c r="U3" s="2" t="s">
        <x:v>107</x:v>
      </x:c>
      <x:c r="V3" s="2" t="s">
        <x:v>107</x:v>
      </x:c>
      <x:c r="W3" s="2" t="s">
        <x:v>107</x:v>
      </x:c>
      <x:c r="X3" s="2" t="s">
        <x:v>107</x:v>
      </x:c>
      <x:c r="Y3" s="2" t="s">
        <x:v>107</x:v>
      </x:c>
      <x:c r="Z3" s="2" t="s">
        <x:v>107</x:v>
      </x:c>
      <x:c r="AA3" s="2" t="s">
        <x:v>3054</x:v>
      </x:c>
      <x:c r="AB3" s="2" t="s">
        <x:v>3537</x:v>
      </x:c>
    </x:row>
    <x:row r="4" ht="303">
      <x:c r="A4" s="2" t="s">
        <x:v>69</x:v>
      </x:c>
      <x:c r="B4" s="2" t="s">
        <x:v>1361</x:v>
      </x:c>
      <x:c r="C4" s="2" t="s">
        <x:v>1362</x:v>
      </x:c>
      <x:c r="D4" s="2" t="s">
        <x:v>1364</x:v>
      </x:c>
      <x:c r="E4" s="2" t="s">
        <x:v>169</x:v>
      </x:c>
      <x:c r="F4" s="2" t="s">
        <x:v>169</x:v>
      </x:c>
      <x:c r="G4" s="2" t="s">
        <x:v>169</x:v>
      </x:c>
      <x:c r="H4" s="2" t="s">
        <x:v>1346</x:v>
      </x:c>
      <x:c r="I4" s="2" t="s">
        <x:v>2633</x:v>
      </x:c>
      <x:c r="J4" s="2" t="s">
        <x:v>169</x:v>
      </x:c>
      <x:c r="K4" s="2" t="s">
        <x:v>1377</x:v>
      </x:c>
      <x:c r="L4" s="2" t="s">
        <x:v>1368</x:v>
      </x:c>
      <x:c r="M4" s="2" t="s">
        <x:v>1372</x:v>
      </x:c>
      <x:c r="N4" s="2" t="s">
        <x:v>1374</x:v>
      </x:c>
      <x:c r="O4" s="2" t="s">
        <x:v>1375</x:v>
      </x:c>
      <x:c r="P4" s="2" t="s">
        <x:v>2619</x:v>
      </x:c>
      <x:c r="Q4" s="2" t="s">
        <x:v>3539</x:v>
      </x:c>
      <x:c r="R4" s="2" t="s">
        <x:v>3535</x:v>
      </x:c>
      <x:c r="S4" s="2" t="s">
        <x:v>172</x:v>
      </x:c>
      <x:c r="T4" s="2" t="s">
        <x:v>3536</x:v>
      </x:c>
      <x:c r="U4" s="2" t="s">
        <x:v>107</x:v>
      </x:c>
      <x:c r="V4" s="2" t="s">
        <x:v>107</x:v>
      </x:c>
      <x:c r="W4" s="2" t="s">
        <x:v>107</x:v>
      </x:c>
      <x:c r="X4" s="2" t="s">
        <x:v>107</x:v>
      </x:c>
      <x:c r="Y4" s="2" t="s">
        <x:v>107</x:v>
      </x:c>
      <x:c r="Z4" s="2" t="s">
        <x:v>107</x:v>
      </x:c>
      <x:c r="AA4" s="2" t="s">
        <x:v>3056</x:v>
      </x:c>
      <x:c r="AB4" s="2" t="s">
        <x:v>3537</x:v>
      </x:c>
    </x:row>
    <x:row r="5" ht="303">
      <x:c r="A5" s="2" t="s">
        <x:v>70</x:v>
      </x:c>
      <x:c r="B5" s="2" t="s">
        <x:v>1361</x:v>
      </x:c>
      <x:c r="C5" s="2" t="s">
        <x:v>1362</x:v>
      </x:c>
      <x:c r="D5" s="2" t="s">
        <x:v>3540</x:v>
      </x:c>
      <x:c r="E5" s="2" t="s">
        <x:v>169</x:v>
      </x:c>
      <x:c r="F5" s="2" t="s">
        <x:v>169</x:v>
      </x:c>
      <x:c r="G5" s="2" t="s">
        <x:v>169</x:v>
      </x:c>
      <x:c r="H5" s="2" t="s">
        <x:v>1415</x:v>
      </x:c>
      <x:c r="I5" s="2" t="s">
        <x:v>1432</x:v>
      </x:c>
      <x:c r="J5" s="2" t="s">
        <x:v>169</x:v>
      </x:c>
      <x:c r="K5" s="2" t="s">
        <x:v>169</x:v>
      </x:c>
      <x:c r="L5" s="2" t="s">
        <x:v>3228</x:v>
      </x:c>
      <x:c r="M5" s="2" t="s">
        <x:v>1430</x:v>
      </x:c>
      <x:c r="N5" s="2" t="s">
        <x:v>1374</x:v>
      </x:c>
      <x:c r="O5" s="2" t="s">
        <x:v>1375</x:v>
      </x:c>
      <x:c r="P5" s="2" t="s">
        <x:v>2619</x:v>
      </x:c>
      <x:c r="Q5" s="2" t="s">
        <x:v>3539</x:v>
      </x:c>
      <x:c r="R5" s="2" t="s">
        <x:v>3535</x:v>
      </x:c>
      <x:c r="S5" s="2" t="s">
        <x:v>172</x:v>
      </x:c>
      <x:c r="T5" s="2" t="s">
        <x:v>3536</x:v>
      </x:c>
      <x:c r="U5" s="2" t="s">
        <x:v>238</x:v>
      </x:c>
      <x:c r="V5" s="2" t="s">
        <x:v>1424</x:v>
      </x:c>
      <x:c r="W5" s="2" t="s">
        <x:v>238</x:v>
      </x:c>
      <x:c r="X5" s="2" t="s">
        <x:v>1372</x:v>
      </x:c>
      <x:c r="Y5" s="2" t="s">
        <x:v>238</x:v>
      </x:c>
      <x:c r="Z5" s="2" t="s">
        <x:v>3228</x:v>
      </x:c>
      <x:c r="AA5" s="2" t="s">
        <x:v>3058</x:v>
      </x:c>
      <x:c r="AB5" s="2" t="s">
        <x:v>3541</x:v>
      </x:c>
    </x:row>
    <x:row r="6" ht="370">
      <x:c r="A6" s="2" t="s">
        <x:v>71</x:v>
      </x:c>
      <x:c r="B6" s="2" t="s">
        <x:v>1374</x:v>
      </x:c>
      <x:c r="C6" s="2" t="s">
        <x:v>1375</x:v>
      </x:c>
      <x:c r="D6" s="2" t="s">
        <x:v>1469</x:v>
      </x:c>
      <x:c r="E6" s="2" t="s">
        <x:v>2658</x:v>
      </x:c>
      <x:c r="F6" s="2" t="s">
        <x:v>169</x:v>
      </x:c>
      <x:c r="G6" s="2" t="s">
        <x:v>2658</x:v>
      </x:c>
      <x:c r="H6" s="2" t="s">
        <x:v>1455</x:v>
      </x:c>
      <x:c r="I6" s="2" t="s">
        <x:v>169</x:v>
      </x:c>
      <x:c r="J6" s="2" t="s">
        <x:v>169</x:v>
      </x:c>
      <x:c r="K6" s="2" t="s">
        <x:v>3542</x:v>
      </x:c>
      <x:c r="L6" s="2" t="s">
        <x:v>1473</x:v>
      </x:c>
      <x:c r="M6" s="2" t="s">
        <x:v>1477</x:v>
      </x:c>
      <x:c r="N6" s="2" t="s">
        <x:v>1479</x:v>
      </x:c>
      <x:c r="O6" s="2" t="s">
        <x:v>1480</x:v>
      </x:c>
      <x:c r="P6" s="2" t="s">
        <x:v>2652</x:v>
      </x:c>
      <x:c r="Q6" s="2" t="s">
        <x:v>3543</x:v>
      </x:c>
      <x:c r="R6" s="2" t="s">
        <x:v>3535</x:v>
      </x:c>
      <x:c r="S6" s="2" t="s">
        <x:v>172</x:v>
      </x:c>
      <x:c r="T6" s="2" t="s">
        <x:v>3536</x:v>
      </x:c>
      <x:c r="U6" s="2" t="s">
        <x:v>107</x:v>
      </x:c>
      <x:c r="V6" s="2" t="s">
        <x:v>107</x:v>
      </x:c>
      <x:c r="W6" s="2" t="s">
        <x:v>107</x:v>
      </x:c>
      <x:c r="X6" s="2" t="s">
        <x:v>107</x:v>
      </x:c>
      <x:c r="Y6" s="2" t="s">
        <x:v>107</x:v>
      </x:c>
      <x:c r="Z6" s="2" t="s">
        <x:v>107</x:v>
      </x:c>
      <x:c r="AA6" s="2" t="s">
        <x:v>3061</x:v>
      </x:c>
      <x:c r="AB6" s="2" t="s">
        <x:v>3544</x:v>
      </x:c>
    </x:row>
    <x:row r="7" ht="303">
      <x:c r="A7" s="2" t="s">
        <x:v>72</x:v>
      </x:c>
      <x:c r="B7" s="2" t="s">
        <x:v>1479</x:v>
      </x:c>
      <x:c r="C7" s="2" t="s">
        <x:v>1480</x:v>
      </x:c>
      <x:c r="D7" s="2" t="s">
        <x:v>3252</x:v>
      </x:c>
      <x:c r="E7" s="2" t="s">
        <x:v>169</x:v>
      </x:c>
      <x:c r="F7" s="2" t="s">
        <x:v>169</x:v>
      </x:c>
      <x:c r="G7" s="2" t="s">
        <x:v>169</x:v>
      </x:c>
      <x:c r="H7" s="2" t="s">
        <x:v>3064</x:v>
      </x:c>
      <x:c r="I7" s="2" t="s">
        <x:v>169</x:v>
      </x:c>
      <x:c r="J7" s="2" t="s">
        <x:v>169</x:v>
      </x:c>
      <x:c r="K7" s="2" t="s">
        <x:v>1736</x:v>
      </x:c>
      <x:c r="L7" s="2" t="s">
        <x:v>3256</x:v>
      </x:c>
      <x:c r="M7" s="2" t="s">
        <x:v>3545</x:v>
      </x:c>
      <x:c r="N7" s="2" t="s">
        <x:v>1733</x:v>
      </x:c>
      <x:c r="O7" s="2" t="s">
        <x:v>1734</x:v>
      </x:c>
      <x:c r="P7" s="2" t="s">
        <x:v>2752</x:v>
      </x:c>
      <x:c r="Q7" s="2" t="s">
        <x:v>3546</x:v>
      </x:c>
      <x:c r="R7" s="2" t="s">
        <x:v>3535</x:v>
      </x:c>
      <x:c r="S7" s="2" t="s">
        <x:v>172</x:v>
      </x:c>
      <x:c r="T7" s="2" t="s">
        <x:v>3536</x:v>
      </x:c>
      <x:c r="U7" s="2" t="s">
        <x:v>107</x:v>
      </x:c>
      <x:c r="V7" s="2" t="s">
        <x:v>107</x:v>
      </x:c>
      <x:c r="W7" s="2" t="s">
        <x:v>107</x:v>
      </x:c>
      <x:c r="X7" s="2" t="s">
        <x:v>107</x:v>
      </x:c>
      <x:c r="Y7" s="2" t="s">
        <x:v>107</x:v>
      </x:c>
      <x:c r="Z7" s="2" t="s">
        <x:v>107</x:v>
      </x:c>
      <x:c r="AA7" s="2" t="s">
        <x:v>3065</x:v>
      </x:c>
      <x:c r="AB7" s="2" t="s">
        <x:v>3537</x:v>
      </x:c>
    </x:row>
    <x:row r="8" ht="303">
      <x:c r="A8" s="2" t="s">
        <x:v>73</x:v>
      </x:c>
      <x:c r="B8" s="2" t="s">
        <x:v>1521</x:v>
      </x:c>
      <x:c r="C8" s="2" t="s">
        <x:v>1522</x:v>
      </x:c>
      <x:c r="D8" s="2" t="s">
        <x:v>1524</x:v>
      </x:c>
      <x:c r="E8" s="2" t="s">
        <x:v>169</x:v>
      </x:c>
      <x:c r="F8" s="2" t="s">
        <x:v>169</x:v>
      </x:c>
      <x:c r="G8" s="2" t="s">
        <x:v>169</x:v>
      </x:c>
      <x:c r="H8" s="2" t="s">
        <x:v>1510</x:v>
      </x:c>
      <x:c r="I8" s="2" t="s">
        <x:v>169</x:v>
      </x:c>
      <x:c r="J8" s="2" t="s">
        <x:v>3547</x:v>
      </x:c>
      <x:c r="K8" s="2" t="s">
        <x:v>3548</x:v>
      </x:c>
      <x:c r="L8" s="2" t="s">
        <x:v>1528</x:v>
      </x:c>
      <x:c r="M8" s="2" t="s">
        <x:v>1532</x:v>
      </x:c>
      <x:c r="N8" s="2" t="s">
        <x:v>1534</x:v>
      </x:c>
      <x:c r="O8" s="2" t="s">
        <x:v>1535</x:v>
      </x:c>
      <x:c r="P8" s="2" t="s">
        <x:v>2667</x:v>
      </x:c>
      <x:c r="Q8" s="2" t="s">
        <x:v>3549</x:v>
      </x:c>
      <x:c r="R8" s="2" t="s">
        <x:v>3535</x:v>
      </x:c>
      <x:c r="S8" s="2" t="s">
        <x:v>172</x:v>
      </x:c>
      <x:c r="T8" s="2" t="s">
        <x:v>3536</x:v>
      </x:c>
      <x:c r="U8" s="2" t="s">
        <x:v>107</x:v>
      </x:c>
      <x:c r="V8" s="2" t="s">
        <x:v>107</x:v>
      </x:c>
      <x:c r="W8" s="2" t="s">
        <x:v>107</x:v>
      </x:c>
      <x:c r="X8" s="2" t="s">
        <x:v>107</x:v>
      </x:c>
      <x:c r="Y8" s="2" t="s">
        <x:v>107</x:v>
      </x:c>
      <x:c r="Z8" s="2" t="s">
        <x:v>107</x:v>
      </x:c>
      <x:c r="AA8" s="2" t="s">
        <x:v>3068</x:v>
      </x:c>
      <x:c r="AB8" s="2" t="s">
        <x:v>3537</x:v>
      </x:c>
    </x:row>
    <x:row r="9" ht="303">
      <x:c r="A9" s="2" t="s">
        <x:v>74</x:v>
      </x:c>
      <x:c r="B9" s="2" t="s">
        <x:v>3550</x:v>
      </x:c>
      <x:c r="C9" s="2" t="s">
        <x:v>3551</x:v>
      </x:c>
      <x:c r="D9" s="2" t="s">
        <x:v>3268</x:v>
      </x:c>
      <x:c r="E9" s="2" t="s">
        <x:v>169</x:v>
      </x:c>
      <x:c r="F9" s="2" t="s">
        <x:v>169</x:v>
      </x:c>
      <x:c r="G9" s="2" t="s">
        <x:v>169</x:v>
      </x:c>
      <x:c r="H9" s="2" t="s">
        <x:v>1666</x:v>
      </x:c>
      <x:c r="I9" s="2" t="s">
        <x:v>169</x:v>
      </x:c>
      <x:c r="J9" s="2" t="s">
        <x:v>169</x:v>
      </x:c>
      <x:c r="K9" s="2" t="s">
        <x:v>1687</x:v>
      </x:c>
      <x:c r="L9" s="2" t="s">
        <x:v>3276</x:v>
      </x:c>
      <x:c r="M9" s="2" t="s">
        <x:v>3552</x:v>
      </x:c>
      <x:c r="N9" s="2" t="s">
        <x:v>1578</x:v>
      </x:c>
      <x:c r="O9" s="2" t="s">
        <x:v>1579</x:v>
      </x:c>
      <x:c r="P9" s="2" t="s">
        <x:v>3553</x:v>
      </x:c>
      <x:c r="Q9" s="2" t="s">
        <x:v>3554</x:v>
      </x:c>
      <x:c r="R9" s="2" t="s">
        <x:v>3535</x:v>
      </x:c>
      <x:c r="S9" s="2" t="s">
        <x:v>172</x:v>
      </x:c>
      <x:c r="T9" s="2" t="s">
        <x:v>3536</x:v>
      </x:c>
      <x:c r="U9" s="2" t="s">
        <x:v>107</x:v>
      </x:c>
      <x:c r="V9" s="2" t="s">
        <x:v>107</x:v>
      </x:c>
      <x:c r="W9" s="2" t="s">
        <x:v>107</x:v>
      </x:c>
      <x:c r="X9" s="2" t="s">
        <x:v>107</x:v>
      </x:c>
      <x:c r="Y9" s="2" t="s">
        <x:v>107</x:v>
      </x:c>
      <x:c r="Z9" s="2" t="s">
        <x:v>107</x:v>
      </x:c>
      <x:c r="AA9" s="2" t="s">
        <x:v>3073</x:v>
      </x:c>
      <x:c r="AB9" s="2" t="s">
        <x:v>3537</x:v>
      </x:c>
    </x:row>
    <x:row r="10" ht="286">
      <x:c r="A10" s="2" t="s">
        <x:v>75</x:v>
      </x:c>
      <x:c r="B10" s="2" t="s">
        <x:v>1578</x:v>
      </x:c>
      <x:c r="C10" s="2" t="s">
        <x:v>1579</x:v>
      </x:c>
      <x:c r="D10" s="2" t="s">
        <x:v>3278</x:v>
      </x:c>
      <x:c r="E10" s="2" t="s">
        <x:v>169</x:v>
      </x:c>
      <x:c r="F10" s="2" t="s">
        <x:v>169</x:v>
      </x:c>
      <x:c r="G10" s="2" t="s">
        <x:v>169</x:v>
      </x:c>
      <x:c r="H10" s="2" t="s">
        <x:v>1567</x:v>
      </x:c>
      <x:c r="I10" s="2" t="s">
        <x:v>3555</x:v>
      </x:c>
      <x:c r="J10" s="2" t="s">
        <x:v>3556</x:v>
      </x:c>
      <x:c r="K10" s="2" t="s">
        <x:v>3557</x:v>
      </x:c>
      <x:c r="L10" s="2" t="s">
        <x:v>3278</x:v>
      </x:c>
      <x:c r="M10" s="2" t="s">
        <x:v>3558</x:v>
      </x:c>
      <x:c r="N10" s="2" t="s">
        <x:v>1587</x:v>
      </x:c>
      <x:c r="O10" s="2" t="s">
        <x:v>1588</x:v>
      </x:c>
      <x:c r="P10" s="2" t="s">
        <x:v>2680</x:v>
      </x:c>
      <x:c r="Q10" s="2" t="s">
        <x:v>3559</x:v>
      </x:c>
      <x:c r="R10" s="2" t="s">
        <x:v>3535</x:v>
      </x:c>
      <x:c r="S10" s="2" t="s">
        <x:v>172</x:v>
      </x:c>
      <x:c r="T10" s="2" t="s">
        <x:v>3536</x:v>
      </x:c>
      <x:c r="U10" s="2" t="s">
        <x:v>107</x:v>
      </x:c>
      <x:c r="V10" s="2" t="s">
        <x:v>107</x:v>
      </x:c>
      <x:c r="W10" s="2" t="s">
        <x:v>107</x:v>
      </x:c>
      <x:c r="X10" s="2" t="s">
        <x:v>107</x:v>
      </x:c>
      <x:c r="Y10" s="2" t="s">
        <x:v>107</x:v>
      </x:c>
      <x:c r="Z10" s="2" t="s">
        <x:v>107</x:v>
      </x:c>
      <x:c r="AA10" s="2" t="s">
        <x:v>3076</x:v>
      </x:c>
      <x:c r="AB10" s="2" t="s">
        <x:v>3537</x:v>
      </x:c>
    </x:row>
    <x:row r="11" ht="336">
      <x:c r="A11" s="2" t="s">
        <x:v>76</x:v>
      </x:c>
      <x:c r="B11" s="2" t="s">
        <x:v>1587</x:v>
      </x:c>
      <x:c r="C11" s="2" t="s">
        <x:v>1588</x:v>
      </x:c>
      <x:c r="D11" s="2" t="s">
        <x:v>3281</x:v>
      </x:c>
      <x:c r="E11" s="2" t="s">
        <x:v>169</x:v>
      </x:c>
      <x:c r="F11" s="2" t="s">
        <x:v>169</x:v>
      </x:c>
      <x:c r="G11" s="2" t="s">
        <x:v>169</x:v>
      </x:c>
      <x:c r="H11" s="2" t="s">
        <x:v>1618</x:v>
      </x:c>
      <x:c r="I11" s="2" t="s">
        <x:v>169</x:v>
      </x:c>
      <x:c r="J11" s="2" t="s">
        <x:v>3560</x:v>
      </x:c>
      <x:c r="K11" s="2" t="s">
        <x:v>3561</x:v>
      </x:c>
      <x:c r="L11" s="2" t="s">
        <x:v>3285</x:v>
      </x:c>
      <x:c r="M11" s="2" t="s">
        <x:v>3562</x:v>
      </x:c>
      <x:c r="N11" s="2" t="s">
        <x:v>1638</x:v>
      </x:c>
      <x:c r="O11" s="2" t="s">
        <x:v>1639</x:v>
      </x:c>
      <x:c r="P11" s="2" t="s">
        <x:v>2695</x:v>
      </x:c>
      <x:c r="Q11" s="2" t="s">
        <x:v>3563</x:v>
      </x:c>
      <x:c r="R11" s="2" t="s">
        <x:v>3535</x:v>
      </x:c>
      <x:c r="S11" s="2" t="s">
        <x:v>172</x:v>
      </x:c>
      <x:c r="T11" s="2" t="s">
        <x:v>3536</x:v>
      </x:c>
      <x:c r="U11" s="2" t="s">
        <x:v>107</x:v>
      </x:c>
      <x:c r="V11" s="2" t="s">
        <x:v>107</x:v>
      </x:c>
      <x:c r="W11" s="2" t="s">
        <x:v>107</x:v>
      </x:c>
      <x:c r="X11" s="2" t="s">
        <x:v>107</x:v>
      </x:c>
      <x:c r="Y11" s="2" t="s">
        <x:v>107</x:v>
      </x:c>
      <x:c r="Z11" s="2" t="s">
        <x:v>107</x:v>
      </x:c>
      <x:c r="AA11" s="2" t="s">
        <x:v>3079</x:v>
      </x:c>
      <x:c r="AB11" s="2" t="s">
        <x:v>3544</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ColWidth="9" defaultRowHeight="16.799999237060547"/>
  <x:cols>
    <x:col min="1" max="8" width="16" customWidth="1"/>
  </x:cols>
  <x:sheetData>
    <x:row r="1" ht="34" customHeight="1">
      <x:c r="A1" s="1" t="s">
        <x:v>3564</x:v>
      </x:c>
      <x:c r="B1" s="1" t="s">
        <x:v>3565</x:v>
      </x:c>
      <x:c r="C1" s="1" t="s">
        <x:v>3566</x:v>
      </x:c>
      <x:c r="D1" s="1" t="s">
        <x:v>3567</x:v>
      </x:c>
      <x:c r="E1" s="1" t="s">
        <x:v>3568</x:v>
      </x:c>
      <x:c r="F1" s="1" t="s">
        <x:v>3569</x:v>
      </x:c>
      <x:c r="G1" s="1" t="s">
        <x:v>3570</x:v>
      </x:c>
      <x:c r="H1" s="1" t="s">
        <x:v>3571</x:v>
      </x:c>
    </x:row>
    <x:row r="2" ht="51">
      <x:c r="A2" s="2" t="s">
        <x:v>3572</x:v>
      </x:c>
      <x:c r="B2" s="2" t="s">
        <x:v>3573</x:v>
      </x:c>
      <x:c r="C2" s="2" t="s">
        <x:v>3574</x:v>
      </x:c>
      <x:c r="D2" s="2" t="s">
        <x:v>171</x:v>
      </x:c>
      <x:c r="E2" s="2" t="s">
        <x:v>1464</x:v>
      </x:c>
      <x:c r="F2" s="2" t="s">
        <x:v>3575</x:v>
      </x:c>
      <x:c r="G2" s="2" t="s">
        <x:v>2455</x:v>
      </x:c>
      <x:c r="H2" s="2" t="s">
        <x:v>172</x:v>
      </x:c>
    </x:row>
    <x:row r="3" ht="51">
      <x:c r="A3" s="2" t="s">
        <x:v>1847</x:v>
      </x:c>
      <x:c r="B3" s="2" t="s">
        <x:v>1852</x:v>
      </x:c>
      <x:c r="C3" s="2" t="s">
        <x:v>1796</x:v>
      </x:c>
      <x:c r="D3" s="2" t="s">
        <x:v>171</x:v>
      </x:c>
      <x:c r="E3" s="2" t="s">
        <x:v>2025</x:v>
      </x:c>
      <x:c r="F3" s="2" t="s">
        <x:v>3576</x:v>
      </x:c>
      <x:c r="G3" s="2" t="s">
        <x:v>2455</x:v>
      </x:c>
      <x:c r="H3" s="2" t="s">
        <x:v>172</x:v>
      </x:c>
    </x:row>
    <x:row r="4" ht="51">
      <x:c r="A4" s="2" t="s">
        <x:v>3577</x:v>
      </x:c>
      <x:c r="B4" s="2" t="s">
        <x:v>187</x:v>
      </x:c>
      <x:c r="C4" s="2" t="s">
        <x:v>1798</x:v>
      </x:c>
      <x:c r="D4" s="2" t="s">
        <x:v>171</x:v>
      </x:c>
      <x:c r="E4" s="2" t="s">
        <x:v>200</x:v>
      </x:c>
      <x:c r="F4" s="2" t="s">
        <x:v>3578</x:v>
      </x:c>
      <x:c r="G4" s="2" t="s">
        <x:v>2455</x:v>
      </x:c>
      <x:c r="H4" s="2" t="s">
        <x:v>172</x:v>
      </x:c>
    </x:row>
    <x:row r="5" ht="17">
      <x:c r="A5" s="2" t="s">
        <x:v>3579</x:v>
      </x:c>
      <x:c r="B5" s="2" t="s">
        <x:v>187</x:v>
      </x:c>
      <x:c r="C5" s="2" t="s">
        <x:v>1798</x:v>
      </x:c>
      <x:c r="D5" s="2" t="s">
        <x:v>3580</x:v>
      </x:c>
      <x:c r="E5" s="2" t="s">
        <x:v>169</x:v>
      </x:c>
      <x:c r="F5" s="2" t="s">
        <x:v>3581</x:v>
      </x:c>
      <x:c r="G5" s="2" t="s">
        <x:v>2455</x:v>
      </x:c>
      <x:c r="H5" s="2" t="s">
        <x:v>172</x:v>
      </x:c>
    </x:row>
    <x:row r="6" ht="51">
      <x:c r="A6" s="2" t="s">
        <x:v>3582</x:v>
      </x:c>
      <x:c r="B6" s="2" t="s">
        <x:v>3583</x:v>
      </x:c>
      <x:c r="C6" s="2" t="s">
        <x:v>3574</x:v>
      </x:c>
      <x:c r="D6" s="2" t="s">
        <x:v>171</x:v>
      </x:c>
      <x:c r="E6" s="2" t="s">
        <x:v>632</x:v>
      </x:c>
      <x:c r="F6" s="2" t="s">
        <x:v>3575</x:v>
      </x:c>
      <x:c r="G6" s="2" t="s">
        <x:v>2455</x:v>
      </x:c>
      <x:c r="H6" s="2" t="s">
        <x:v>172</x:v>
      </x:c>
    </x:row>
    <x:row r="7" ht="17">
      <x:c r="A7" s="2" t="s">
        <x:v>3584</x:v>
      </x:c>
      <x:c r="B7" s="2" t="s">
        <x:v>236</x:v>
      </x:c>
      <x:c r="C7" s="2" t="s">
        <x:v>1798</x:v>
      </x:c>
      <x:c r="D7" s="2" t="s">
        <x:v>3580</x:v>
      </x:c>
      <x:c r="E7" s="2" t="s">
        <x:v>169</x:v>
      </x:c>
      <x:c r="F7" s="2" t="s">
        <x:v>3581</x:v>
      </x:c>
      <x:c r="G7" s="2" t="s">
        <x:v>2455</x:v>
      </x:c>
      <x:c r="H7" s="2" t="s">
        <x:v>172</x:v>
      </x:c>
    </x:row>
    <x:row r="8" ht="34">
      <x:c r="A8" s="2" t="s">
        <x:v>3585</x:v>
      </x:c>
      <x:c r="B8" s="2" t="s">
        <x:v>3586</x:v>
      </x:c>
      <x:c r="C8" s="2" t="s">
        <x:v>1798</x:v>
      </x:c>
      <x:c r="D8" s="2" t="s">
        <x:v>3580</x:v>
      </x:c>
      <x:c r="E8" s="2" t="s">
        <x:v>169</x:v>
      </x:c>
      <x:c r="F8" s="2" t="s">
        <x:v>3581</x:v>
      </x:c>
      <x:c r="G8" s="2" t="s">
        <x:v>2455</x:v>
      </x:c>
      <x:c r="H8" s="2" t="s">
        <x:v>172</x:v>
      </x:c>
    </x:row>
    <x:row r="9" ht="17">
      <x:c r="A9" s="2" t="s">
        <x:v>3587</x:v>
      </x:c>
      <x:c r="B9" s="2" t="s">
        <x:v>172</x:v>
      </x:c>
      <x:c r="C9" s="2" t="s">
        <x:v>3588</x:v>
      </x:c>
      <x:c r="D9" s="2" t="s">
        <x:v>3580</x:v>
      </x:c>
      <x:c r="E9" s="2" t="s">
        <x:v>169</x:v>
      </x:c>
      <x:c r="F9" s="2" t="s">
        <x:v>3581</x:v>
      </x:c>
      <x:c r="G9" s="2" t="s">
        <x:v>2455</x:v>
      </x:c>
      <x:c r="H9" s="2" t="s">
        <x:v>172</x:v>
      </x:c>
    </x:row>
    <x:row r="10" ht="51">
      <x:c r="A10" s="2" t="s">
        <x:v>3589</x:v>
      </x:c>
      <x:c r="B10" s="2" t="s">
        <x:v>168</x:v>
      </x:c>
      <x:c r="C10" s="2" t="s">
        <x:v>1798</x:v>
      </x:c>
      <x:c r="D10" s="2" t="s">
        <x:v>171</x:v>
      </x:c>
      <x:c r="E10" s="2" t="s">
        <x:v>1975</x:v>
      </x:c>
      <x:c r="F10" s="2" t="s">
        <x:v>3578</x:v>
      </x:c>
      <x:c r="G10" s="2" t="s">
        <x:v>2455</x:v>
      </x:c>
      <x:c r="H10" s="2" t="s">
        <x:v>172</x:v>
      </x:c>
    </x:row>
    <x:row r="11" ht="68">
      <x:c r="A11" s="2" t="s">
        <x:v>1835</x:v>
      </x:c>
      <x:c r="B11" s="2" t="s">
        <x:v>185</x:v>
      </x:c>
      <x:c r="C11" s="2" t="s">
        <x:v>148</x:v>
      </x:c>
      <x:c r="D11" s="2" t="s">
        <x:v>171</x:v>
      </x:c>
      <x:c r="E11" s="2" t="s">
        <x:v>3590</x:v>
      </x:c>
      <x:c r="F11" s="2" t="s">
        <x:v>3591</x:v>
      </x:c>
      <x:c r="G11" s="2" t="s">
        <x:v>2455</x:v>
      </x:c>
      <x:c r="H11" s="2" t="s">
        <x:v>172</x:v>
      </x:c>
    </x:row>
    <x:row r="12" ht="51">
      <x:c r="A12" s="2" t="s">
        <x:v>3592</x:v>
      </x:c>
      <x:c r="B12" s="2" t="s">
        <x:v>1409</x:v>
      </x:c>
      <x:c r="C12" s="2" t="s">
        <x:v>1202</x:v>
      </x:c>
      <x:c r="D12" s="2" t="s">
        <x:v>171</x:v>
      </x:c>
      <x:c r="E12" s="2" t="s">
        <x:v>1918</x:v>
      </x:c>
      <x:c r="F12" s="2" t="s">
        <x:v>3593</x:v>
      </x:c>
      <x:c r="G12" s="2" t="s">
        <x:v>2455</x:v>
      </x:c>
      <x:c r="H12" s="2" t="s">
        <x:v>172</x:v>
      </x:c>
    </x:row>
    <x:row r="13" ht="51">
      <x:c r="A13" s="2" t="s">
        <x:v>3594</x:v>
      </x:c>
      <x:c r="B13" s="2" t="s">
        <x:v>180</x:v>
      </x:c>
      <x:c r="C13" s="2" t="s">
        <x:v>148</x:v>
      </x:c>
      <x:c r="D13" s="2" t="s">
        <x:v>171</x:v>
      </x:c>
      <x:c r="E13" s="2" t="s">
        <x:v>330</x:v>
      </x:c>
      <x:c r="F13" s="2" t="s">
        <x:v>3595</x:v>
      </x:c>
      <x:c r="G13" s="2" t="s">
        <x:v>2455</x:v>
      </x:c>
      <x:c r="H13" s="2" t="s">
        <x:v>172</x:v>
      </x:c>
    </x:row>
    <x:row r="14" ht="17">
      <x:c r="A14" s="2" t="s">
        <x:v>3596</x:v>
      </x:c>
      <x:c r="B14" s="2" t="s">
        <x:v>3597</x:v>
      </x:c>
      <x:c r="C14" s="2" t="s">
        <x:v>1798</x:v>
      </x:c>
      <x:c r="D14" s="2" t="s">
        <x:v>3580</x:v>
      </x:c>
      <x:c r="E14" s="2" t="s">
        <x:v>169</x:v>
      </x:c>
      <x:c r="F14" s="2" t="s">
        <x:v>3581</x:v>
      </x:c>
      <x:c r="G14" s="2" t="s">
        <x:v>2455</x:v>
      </x:c>
      <x:c r="H14" s="2" t="s">
        <x:v>172</x:v>
      </x:c>
    </x:row>
    <x:row r="15" ht="51">
      <x:c r="A15" s="2" t="s">
        <x:v>3598</x:v>
      </x:c>
      <x:c r="B15" s="2" t="s">
        <x:v>3599</x:v>
      </x:c>
      <x:c r="C15" s="2" t="s">
        <x:v>3574</x:v>
      </x:c>
      <x:c r="D15" s="2" t="s">
        <x:v>171</x:v>
      </x:c>
      <x:c r="E15" s="2" t="s">
        <x:v>632</x:v>
      </x:c>
      <x:c r="F15" s="2" t="s">
        <x:v>3575</x:v>
      </x:c>
      <x:c r="G15" s="2" t="s">
        <x:v>2455</x:v>
      </x:c>
      <x:c r="H15" s="2" t="s">
        <x:v>172</x:v>
      </x:c>
    </x:row>
    <x:row r="16" ht="17">
      <x:c r="A16" s="2" t="s">
        <x:v>3600</x:v>
      </x:c>
      <x:c r="B16" s="2" t="s">
        <x:v>3601</x:v>
      </x:c>
      <x:c r="C16" s="2" t="s">
        <x:v>1798</x:v>
      </x:c>
      <x:c r="D16" s="2" t="s">
        <x:v>3580</x:v>
      </x:c>
      <x:c r="E16" s="2" t="s">
        <x:v>169</x:v>
      </x:c>
      <x:c r="F16" s="2" t="s">
        <x:v>3581</x:v>
      </x:c>
      <x:c r="G16" s="2" t="s">
        <x:v>2455</x:v>
      </x:c>
      <x:c r="H16" s="2" t="s">
        <x:v>172</x:v>
      </x:c>
    </x:row>
    <x:row r="17" ht="51">
      <x:c r="A17" s="2" t="s">
        <x:v>3602</x:v>
      </x:c>
      <x:c r="B17" s="2" t="s">
        <x:v>3603</x:v>
      </x:c>
      <x:c r="C17" s="2" t="s">
        <x:v>3574</x:v>
      </x:c>
      <x:c r="D17" s="2" t="s">
        <x:v>171</x:v>
      </x:c>
      <x:c r="E17" s="2" t="s">
        <x:v>1466</x:v>
      </x:c>
      <x:c r="F17" s="2" t="s">
        <x:v>3575</x:v>
      </x:c>
      <x:c r="G17" s="2" t="s">
        <x:v>2455</x:v>
      </x:c>
      <x:c r="H17" s="2" t="s">
        <x:v>172</x:v>
      </x:c>
    </x:row>
    <x:row r="18" ht="51">
      <x:c r="A18" s="2" t="s">
        <x:v>1834</x:v>
      </x:c>
      <x:c r="B18" s="2" t="s">
        <x:v>1816</x:v>
      </x:c>
      <x:c r="C18" s="2" t="s">
        <x:v>1796</x:v>
      </x:c>
      <x:c r="D18" s="2" t="s">
        <x:v>171</x:v>
      </x:c>
      <x:c r="E18" s="2" t="s">
        <x:v>3604</x:v>
      </x:c>
      <x:c r="F18" s="2" t="s">
        <x:v>3576</x:v>
      </x:c>
      <x:c r="G18" s="2" t="s">
        <x:v>2455</x:v>
      </x:c>
      <x:c r="H18" s="2" t="s">
        <x:v>172</x:v>
      </x:c>
    </x:row>
    <x:row r="19" ht="51">
      <x:c r="A19" s="2" t="s">
        <x:v>3605</x:v>
      </x:c>
      <x:c r="B19" s="2" t="s">
        <x:v>1337</x:v>
      </x:c>
      <x:c r="C19" s="2" t="s">
        <x:v>1202</x:v>
      </x:c>
      <x:c r="D19" s="2" t="s">
        <x:v>171</x:v>
      </x:c>
      <x:c r="E19" s="2" t="s">
        <x:v>1721</x:v>
      </x:c>
      <x:c r="F19" s="2" t="s">
        <x:v>3593</x:v>
      </x:c>
      <x:c r="G19" s="2" t="s">
        <x:v>2455</x:v>
      </x:c>
      <x:c r="H19" s="2" t="s">
        <x:v>172</x:v>
      </x:c>
    </x:row>
    <x:row r="20" ht="17">
      <x:c r="A20" s="2" t="s">
        <x:v>3606</x:v>
      </x:c>
      <x:c r="B20" s="2" t="s">
        <x:v>3607</x:v>
      </x:c>
      <x:c r="C20" s="2" t="s">
        <x:v>148</x:v>
      </x:c>
      <x:c r="D20" s="2" t="s">
        <x:v>3580</x:v>
      </x:c>
      <x:c r="E20" s="2" t="s">
        <x:v>169</x:v>
      </x:c>
      <x:c r="F20" s="2" t="s">
        <x:v>3581</x:v>
      </x:c>
      <x:c r="G20" s="2" t="s">
        <x:v>2455</x:v>
      </x:c>
      <x:c r="H20" s="2" t="s">
        <x:v>172</x:v>
      </x:c>
    </x:row>
    <x:row r="21" ht="17">
      <x:c r="A21" s="2" t="s">
        <x:v>3608</x:v>
      </x:c>
      <x:c r="B21" s="2" t="s">
        <x:v>205</x:v>
      </x:c>
      <x:c r="C21" s="2" t="s">
        <x:v>148</x:v>
      </x:c>
      <x:c r="D21" s="2" t="s">
        <x:v>3580</x:v>
      </x:c>
      <x:c r="E21" s="2" t="s">
        <x:v>169</x:v>
      </x:c>
      <x:c r="F21" s="2" t="s">
        <x:v>3581</x:v>
      </x:c>
      <x:c r="G21" s="2" t="s">
        <x:v>2455</x:v>
      </x:c>
      <x:c r="H21" s="2" t="s">
        <x:v>172</x:v>
      </x:c>
    </x:row>
    <x:row r="22" ht="17">
      <x:c r="A22" s="2" t="s">
        <x:v>3609</x:v>
      </x:c>
      <x:c r="B22" s="2" t="s">
        <x:v>3610</x:v>
      </x:c>
      <x:c r="C22" s="2" t="s">
        <x:v>148</x:v>
      </x:c>
      <x:c r="D22" s="2" t="s">
        <x:v>3580</x:v>
      </x:c>
      <x:c r="E22" s="2" t="s">
        <x:v>169</x:v>
      </x:c>
      <x:c r="F22" s="2" t="s">
        <x:v>3581</x:v>
      </x:c>
      <x:c r="G22" s="2" t="s">
        <x:v>2455</x:v>
      </x:c>
      <x:c r="H22" s="2" t="s">
        <x:v>172</x:v>
      </x:c>
    </x:row>
    <x:row r="23" ht="34">
      <x:c r="A23" s="2" t="s">
        <x:v>3611</x:v>
      </x:c>
      <x:c r="B23" s="2" t="s">
        <x:v>203</x:v>
      </x:c>
      <x:c r="C23" s="2" t="s">
        <x:v>148</x:v>
      </x:c>
      <x:c r="D23" s="2" t="s">
        <x:v>3580</x:v>
      </x:c>
      <x:c r="E23" s="2" t="s">
        <x:v>169</x:v>
      </x:c>
      <x:c r="F23" s="2" t="s">
        <x:v>3581</x:v>
      </x:c>
      <x:c r="G23" s="2" t="s">
        <x:v>2455</x:v>
      </x:c>
      <x:c r="H23" s="2" t="s">
        <x:v>172</x:v>
      </x:c>
    </x:row>
    <x:row r="24" ht="34">
      <x:c r="A24" s="2" t="s">
        <x:v>3612</x:v>
      </x:c>
      <x:c r="B24" s="2" t="s">
        <x:v>3613</x:v>
      </x:c>
      <x:c r="C24" s="2" t="s">
        <x:v>148</x:v>
      </x:c>
      <x:c r="D24" s="2" t="s">
        <x:v>3580</x:v>
      </x:c>
      <x:c r="E24" s="2" t="s">
        <x:v>169</x:v>
      </x:c>
      <x:c r="F24" s="2" t="s">
        <x:v>3581</x:v>
      </x:c>
      <x:c r="G24" s="2" t="s">
        <x:v>2455</x:v>
      </x:c>
      <x:c r="H24" s="2" t="s">
        <x:v>172</x:v>
      </x:c>
    </x:row>
    <x:row r="25" ht="17">
      <x:c r="A25" s="2" t="s">
        <x:v>3614</x:v>
      </x:c>
      <x:c r="B25" s="2" t="s">
        <x:v>171</x:v>
      </x:c>
      <x:c r="C25" s="2" t="s">
        <x:v>3588</x:v>
      </x:c>
      <x:c r="D25" s="2" t="s">
        <x:v>3580</x:v>
      </x:c>
      <x:c r="E25" s="2" t="s">
        <x:v>169</x:v>
      </x:c>
      <x:c r="F25" s="2" t="s">
        <x:v>3581</x:v>
      </x:c>
      <x:c r="G25" s="2" t="s">
        <x:v>2455</x:v>
      </x:c>
      <x:c r="H25" s="2" t="s">
        <x:v>172</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ColWidth="9" defaultRowHeight="16.799999237060547"/>
  <x:cols>
    <x:col min="1" max="32" width="16" customWidth="1"/>
  </x:cols>
  <x:sheetData>
    <x:row r="1" ht="34" customHeight="1">
      <x:c r="A1" s="1" t="s">
        <x:v>3615</x:v>
      </x:c>
      <x:c r="B1" s="1" t="s">
        <x:v>3616</x:v>
      </x:c>
      <x:c r="C1" s="1" t="s">
        <x:v>3617</x:v>
      </x:c>
      <x:c r="D1" s="1" t="s">
        <x:v>3618</x:v>
      </x:c>
      <x:c r="E1" s="1" t="s">
        <x:v>25</x:v>
      </x:c>
      <x:c r="F1" s="1" t="s">
        <x:v>3619</x:v>
      </x:c>
      <x:c r="G1" s="1" t="s">
        <x:v>3620</x:v>
      </x:c>
      <x:c r="H1" s="1" t="s">
        <x:v>3621</x:v>
      </x:c>
      <x:c r="I1" s="1" t="s">
        <x:v>3622</x:v>
      </x:c>
      <x:c r="J1" s="1" t="s">
        <x:v>3623</x:v>
      </x:c>
      <x:c r="K1" s="1" t="s">
        <x:v>3624</x:v>
      </x:c>
      <x:c r="L1" s="1" t="s">
        <x:v>3625</x:v>
      </x:c>
      <x:c r="M1" s="1" t="s">
        <x:v>3626</x:v>
      </x:c>
      <x:c r="N1" s="1" t="s">
        <x:v>3627</x:v>
      </x:c>
      <x:c r="O1" s="1" t="s">
        <x:v>3628</x:v>
      </x:c>
      <x:c r="P1" s="1" t="s">
        <x:v>3629</x:v>
      </x:c>
      <x:c r="Q1" s="1" t="s">
        <x:v>3630</x:v>
      </x:c>
      <x:c r="R1" s="1" t="s">
        <x:v>3631</x:v>
      </x:c>
      <x:c r="S1" s="1" t="s">
        <x:v>3632</x:v>
      </x:c>
      <x:c r="T1" s="1" t="s">
        <x:v>3633</x:v>
      </x:c>
      <x:c r="U1" s="1" t="s">
        <x:v>3634</x:v>
      </x:c>
      <x:c r="V1" s="1" t="s">
        <x:v>3635</x:v>
      </x:c>
      <x:c r="W1" s="1" t="s">
        <x:v>3636</x:v>
      </x:c>
      <x:c r="X1" s="1" t="s">
        <x:v>3637</x:v>
      </x:c>
      <x:c r="Y1" s="1" t="s">
        <x:v>3638</x:v>
      </x:c>
      <x:c r="Z1" s="1" t="s">
        <x:v>3639</x:v>
      </x:c>
      <x:c r="AA1" s="1" t="s">
        <x:v>3640</x:v>
      </x:c>
      <x:c r="AB1" s="1" t="s">
        <x:v>3641</x:v>
      </x:c>
      <x:c r="AC1" s="1" t="s">
        <x:v>748</x:v>
      </x:c>
      <x:c r="AD1" s="1" t="s">
        <x:v>160</x:v>
      </x:c>
      <x:c r="AE1" s="1" t="s">
        <x:v>2787</x:v>
      </x:c>
      <x:c r="AF1" s="1" t="s">
        <x:v>1810</x:v>
      </x:c>
    </x:row>
    <x:row r="2" ht="135">
      <x:c r="A2" s="2" t="s">
        <x:v>200</x:v>
      </x:c>
      <x:c r="B2" s="2" t="s">
        <x:v>404</x:v>
      </x:c>
      <x:c r="C2" s="2" t="s">
        <x:v>3642</x:v>
      </x:c>
      <x:c r="D2" s="2" t="s">
        <x:v>3643</x:v>
      </x:c>
      <x:c r="E2" s="2" t="s">
        <x:v>1336</x:v>
      </x:c>
      <x:c r="F2" s="2" t="s">
        <x:v>3644</x:v>
      </x:c>
      <x:c r="G2" s="2" t="s">
        <x:v>3645</x:v>
      </x:c>
      <x:c r="H2" s="2" t="s">
        <x:v>3646</x:v>
      </x:c>
      <x:c r="I2" s="2" t="s">
        <x:v>1707</x:v>
      </x:c>
      <x:c r="J2" s="2" t="s">
        <x:v>3647</x:v>
      </x:c>
      <x:c r="K2" s="2" t="s">
        <x:v>3648</x:v>
      </x:c>
      <x:c r="L2" s="2" t="s">
        <x:v>200</x:v>
      </x:c>
      <x:c r="M2" s="2" t="s">
        <x:v>171</x:v>
      </x:c>
      <x:c r="N2" s="2" t="s">
        <x:v>3649</x:v>
      </x:c>
      <x:c r="O2" s="2" t="s">
        <x:v>3650</x:v>
      </x:c>
      <x:c r="P2" s="2" t="s">
        <x:v>3651</x:v>
      </x:c>
      <x:c r="Q2" s="2" t="s">
        <x:v>3652</x:v>
      </x:c>
      <x:c r="R2" s="2" t="s">
        <x:v>3653</x:v>
      </x:c>
      <x:c r="S2" s="2" t="s">
        <x:v>3654</x:v>
      </x:c>
      <x:c r="T2" s="2" t="s">
        <x:v>3655</x:v>
      </x:c>
      <x:c r="U2" s="2" t="s">
        <x:v>3654</x:v>
      </x:c>
      <x:c r="V2" s="2" t="s">
        <x:v>3252</x:v>
      </x:c>
      <x:c r="W2" s="2" t="s">
        <x:v>3656</x:v>
      </x:c>
      <x:c r="X2" s="2" t="s">
        <x:v>3253</x:v>
      </x:c>
      <x:c r="Y2" s="2" t="s">
        <x:v>3657</x:v>
      </x:c>
      <x:c r="Z2" s="2" t="s">
        <x:v>3064</x:v>
      </x:c>
      <x:c r="AA2" s="2" t="s">
        <x:v>172</x:v>
      </x:c>
      <x:c r="AB2" s="2" t="s">
        <x:v>3658</x:v>
      </x:c>
      <x:c r="AC2" s="2" t="s">
        <x:v>1820</x:v>
      </x:c>
      <x:c r="AD2" s="2" t="s">
        <x:v>172</x:v>
      </x:c>
      <x:c r="AE2" s="2" t="s">
        <x:v>3659</x:v>
      </x:c>
      <x:c r="AF2" s="2" t="s">
        <x:v>3660</x:v>
      </x:c>
    </x:row>
    <x:row r="3" ht="135">
      <x:c r="A3" s="2" t="s">
        <x:v>1353</x:v>
      </x:c>
      <x:c r="B3" s="2" t="s">
        <x:v>404</x:v>
      </x:c>
      <x:c r="C3" s="2" t="s">
        <x:v>3661</x:v>
      </x:c>
      <x:c r="D3" s="2" t="s">
        <x:v>3643</x:v>
      </x:c>
      <x:c r="E3" s="2" t="s">
        <x:v>1336</x:v>
      </x:c>
      <x:c r="F3" s="2" t="s">
        <x:v>3662</x:v>
      </x:c>
      <x:c r="G3" s="2" t="s">
        <x:v>3663</x:v>
      </x:c>
      <x:c r="H3" s="2" t="s">
        <x:v>3664</x:v>
      </x:c>
      <x:c r="I3" s="2" t="s">
        <x:v>1707</x:v>
      </x:c>
      <x:c r="J3" s="2" t="s">
        <x:v>3665</x:v>
      </x:c>
      <x:c r="K3" s="2" t="s">
        <x:v>3666</x:v>
      </x:c>
      <x:c r="L3" s="2" t="s">
        <x:v>200</x:v>
      </x:c>
      <x:c r="M3" s="2" t="s">
        <x:v>171</x:v>
      </x:c>
      <x:c r="N3" s="2" t="s">
        <x:v>3649</x:v>
      </x:c>
      <x:c r="O3" s="2" t="s">
        <x:v>3650</x:v>
      </x:c>
      <x:c r="P3" s="2" t="s">
        <x:v>3651</x:v>
      </x:c>
      <x:c r="Q3" s="2" t="s">
        <x:v>3652</x:v>
      </x:c>
      <x:c r="R3" s="2" t="s">
        <x:v>3653</x:v>
      </x:c>
      <x:c r="S3" s="2" t="s">
        <x:v>3655</x:v>
      </x:c>
      <x:c r="T3" s="2" t="s">
        <x:v>3667</x:v>
      </x:c>
      <x:c r="U3" s="2" t="s">
        <x:v>3654</x:v>
      </x:c>
      <x:c r="V3" s="2" t="s">
        <x:v>3252</x:v>
      </x:c>
      <x:c r="W3" s="2" t="s">
        <x:v>3656</x:v>
      </x:c>
      <x:c r="X3" s="2" t="s">
        <x:v>3253</x:v>
      </x:c>
      <x:c r="Y3" s="2" t="s">
        <x:v>3657</x:v>
      </x:c>
      <x:c r="Z3" s="2" t="s">
        <x:v>3064</x:v>
      </x:c>
      <x:c r="AA3" s="2" t="s">
        <x:v>172</x:v>
      </x:c>
      <x:c r="AB3" s="2" t="s">
        <x:v>3658</x:v>
      </x:c>
      <x:c r="AC3" s="2" t="s">
        <x:v>1820</x:v>
      </x:c>
      <x:c r="AD3" s="2" t="s">
        <x:v>172</x:v>
      </x:c>
      <x:c r="AE3" s="2" t="s">
        <x:v>3659</x:v>
      </x:c>
      <x:c r="AF3" s="2" t="s">
        <x:v>3668</x:v>
      </x:c>
    </x:row>
    <x:row r="4" ht="135">
      <x:c r="A4" s="2" t="s">
        <x:v>1466</x:v>
      </x:c>
      <x:c r="B4" s="2" t="s">
        <x:v>404</x:v>
      </x:c>
      <x:c r="C4" s="2" t="s">
        <x:v>3669</x:v>
      </x:c>
      <x:c r="D4" s="2" t="s">
        <x:v>3643</x:v>
      </x:c>
      <x:c r="E4" s="2" t="s">
        <x:v>1336</x:v>
      </x:c>
      <x:c r="F4" s="2" t="s">
        <x:v>3670</x:v>
      </x:c>
      <x:c r="G4" s="2" t="s">
        <x:v>3671</x:v>
      </x:c>
      <x:c r="H4" s="2" t="s">
        <x:v>3672</x:v>
      </x:c>
      <x:c r="I4" s="2" t="s">
        <x:v>1707</x:v>
      </x:c>
      <x:c r="J4" s="2" t="s">
        <x:v>3673</x:v>
      </x:c>
      <x:c r="K4" s="2" t="s">
        <x:v>3674</x:v>
      </x:c>
      <x:c r="L4" s="2" t="s">
        <x:v>200</x:v>
      </x:c>
      <x:c r="M4" s="2" t="s">
        <x:v>171</x:v>
      </x:c>
      <x:c r="N4" s="2" t="s">
        <x:v>3649</x:v>
      </x:c>
      <x:c r="O4" s="2" t="s">
        <x:v>3650</x:v>
      </x:c>
      <x:c r="P4" s="2" t="s">
        <x:v>3651</x:v>
      </x:c>
      <x:c r="Q4" s="2" t="s">
        <x:v>3652</x:v>
      </x:c>
      <x:c r="R4" s="2" t="s">
        <x:v>3653</x:v>
      </x:c>
      <x:c r="S4" s="2" t="s">
        <x:v>3667</x:v>
      </x:c>
      <x:c r="T4" s="2" t="s">
        <x:v>3675</x:v>
      </x:c>
      <x:c r="U4" s="2" t="s">
        <x:v>3654</x:v>
      </x:c>
      <x:c r="V4" s="2" t="s">
        <x:v>3252</x:v>
      </x:c>
      <x:c r="W4" s="2" t="s">
        <x:v>3656</x:v>
      </x:c>
      <x:c r="X4" s="2" t="s">
        <x:v>3253</x:v>
      </x:c>
      <x:c r="Y4" s="2" t="s">
        <x:v>3657</x:v>
      </x:c>
      <x:c r="Z4" s="2" t="s">
        <x:v>3064</x:v>
      </x:c>
      <x:c r="AA4" s="2" t="s">
        <x:v>172</x:v>
      </x:c>
      <x:c r="AB4" s="2" t="s">
        <x:v>3658</x:v>
      </x:c>
      <x:c r="AC4" s="2" t="s">
        <x:v>1820</x:v>
      </x:c>
      <x:c r="AD4" s="2" t="s">
        <x:v>172</x:v>
      </x:c>
      <x:c r="AE4" s="2" t="s">
        <x:v>3659</x:v>
      </x:c>
      <x:c r="AF4" s="2" t="s">
        <x:v>3676</x:v>
      </x:c>
    </x:row>
    <x:row r="5" ht="135">
      <x:c r="A5" s="2" t="s">
        <x:v>218</x:v>
      </x:c>
      <x:c r="B5" s="2" t="s">
        <x:v>404</x:v>
      </x:c>
      <x:c r="C5" s="2" t="s">
        <x:v>3677</x:v>
      </x:c>
      <x:c r="D5" s="2" t="s">
        <x:v>3643</x:v>
      </x:c>
      <x:c r="E5" s="2" t="s">
        <x:v>1336</x:v>
      </x:c>
      <x:c r="F5" s="2" t="s">
        <x:v>3678</x:v>
      </x:c>
      <x:c r="G5" s="2" t="s">
        <x:v>3679</x:v>
      </x:c>
      <x:c r="H5" s="2" t="s">
        <x:v>3680</x:v>
      </x:c>
      <x:c r="I5" s="2" t="s">
        <x:v>1707</x:v>
      </x:c>
      <x:c r="J5" s="2" t="s">
        <x:v>3681</x:v>
      </x:c>
      <x:c r="K5" s="2" t="s">
        <x:v>3682</x:v>
      </x:c>
      <x:c r="L5" s="2" t="s">
        <x:v>1353</x:v>
      </x:c>
      <x:c r="M5" s="2" t="s">
        <x:v>3683</x:v>
      </x:c>
      <x:c r="N5" s="2" t="s">
        <x:v>3649</x:v>
      </x:c>
      <x:c r="O5" s="2" t="s">
        <x:v>3650</x:v>
      </x:c>
      <x:c r="P5" s="2" t="s">
        <x:v>3651</x:v>
      </x:c>
      <x:c r="Q5" s="2" t="s">
        <x:v>3652</x:v>
      </x:c>
      <x:c r="R5" s="2" t="s">
        <x:v>3653</x:v>
      </x:c>
      <x:c r="S5" s="2" t="s">
        <x:v>3675</x:v>
      </x:c>
      <x:c r="T5" s="2" t="s">
        <x:v>3684</x:v>
      </x:c>
      <x:c r="U5" s="2" t="s">
        <x:v>3654</x:v>
      </x:c>
      <x:c r="V5" s="2" t="s">
        <x:v>3252</x:v>
      </x:c>
      <x:c r="W5" s="2" t="s">
        <x:v>3656</x:v>
      </x:c>
      <x:c r="X5" s="2" t="s">
        <x:v>3253</x:v>
      </x:c>
      <x:c r="Y5" s="2" t="s">
        <x:v>3657</x:v>
      </x:c>
      <x:c r="Z5" s="2" t="s">
        <x:v>3064</x:v>
      </x:c>
      <x:c r="AA5" s="2" t="s">
        <x:v>172</x:v>
      </x:c>
      <x:c r="AB5" s="2" t="s">
        <x:v>3658</x:v>
      </x:c>
      <x:c r="AC5" s="2" t="s">
        <x:v>1820</x:v>
      </x:c>
      <x:c r="AD5" s="2" t="s">
        <x:v>172</x:v>
      </x:c>
      <x:c r="AE5" s="2" t="s">
        <x:v>3659</x:v>
      </x:c>
      <x:c r="AF5" s="2" t="s">
        <x:v>3685</x:v>
      </x:c>
    </x:row>
    <x:row r="6" ht="135">
      <x:c r="A6" s="2" t="s">
        <x:v>314</x:v>
      </x:c>
      <x:c r="B6" s="2" t="s">
        <x:v>404</x:v>
      </x:c>
      <x:c r="C6" s="2" t="s">
        <x:v>3677</x:v>
      </x:c>
      <x:c r="D6" s="2" t="s">
        <x:v>3643</x:v>
      </x:c>
      <x:c r="E6" s="2" t="s">
        <x:v>1336</x:v>
      </x:c>
      <x:c r="F6" s="2" t="s">
        <x:v>3686</x:v>
      </x:c>
      <x:c r="G6" s="2" t="s">
        <x:v>3687</x:v>
      </x:c>
      <x:c r="H6" s="2" t="s">
        <x:v>3688</x:v>
      </x:c>
      <x:c r="I6" s="2" t="s">
        <x:v>1707</x:v>
      </x:c>
      <x:c r="J6" s="2" t="s">
        <x:v>3681</x:v>
      </x:c>
      <x:c r="K6" s="2" t="s">
        <x:v>3682</x:v>
      </x:c>
      <x:c r="L6" s="2" t="s">
        <x:v>1353</x:v>
      </x:c>
      <x:c r="M6" s="2" t="s">
        <x:v>3683</x:v>
      </x:c>
      <x:c r="N6" s="2" t="s">
        <x:v>3649</x:v>
      </x:c>
      <x:c r="O6" s="2" t="s">
        <x:v>3650</x:v>
      </x:c>
      <x:c r="P6" s="2" t="s">
        <x:v>3651</x:v>
      </x:c>
      <x:c r="Q6" s="2" t="s">
        <x:v>3652</x:v>
      </x:c>
      <x:c r="R6" s="2" t="s">
        <x:v>3653</x:v>
      </x:c>
      <x:c r="S6" s="2" t="s">
        <x:v>3684</x:v>
      </x:c>
      <x:c r="T6" s="2" t="s">
        <x:v>3689</x:v>
      </x:c>
      <x:c r="U6" s="2" t="s">
        <x:v>3654</x:v>
      </x:c>
      <x:c r="V6" s="2" t="s">
        <x:v>3252</x:v>
      </x:c>
      <x:c r="W6" s="2" t="s">
        <x:v>3656</x:v>
      </x:c>
      <x:c r="X6" s="2" t="s">
        <x:v>3253</x:v>
      </x:c>
      <x:c r="Y6" s="2" t="s">
        <x:v>3657</x:v>
      </x:c>
      <x:c r="Z6" s="2" t="s">
        <x:v>3064</x:v>
      </x:c>
      <x:c r="AA6" s="2" t="s">
        <x:v>172</x:v>
      </x:c>
      <x:c r="AB6" s="2" t="s">
        <x:v>3658</x:v>
      </x:c>
      <x:c r="AC6" s="2" t="s">
        <x:v>1820</x:v>
      </x:c>
      <x:c r="AD6" s="2" t="s">
        <x:v>172</x:v>
      </x:c>
      <x:c r="AE6" s="2" t="s">
        <x:v>3659</x:v>
      </x:c>
      <x:c r="AF6" s="2" t="s">
        <x:v>3690</x:v>
      </x:c>
    </x:row>
    <x:row r="7" ht="135">
      <x:c r="A7" s="2" t="s">
        <x:v>1573</x:v>
      </x:c>
      <x:c r="B7" s="2" t="s">
        <x:v>404</x:v>
      </x:c>
      <x:c r="C7" s="2" t="s">
        <x:v>3691</x:v>
      </x:c>
      <x:c r="D7" s="2" t="s">
        <x:v>3643</x:v>
      </x:c>
      <x:c r="E7" s="2" t="s">
        <x:v>1336</x:v>
      </x:c>
      <x:c r="F7" s="2" t="s">
        <x:v>3692</x:v>
      </x:c>
      <x:c r="G7" s="2" t="s">
        <x:v>3693</x:v>
      </x:c>
      <x:c r="H7" s="2" t="s">
        <x:v>3694</x:v>
      </x:c>
      <x:c r="I7" s="2" t="s">
        <x:v>1707</x:v>
      </x:c>
      <x:c r="J7" s="2" t="s">
        <x:v>3695</x:v>
      </x:c>
      <x:c r="K7" s="2" t="s">
        <x:v>3696</x:v>
      </x:c>
      <x:c r="L7" s="2" t="s">
        <x:v>200</x:v>
      </x:c>
      <x:c r="M7" s="2" t="s">
        <x:v>171</x:v>
      </x:c>
      <x:c r="N7" s="2" t="s">
        <x:v>3649</x:v>
      </x:c>
      <x:c r="O7" s="2" t="s">
        <x:v>3650</x:v>
      </x:c>
      <x:c r="P7" s="2" t="s">
        <x:v>3651</x:v>
      </x:c>
      <x:c r="Q7" s="2" t="s">
        <x:v>3652</x:v>
      </x:c>
      <x:c r="R7" s="2" t="s">
        <x:v>3653</x:v>
      </x:c>
      <x:c r="S7" s="2" t="s">
        <x:v>3689</x:v>
      </x:c>
      <x:c r="T7" s="2" t="s">
        <x:v>3697</x:v>
      </x:c>
      <x:c r="U7" s="2" t="s">
        <x:v>3654</x:v>
      </x:c>
      <x:c r="V7" s="2" t="s">
        <x:v>3252</x:v>
      </x:c>
      <x:c r="W7" s="2" t="s">
        <x:v>3656</x:v>
      </x:c>
      <x:c r="X7" s="2" t="s">
        <x:v>3253</x:v>
      </x:c>
      <x:c r="Y7" s="2" t="s">
        <x:v>3657</x:v>
      </x:c>
      <x:c r="Z7" s="2" t="s">
        <x:v>3064</x:v>
      </x:c>
      <x:c r="AA7" s="2" t="s">
        <x:v>172</x:v>
      </x:c>
      <x:c r="AB7" s="2" t="s">
        <x:v>3658</x:v>
      </x:c>
      <x:c r="AC7" s="2" t="s">
        <x:v>1820</x:v>
      </x:c>
      <x:c r="AD7" s="2" t="s">
        <x:v>172</x:v>
      </x:c>
      <x:c r="AE7" s="2" t="s">
        <x:v>3659</x:v>
      </x:c>
      <x:c r="AF7" s="2" t="s">
        <x:v>3698</x:v>
      </x:c>
    </x:row>
    <x:row r="8" ht="135">
      <x:c r="A8" s="2" t="s">
        <x:v>330</x:v>
      </x:c>
      <x:c r="B8" s="2" t="s">
        <x:v>3699</x:v>
      </x:c>
      <x:c r="C8" s="2" t="s">
        <x:v>3700</x:v>
      </x:c>
      <x:c r="D8" s="2" t="s">
        <x:v>3643</x:v>
      </x:c>
      <x:c r="E8" s="2" t="s">
        <x:v>1336</x:v>
      </x:c>
      <x:c r="F8" s="2" t="s">
        <x:v>3701</x:v>
      </x:c>
      <x:c r="G8" s="2" t="s">
        <x:v>3702</x:v>
      </x:c>
      <x:c r="H8" s="2" t="s">
        <x:v>3703</x:v>
      </x:c>
      <x:c r="I8" s="2" t="s">
        <x:v>1707</x:v>
      </x:c>
      <x:c r="J8" s="2" t="s">
        <x:v>3704</x:v>
      </x:c>
      <x:c r="K8" s="2" t="s">
        <x:v>3705</x:v>
      </x:c>
      <x:c r="L8" s="2" t="s">
        <x:v>200</x:v>
      </x:c>
      <x:c r="M8" s="2" t="s">
        <x:v>171</x:v>
      </x:c>
      <x:c r="N8" s="2" t="s">
        <x:v>3649</x:v>
      </x:c>
      <x:c r="O8" s="2" t="s">
        <x:v>3650</x:v>
      </x:c>
      <x:c r="P8" s="2" t="s">
        <x:v>3651</x:v>
      </x:c>
      <x:c r="Q8" s="2" t="s">
        <x:v>3652</x:v>
      </x:c>
      <x:c r="R8" s="2" t="s">
        <x:v>3653</x:v>
      </x:c>
      <x:c r="S8" s="2" t="s">
        <x:v>3697</x:v>
      </x:c>
      <x:c r="T8" s="2" t="s">
        <x:v>3706</x:v>
      </x:c>
      <x:c r="U8" s="2" t="s">
        <x:v>3654</x:v>
      </x:c>
      <x:c r="V8" s="2" t="s">
        <x:v>3252</x:v>
      </x:c>
      <x:c r="W8" s="2" t="s">
        <x:v>3656</x:v>
      </x:c>
      <x:c r="X8" s="2" t="s">
        <x:v>3253</x:v>
      </x:c>
      <x:c r="Y8" s="2" t="s">
        <x:v>3657</x:v>
      </x:c>
      <x:c r="Z8" s="2" t="s">
        <x:v>3064</x:v>
      </x:c>
      <x:c r="AA8" s="2" t="s">
        <x:v>172</x:v>
      </x:c>
      <x:c r="AB8" s="2" t="s">
        <x:v>3658</x:v>
      </x:c>
      <x:c r="AC8" s="2" t="s">
        <x:v>1820</x:v>
      </x:c>
      <x:c r="AD8" s="2" t="s">
        <x:v>172</x:v>
      </x:c>
      <x:c r="AE8" s="2" t="s">
        <x:v>3659</x:v>
      </x:c>
      <x:c r="AF8" s="2" t="s">
        <x:v>3707</x:v>
      </x:c>
    </x:row>
    <x:row r="9" ht="135">
      <x:c r="A9" s="2" t="s">
        <x:v>229</x:v>
      </x:c>
      <x:c r="B9" s="2" t="s">
        <x:v>3708</x:v>
      </x:c>
      <x:c r="C9" s="2" t="s">
        <x:v>3709</x:v>
      </x:c>
      <x:c r="D9" s="2" t="s">
        <x:v>3643</x:v>
      </x:c>
      <x:c r="E9" s="2" t="s">
        <x:v>1336</x:v>
      </x:c>
      <x:c r="F9" s="2" t="s">
        <x:v>3710</x:v>
      </x:c>
      <x:c r="G9" s="2" t="s">
        <x:v>3711</x:v>
      </x:c>
      <x:c r="H9" s="2" t="s">
        <x:v>3712</x:v>
      </x:c>
      <x:c r="I9" s="2" t="s">
        <x:v>1707</x:v>
      </x:c>
      <x:c r="J9" s="2" t="s">
        <x:v>3713</x:v>
      </x:c>
      <x:c r="K9" s="2" t="s">
        <x:v>3714</x:v>
      </x:c>
      <x:c r="L9" s="2" t="s">
        <x:v>200</x:v>
      </x:c>
      <x:c r="M9" s="2" t="s">
        <x:v>171</x:v>
      </x:c>
      <x:c r="N9" s="2" t="s">
        <x:v>3649</x:v>
      </x:c>
      <x:c r="O9" s="2" t="s">
        <x:v>3650</x:v>
      </x:c>
      <x:c r="P9" s="2" t="s">
        <x:v>3651</x:v>
      </x:c>
      <x:c r="Q9" s="2" t="s">
        <x:v>3652</x:v>
      </x:c>
      <x:c r="R9" s="2" t="s">
        <x:v>3653</x:v>
      </x:c>
      <x:c r="S9" s="2" t="s">
        <x:v>3706</x:v>
      </x:c>
      <x:c r="T9" s="2" t="s">
        <x:v>3715</x:v>
      </x:c>
      <x:c r="U9" s="2" t="s">
        <x:v>3654</x:v>
      </x:c>
      <x:c r="V9" s="2" t="s">
        <x:v>3252</x:v>
      </x:c>
      <x:c r="W9" s="2" t="s">
        <x:v>3656</x:v>
      </x:c>
      <x:c r="X9" s="2" t="s">
        <x:v>3253</x:v>
      </x:c>
      <x:c r="Y9" s="2" t="s">
        <x:v>3657</x:v>
      </x:c>
      <x:c r="Z9" s="2" t="s">
        <x:v>3064</x:v>
      </x:c>
      <x:c r="AA9" s="2" t="s">
        <x:v>172</x:v>
      </x:c>
      <x:c r="AB9" s="2" t="s">
        <x:v>3658</x:v>
      </x:c>
      <x:c r="AC9" s="2" t="s">
        <x:v>1820</x:v>
      </x:c>
      <x:c r="AD9" s="2" t="s">
        <x:v>172</x:v>
      </x:c>
      <x:c r="AE9" s="2" t="s">
        <x:v>3659</x:v>
      </x:c>
      <x:c r="AF9" s="2" t="s">
        <x:v>3716</x:v>
      </x:c>
    </x:row>
    <x:row r="10" ht="135">
      <x:c r="A10" s="2" t="s">
        <x:v>298</x:v>
      </x:c>
      <x:c r="B10" s="2" t="s">
        <x:v>3717</x:v>
      </x:c>
      <x:c r="C10" s="2" t="s">
        <x:v>3718</x:v>
      </x:c>
      <x:c r="D10" s="2" t="s">
        <x:v>3643</x:v>
      </x:c>
      <x:c r="E10" s="2" t="s">
        <x:v>1336</x:v>
      </x:c>
      <x:c r="F10" s="2" t="s">
        <x:v>3719</x:v>
      </x:c>
      <x:c r="G10" s="2" t="s">
        <x:v>3720</x:v>
      </x:c>
      <x:c r="H10" s="2" t="s">
        <x:v>3721</x:v>
      </x:c>
      <x:c r="I10" s="2" t="s">
        <x:v>1707</x:v>
      </x:c>
      <x:c r="J10" s="2" t="s">
        <x:v>3722</x:v>
      </x:c>
      <x:c r="K10" s="2" t="s">
        <x:v>3723</x:v>
      </x:c>
      <x:c r="L10" s="2" t="s">
        <x:v>200</x:v>
      </x:c>
      <x:c r="M10" s="2" t="s">
        <x:v>171</x:v>
      </x:c>
      <x:c r="N10" s="2" t="s">
        <x:v>3649</x:v>
      </x:c>
      <x:c r="O10" s="2" t="s">
        <x:v>3650</x:v>
      </x:c>
      <x:c r="P10" s="2" t="s">
        <x:v>3651</x:v>
      </x:c>
      <x:c r="Q10" s="2" t="s">
        <x:v>3652</x:v>
      </x:c>
      <x:c r="R10" s="2" t="s">
        <x:v>3653</x:v>
      </x:c>
      <x:c r="S10" s="2" t="s">
        <x:v>3715</x:v>
      </x:c>
      <x:c r="T10" s="2" t="s">
        <x:v>3724</x:v>
      </x:c>
      <x:c r="U10" s="2" t="s">
        <x:v>3654</x:v>
      </x:c>
      <x:c r="V10" s="2" t="s">
        <x:v>3252</x:v>
      </x:c>
      <x:c r="W10" s="2" t="s">
        <x:v>3656</x:v>
      </x:c>
      <x:c r="X10" s="2" t="s">
        <x:v>3253</x:v>
      </x:c>
      <x:c r="Y10" s="2" t="s">
        <x:v>3657</x:v>
      </x:c>
      <x:c r="Z10" s="2" t="s">
        <x:v>3064</x:v>
      </x:c>
      <x:c r="AA10" s="2" t="s">
        <x:v>172</x:v>
      </x:c>
      <x:c r="AB10" s="2" t="s">
        <x:v>3658</x:v>
      </x:c>
      <x:c r="AC10" s="2" t="s">
        <x:v>1820</x:v>
      </x:c>
      <x:c r="AD10" s="2" t="s">
        <x:v>172</x:v>
      </x:c>
      <x:c r="AE10" s="2" t="s">
        <x:v>3659</x:v>
      </x:c>
      <x:c r="AF10" s="2" t="s">
        <x:v>3725</x:v>
      </x:c>
    </x:row>
    <x:row r="11" ht="135">
      <x:c r="A11" s="2" t="s">
        <x:v>632</x:v>
      </x:c>
      <x:c r="B11" s="2" t="s">
        <x:v>3717</x:v>
      </x:c>
      <x:c r="C11" s="2" t="s">
        <x:v>3726</x:v>
      </x:c>
      <x:c r="D11" s="2" t="s">
        <x:v>3643</x:v>
      </x:c>
      <x:c r="E11" s="2" t="s">
        <x:v>1336</x:v>
      </x:c>
      <x:c r="F11" s="2" t="s">
        <x:v>3727</x:v>
      </x:c>
      <x:c r="G11" s="2" t="s">
        <x:v>3728</x:v>
      </x:c>
      <x:c r="H11" s="2" t="s">
        <x:v>3729</x:v>
      </x:c>
      <x:c r="I11" s="2" t="s">
        <x:v>1707</x:v>
      </x:c>
      <x:c r="J11" s="2" t="s">
        <x:v>3730</x:v>
      </x:c>
      <x:c r="K11" s="2" t="s">
        <x:v>3731</x:v>
      </x:c>
      <x:c r="L11" s="2" t="s">
        <x:v>200</x:v>
      </x:c>
      <x:c r="M11" s="2" t="s">
        <x:v>171</x:v>
      </x:c>
      <x:c r="N11" s="2" t="s">
        <x:v>3649</x:v>
      </x:c>
      <x:c r="O11" s="2" t="s">
        <x:v>3650</x:v>
      </x:c>
      <x:c r="P11" s="2" t="s">
        <x:v>3651</x:v>
      </x:c>
      <x:c r="Q11" s="2" t="s">
        <x:v>3652</x:v>
      </x:c>
      <x:c r="R11" s="2" t="s">
        <x:v>3653</x:v>
      </x:c>
      <x:c r="S11" s="2" t="s">
        <x:v>3724</x:v>
      </x:c>
      <x:c r="T11" s="2" t="s">
        <x:v>3252</x:v>
      </x:c>
      <x:c r="U11" s="2" t="s">
        <x:v>3654</x:v>
      </x:c>
      <x:c r="V11" s="2" t="s">
        <x:v>3252</x:v>
      </x:c>
      <x:c r="W11" s="2" t="s">
        <x:v>3656</x:v>
      </x:c>
      <x:c r="X11" s="2" t="s">
        <x:v>3253</x:v>
      </x:c>
      <x:c r="Y11" s="2" t="s">
        <x:v>3657</x:v>
      </x:c>
      <x:c r="Z11" s="2" t="s">
        <x:v>3064</x:v>
      </x:c>
      <x:c r="AA11" s="2" t="s">
        <x:v>172</x:v>
      </x:c>
      <x:c r="AB11" s="2" t="s">
        <x:v>3658</x:v>
      </x:c>
      <x:c r="AC11" s="2" t="s">
        <x:v>1820</x:v>
      </x:c>
      <x:c r="AD11" s="2" t="s">
        <x:v>172</x:v>
      </x:c>
      <x:c r="AE11" s="2" t="s">
        <x:v>3659</x:v>
      </x:c>
      <x:c r="AF11" s="2" t="s">
        <x:v>3732</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9" defaultRowHeight="16.799999237060547"/>
  <x:cols>
    <x:col min="1" max="3" width="16" customWidth="1"/>
  </x:cols>
  <x:sheetData>
    <x:row r="1" ht="34" customHeight="1">
      <x:c r="A1" s="1" t="s">
        <x:v>3733</x:v>
      </x:c>
      <x:c r="B1" s="1" t="s">
        <x:v>3734</x:v>
      </x:c>
      <x:c r="C1" s="1" t="s">
        <x:v>745</x:v>
      </x:c>
    </x:row>
    <x:row r="2" ht="68">
      <x:c r="A2" s="2" t="s">
        <x:v>3735</x:v>
      </x:c>
      <x:c r="B2" s="2" t="s">
        <x:v>3736</x:v>
      </x:c>
      <x:c r="C2" s="2" t="s">
        <x:v>3737</x:v>
      </x:c>
    </x:row>
    <x:row r="3" ht="17">
      <x:c r="A3" s="2" t="s">
        <x:v>3002</x:v>
      </x:c>
      <x:c r="B3" s="2" t="s">
        <x:v>3738</x:v>
      </x:c>
      <x:c r="C3" s="2" t="s">
        <x:v>3737</x:v>
      </x:c>
    </x:row>
    <x:row r="4" ht="51">
      <x:c r="A4" s="2" t="s">
        <x:v>3739</x:v>
      </x:c>
      <x:c r="B4" s="2" t="s">
        <x:v>3740</x:v>
      </x:c>
      <x:c r="C4" s="2" t="s">
        <x:v>3737</x:v>
      </x:c>
    </x:row>
    <x:row r="5" ht="34">
      <x:c r="A5" s="2" t="s">
        <x:v>3004</x:v>
      </x:c>
      <x:c r="B5" s="2" t="s">
        <x:v>3741</x:v>
      </x:c>
      <x:c r="C5" s="2" t="s">
        <x:v>3737</x:v>
      </x:c>
    </x:row>
    <x:row r="6" ht="17">
      <x:c r="A6" s="2" t="s">
        <x:v>3742</x:v>
      </x:c>
      <x:c r="B6" s="2" t="b">
        <x:v>1</x:v>
      </x:c>
      <x:c r="C6" s="2" t="s">
        <x:v>3737</x:v>
      </x:c>
    </x:row>
    <x:row r="7" ht="84">
      <x:c r="A7" s="2" t="s">
        <x:v>3743</x:v>
      </x:c>
      <x:c r="B7" s="2" t="s">
        <x:v>3744</x:v>
      </x:c>
      <x:c r="C7" s="2" t="s">
        <x:v>3737</x:v>
      </x:c>
    </x:row>
    <x:row r="8" ht="17">
      <x:c r="A8" s="2" t="s">
        <x:v>3745</x:v>
      </x:c>
      <x:c r="B8" s="2" t="s">
        <x:v>67</x:v>
      </x:c>
      <x:c r="C8" s="2" t="s">
        <x:v>3737</x:v>
      </x:c>
    </x:row>
    <x:row r="9" ht="17">
      <x:c r="A9" s="2" t="s">
        <x:v>3746</x:v>
      </x:c>
      <x:c r="B9" s="2" t="s">
        <x:v>68</x:v>
      </x:c>
      <x:c r="C9" s="2" t="s">
        <x:v>3737</x:v>
      </x:c>
    </x:row>
    <x:row r="10" ht="17">
      <x:c r="A10" s="2" t="s">
        <x:v>3747</x:v>
      </x:c>
      <x:c r="B10" s="2" t="s">
        <x:v>69</x:v>
      </x:c>
      <x:c r="C10" s="2" t="s">
        <x:v>3737</x:v>
      </x:c>
    </x:row>
    <x:row r="11" ht="17">
      <x:c r="A11" s="2" t="s">
        <x:v>3748</x:v>
      </x:c>
      <x:c r="B11" s="2" t="s">
        <x:v>70</x:v>
      </x:c>
      <x:c r="C11" s="2" t="s">
        <x:v>3737</x:v>
      </x:c>
    </x:row>
    <x:row r="12" ht="17">
      <x:c r="A12" s="2" t="s">
        <x:v>3749</x:v>
      </x:c>
      <x:c r="B12" s="2" t="s">
        <x:v>71</x:v>
      </x:c>
      <x:c r="C12" s="2" t="s">
        <x:v>3737</x:v>
      </x:c>
    </x:row>
    <x:row r="13" ht="17">
      <x:c r="A13" s="2" t="s">
        <x:v>3750</x:v>
      </x:c>
      <x:c r="B13" s="2" t="s">
        <x:v>72</x:v>
      </x:c>
      <x:c r="C13" s="2" t="s">
        <x:v>3737</x:v>
      </x:c>
    </x:row>
    <x:row r="14" ht="17">
      <x:c r="A14" s="2" t="s">
        <x:v>3751</x:v>
      </x:c>
      <x:c r="B14" s="2" t="s">
        <x:v>73</x:v>
      </x:c>
      <x:c r="C14" s="2" t="s">
        <x:v>3737</x:v>
      </x:c>
    </x:row>
    <x:row r="15" ht="17">
      <x:c r="A15" s="2" t="s">
        <x:v>3752</x:v>
      </x:c>
      <x:c r="B15" s="2" t="s">
        <x:v>74</x:v>
      </x:c>
      <x:c r="C15" s="2" t="s">
        <x:v>3737</x:v>
      </x:c>
    </x:row>
    <x:row r="16" ht="17">
      <x:c r="A16" s="2" t="s">
        <x:v>3753</x:v>
      </x:c>
      <x:c r="B16" s="2" t="s">
        <x:v>75</x:v>
      </x:c>
      <x:c r="C16" s="2" t="s">
        <x:v>3737</x:v>
      </x:c>
    </x:row>
    <x:row r="17" ht="17">
      <x:c r="A17" s="2" t="s">
        <x:v>3754</x:v>
      </x:c>
      <x:c r="B17" s="2" t="s">
        <x:v>76</x:v>
      </x:c>
      <x:c r="C17" s="2" t="s">
        <x:v>3737</x:v>
      </x:c>
    </x:row>
    <x:row r="18" ht="17">
      <x:c r="A18" s="2" t="s">
        <x:v>3034</x:v>
      </x:c>
      <x:c r="B18" s="2" t="s">
        <x:v>3755</x:v>
      </x:c>
      <x:c r="C18" s="2" t="s">
        <x:v>3737</x:v>
      </x:c>
    </x:row>
    <x:row r="19" ht="34">
      <x:c r="A19" s="2" t="s">
        <x:v>3756</x:v>
      </x:c>
      <x:c r="B19" s="2" t="b">
        <x:v>1</x:v>
      </x:c>
      <x:c r="C19" s="2" t="s">
        <x:v>3737</x:v>
      </x:c>
    </x:row>
    <x:row r="20" ht="51">
      <x:c r="A20" s="2" t="s">
        <x:v>3757</x:v>
      </x:c>
      <x:c r="B20" s="2">
        <x:v>3</x:v>
      </x:c>
      <x:c r="C20" s="2" t="s">
        <x:v>3737</x:v>
      </x:c>
    </x:row>
    <x:row r="21" ht="51">
      <x:c r="A21" s="2" t="s">
        <x:v>3758</x:v>
      </x:c>
      <x:c r="B21" s="2" t="s">
        <x:v>3759</x:v>
      </x:c>
      <x:c r="C21" s="2" t="s">
        <x:v>3737</x:v>
      </x:c>
    </x:row>
    <x:row r="22" ht="51">
      <x:c r="A22" s="2" t="s">
        <x:v>3760</x:v>
      </x:c>
      <x:c r="B22" s="2">
        <x:v>4</x:v>
      </x:c>
      <x:c r="C22" s="2" t="s">
        <x:v>3737</x:v>
      </x:c>
    </x:row>
    <x:row r="23" ht="51">
      <x:c r="A23" s="2" t="s">
        <x:v>3761</x:v>
      </x:c>
      <x:c r="B23" s="2" t="s">
        <x:v>3762</x:v>
      </x:c>
      <x:c r="C23" s="2" t="s">
        <x:v>3737</x:v>
      </x:c>
    </x:row>
    <x:row r="24" ht="51">
      <x:c r="A24" s="2" t="s">
        <x:v>3763</x:v>
      </x:c>
      <x:c r="B24" s="2">
        <x:v>1</x:v>
      </x:c>
      <x:c r="C24" s="2" t="s">
        <x:v>3737</x:v>
      </x:c>
    </x:row>
    <x:row r="25" ht="51">
      <x:c r="A25" s="2" t="s">
        <x:v>3764</x:v>
      </x:c>
      <x:c r="B25" s="2">
        <x:v>83</x:v>
      </x:c>
      <x:c r="C25" s="2" t="s">
        <x:v>3737</x:v>
      </x:c>
    </x:row>
    <x:row r="26" ht="68">
      <x:c r="A26" s="2" t="s">
        <x:v>3765</x:v>
      </x:c>
      <x:c r="B26" s="2">
        <x:v>0</x:v>
      </x:c>
      <x:c r="C26" s="2" t="s">
        <x:v>3737</x:v>
      </x:c>
    </x:row>
    <x:row r="27" ht="51">
      <x:c r="A27" s="2" t="s">
        <x:v>3766</x:v>
      </x:c>
      <x:c r="B27" s="2" t="s">
        <x:v>71</x:v>
      </x:c>
      <x:c r="C27" s="2" t="s">
        <x:v>3737</x:v>
      </x:c>
    </x:row>
    <x:row r="28" ht="51">
      <x:c r="A28" s="2" t="s">
        <x:v>3767</x:v>
      </x:c>
      <x:c r="B28" s="2" t="s">
        <x:v>76</x:v>
      </x:c>
      <x:c r="C28" s="2" t="s">
        <x:v>3737</x:v>
      </x:c>
    </x:row>
    <x:row r="29" ht="51">
      <x:c r="A29" s="2" t="s">
        <x:v>3768</x:v>
      </x:c>
      <x:c r="B29" s="2">
        <x:v>0</x:v>
      </x:c>
      <x:c r="C29" s="2" t="s">
        <x:v>3737</x:v>
      </x:c>
    </x:row>
    <x:row r="30" ht="51">
      <x:c r="A30" s="2" t="s">
        <x:v>3769</x:v>
      </x:c>
      <x:c r="B30" s="2">
        <x:v>0</x:v>
      </x:c>
      <x:c r="C30" s="2" t="s">
        <x:v>3737</x:v>
      </x:c>
    </x:row>
    <x:row r="31" ht="51">
      <x:c r="A31" s="2" t="s">
        <x:v>3770</x:v>
      </x:c>
      <x:c r="B31" s="2" t="b">
        <x:v>1</x:v>
      </x:c>
      <x:c r="C31" s="2" t="s">
        <x:v>3737</x:v>
      </x:c>
    </x:row>
    <x:row r="32" ht="51">
      <x:c r="A32" s="2" t="s">
        <x:v>3771</x:v>
      </x:c>
      <x:c r="B32" s="2">
        <x:v>10</x:v>
      </x:c>
      <x:c r="C32" s="2" t="s">
        <x:v>3737</x:v>
      </x:c>
    </x:row>
    <x:row r="33" ht="34">
      <x:c r="A33" s="2" t="s">
        <x:v>3772</x:v>
      </x:c>
      <x:c r="B33" s="2" t="s">
        <x:v>3657</x:v>
      </x:c>
      <x:c r="C33" s="2" t="s">
        <x:v>3737</x:v>
      </x:c>
    </x:row>
    <x:row r="34" ht="34">
      <x:c r="A34" s="2" t="s">
        <x:v>3773</x:v>
      </x:c>
      <x:c r="B34" s="2" t="s">
        <x:v>1707</x:v>
      </x:c>
      <x:c r="C34" s="2" t="s">
        <x:v>3737</x:v>
      </x:c>
    </x:row>
    <x:row r="35" ht="34">
      <x:c r="A35" s="2" t="s">
        <x:v>3774</x:v>
      </x:c>
      <x:c r="B35" s="2">
        <x:v>13</x:v>
      </x:c>
      <x:c r="C35" s="2" t="s">
        <x:v>3737</x:v>
      </x:c>
    </x:row>
    <x:row r="36" ht="34">
      <x:c r="A36" s="2" t="s">
        <x:v>3775</x:v>
      </x:c>
      <x:c r="B36" s="2" t="s">
        <x:v>3654</x:v>
      </x:c>
      <x:c r="C36" s="2" t="s">
        <x:v>3737</x:v>
      </x:c>
    </x:row>
    <x:row r="37" ht="51">
      <x:c r="A37" s="2" t="s">
        <x:v>3776</x:v>
      </x:c>
      <x:c r="B37" s="2" t="s">
        <x:v>3252</x:v>
      </x:c>
      <x:c r="C37" s="2" t="s">
        <x:v>3737</x:v>
      </x:c>
    </x:row>
    <x:row r="38" ht="51">
      <x:c r="A38" s="2" t="s">
        <x:v>3777</x:v>
      </x:c>
      <x:c r="B38" s="2" t="s">
        <x:v>3656</x:v>
      </x:c>
      <x:c r="C38" s="2" t="s">
        <x:v>3737</x:v>
      </x:c>
    </x:row>
    <x:row r="39" ht="51">
      <x:c r="A39" s="2" t="s">
        <x:v>3778</x:v>
      </x:c>
      <x:c r="B39" s="2" t="s">
        <x:v>3253</x:v>
      </x:c>
      <x:c r="C39" s="2" t="s">
        <x:v>3737</x:v>
      </x:c>
    </x:row>
    <x:row r="40" ht="34">
      <x:c r="A40" s="2" t="s">
        <x:v>3779</x:v>
      </x:c>
      <x:c r="B40" s="2" t="s">
        <x:v>3064</x:v>
      </x:c>
      <x:c r="C40" s="2" t="s">
        <x:v>3737</x:v>
      </x:c>
    </x:row>
    <x:row r="41" ht="51">
      <x:c r="A41" s="2" t="s">
        <x:v>3780</x:v>
      </x:c>
      <x:c r="B41" s="2" t="b">
        <x:v>0</x:v>
      </x:c>
      <x:c r="C41" s="2" t="s">
        <x:v>3737</x:v>
      </x:c>
    </x:row>
    <x:row r="42" ht="34">
      <x:c r="A42" s="2" t="s">
        <x:v>3781</x:v>
      </x:c>
      <x:c r="B42" s="2" t="s">
        <x:v>3651</x:v>
      </x:c>
      <x:c r="C42" s="2" t="s">
        <x:v>3737</x:v>
      </x:c>
    </x:row>
    <x:row r="43" ht="34">
      <x:c r="A43" s="2" t="s">
        <x:v>3782</x:v>
      </x:c>
      <x:c r="B43" s="2">
        <x:v>10</x:v>
      </x:c>
      <x:c r="C43" s="2" t="s">
        <x:v>3737</x:v>
      </x:c>
    </x:row>
    <x:row r="44" ht="34">
      <x:c r="A44" s="2" t="s">
        <x:v>3783</x:v>
      </x:c>
      <x:c r="B44" s="2">
        <x:v>14</x:v>
      </x:c>
      <x:c r="C44" s="2" t="s">
        <x:v>3737</x:v>
      </x:c>
    </x:row>
    <x:row r="45" ht="51">
      <x:c r="A45" s="2" t="s">
        <x:v>3784</x:v>
      </x:c>
      <x:c r="B45" s="2">
        <x:v>40</x:v>
      </x:c>
      <x:c r="C45" s="2" t="s">
        <x:v>3737</x:v>
      </x:c>
    </x:row>
    <x:row r="46" ht="34">
      <x:c r="A46" s="2" t="s">
        <x:v>3785</x:v>
      </x:c>
      <x:c r="B46" s="2">
        <x:v>25</x:v>
      </x:c>
      <x:c r="C46" s="2" t="s">
        <x:v>3737</x:v>
      </x:c>
    </x:row>
    <x:row r="47" ht="34">
      <x:c r="A47" s="2" t="s">
        <x:v>3786</x:v>
      </x:c>
      <x:c r="B47" s="2">
        <x:v>8</x:v>
      </x:c>
      <x:c r="C47" s="2" t="s">
        <x:v>3737</x:v>
      </x:c>
    </x:row>
    <x:row r="48" ht="51">
      <x:c r="A48" s="2" t="s">
        <x:v>3787</x:v>
      </x:c>
      <x:c r="B48" s="2">
        <x:v>0</x:v>
      </x:c>
      <x:c r="C48" s="2" t="s">
        <x:v>3737</x:v>
      </x:c>
    </x:row>
    <x:row r="49" ht="51">
      <x:c r="A49" s="2" t="s">
        <x:v>3788</x:v>
      </x:c>
      <x:c r="B49" s="2">
        <x:v>3</x:v>
      </x:c>
      <x:c r="C49" s="2" t="s">
        <x:v>3737</x:v>
      </x:c>
    </x:row>
    <x:row r="50" ht="34">
      <x:c r="A50" s="2" t="s">
        <x:v>3789</x:v>
      </x:c>
      <x:c r="B50" s="2">
        <x:v>4</x:v>
      </x:c>
      <x:c r="C50" s="2" t="s">
        <x:v>3737</x:v>
      </x:c>
    </x:row>
    <x:row r="51" ht="51">
      <x:c r="A51" s="2" t="s">
        <x:v>3790</x:v>
      </x:c>
      <x:c r="B51" s="2">
        <x:v>0</x:v>
      </x:c>
      <x:c r="C51" s="2" t="s">
        <x:v>3737</x:v>
      </x:c>
    </x:row>
    <x:row r="52" ht="34">
      <x:c r="A52" s="2" t="s">
        <x:v>3791</x:v>
      </x:c>
      <x:c r="B52" s="2">
        <x:v>24</x:v>
      </x:c>
      <x:c r="C52" s="2" t="s">
        <x:v>3737</x:v>
      </x:c>
    </x:row>
    <x:row r="53" ht="51">
      <x:c r="A53" s="2" t="s">
        <x:v>3792</x:v>
      </x:c>
      <x:c r="B53" s="2">
        <x:v>24</x:v>
      </x:c>
      <x:c r="C53" s="2" t="s">
        <x:v>3737</x:v>
      </x:c>
    </x:row>
    <x:row r="54" ht="51">
      <x:c r="A54" s="2" t="s">
        <x:v>3793</x:v>
      </x:c>
      <x:c r="B54" s="2">
        <x:v>0</x:v>
      </x:c>
      <x:c r="C54" s="2" t="s">
        <x:v>3737</x:v>
      </x:c>
    </x:row>
    <x:row r="55" ht="51">
      <x:c r="A55" s="2" t="s">
        <x:v>3794</x:v>
      </x:c>
      <x:c r="B55" s="2">
        <x:v>0</x:v>
      </x:c>
      <x:c r="C55" s="2" t="s">
        <x:v>3737</x:v>
      </x:c>
    </x:row>
    <x:row r="56" ht="51">
      <x:c r="A56" s="2" t="s">
        <x:v>3795</x:v>
      </x:c>
      <x:c r="B56" s="2">
        <x:v>10</x:v>
      </x:c>
      <x:c r="C56" s="2" t="s">
        <x:v>3737</x:v>
      </x:c>
    </x:row>
    <x:row r="57" ht="34">
      <x:c r="A57" s="2" t="s">
        <x:v>3796</x:v>
      </x:c>
      <x:c r="B57" s="2">
        <x:v>0</x:v>
      </x:c>
      <x:c r="C57" s="2" t="s">
        <x:v>3737</x:v>
      </x:c>
    </x:row>
    <x:row r="58" ht="51">
      <x:c r="A58" s="2" t="s">
        <x:v>3797</x:v>
      </x:c>
      <x:c r="B58" s="2" t="b">
        <x:v>1</x:v>
      </x:c>
      <x:c r="C58" s="2" t="s">
        <x:v>3737</x:v>
      </x:c>
    </x:row>
    <x:row r="59" ht="34">
      <x:c r="A59" s="2" t="s">
        <x:v>3798</x:v>
      </x:c>
      <x:c r="B59" s="2" t="b">
        <x:v>1</x:v>
      </x:c>
      <x:c r="C59" s="2" t="s">
        <x:v>3737</x:v>
      </x:c>
    </x:row>
    <x:row r="60" ht="51">
      <x:c r="A60" s="2" t="s">
        <x:v>3799</x:v>
      </x:c>
      <x:c r="B60" s="2" t="b">
        <x:v>1</x:v>
      </x:c>
      <x:c r="C60" s="2" t="s">
        <x:v>3737</x:v>
      </x:c>
    </x:row>
    <x:row r="61" ht="51">
      <x:c r="A61" s="2" t="s">
        <x:v>3800</x:v>
      </x:c>
      <x:c r="B61" s="2">
        <x:v>10</x:v>
      </x:c>
      <x:c r="C61" s="2" t="s">
        <x:v>3737</x:v>
      </x:c>
    </x:row>
    <x:row r="62" ht="51">
      <x:c r="A62" s="2" t="s">
        <x:v>3801</x:v>
      </x:c>
      <x:c r="B62" s="2" t="s">
        <x:v>3657</x:v>
      </x:c>
      <x:c r="C62" s="2" t="s">
        <x:v>3737</x:v>
      </x:c>
    </x:row>
    <x:row r="63" ht="51">
      <x:c r="A63" s="2" t="s">
        <x:v>3802</x:v>
      </x:c>
      <x:c r="B63" s="2" t="b">
        <x:v>1</x:v>
      </x:c>
      <x:c r="C63" s="2" t="s">
        <x:v>3737</x:v>
      </x:c>
    </x:row>
    <x:row r="64" ht="51">
      <x:c r="A64" s="2" t="s">
        <x:v>3803</x:v>
      </x:c>
      <x:c r="B64" s="2">
        <x:v>10</x:v>
      </x:c>
      <x:c r="C64" s="2" t="s">
        <x:v>3737</x:v>
      </x:c>
    </x:row>
    <x:row r="65" ht="51">
      <x:c r="A65" s="2" t="s">
        <x:v>3804</x:v>
      </x:c>
      <x:c r="B65" s="2">
        <x:v>14</x:v>
      </x:c>
      <x:c r="C65" s="2" t="s">
        <x:v>3737</x:v>
      </x:c>
    </x:row>
    <x:row r="66" ht="34">
      <x:c r="A66" s="2" t="s">
        <x:v>3805</x:v>
      </x:c>
      <x:c r="B66" s="2" t="b">
        <x:v>1</x:v>
      </x:c>
      <x:c r="C66" s="2" t="s">
        <x:v>3737</x:v>
      </x:c>
    </x:row>
    <x:row r="67" ht="51">
      <x:c r="A67" s="2" t="s">
        <x:v>3806</x:v>
      </x:c>
      <x:c r="B67" s="2">
        <x:v>40</x:v>
      </x:c>
      <x:c r="C67" s="2" t="s">
        <x:v>3737</x:v>
      </x:c>
    </x:row>
    <x:row r="68" ht="51">
      <x:c r="A68" s="2" t="s">
        <x:v>3807</x:v>
      </x:c>
      <x:c r="B68" s="2">
        <x:v>25</x:v>
      </x:c>
      <x:c r="C68" s="2" t="s">
        <x:v>3737</x:v>
      </x:c>
    </x:row>
    <x:row r="69" ht="51">
      <x:c r="A69" s="2" t="s">
        <x:v>3808</x:v>
      </x:c>
      <x:c r="B69" s="2">
        <x:v>8</x:v>
      </x:c>
      <x:c r="C69" s="2" t="s">
        <x:v>3737</x:v>
      </x:c>
    </x:row>
    <x:row r="70" ht="51">
      <x:c r="A70" s="2" t="s">
        <x:v>3809</x:v>
      </x:c>
      <x:c r="B70" s="2">
        <x:v>0</x:v>
      </x:c>
      <x:c r="C70" s="2" t="s">
        <x:v>3737</x:v>
      </x:c>
    </x:row>
    <x:row r="71" ht="51">
      <x:c r="A71" s="2" t="s">
        <x:v>3810</x:v>
      </x:c>
      <x:c r="B71" s="2">
        <x:v>3</x:v>
      </x:c>
      <x:c r="C71" s="2" t="s">
        <x:v>3737</x:v>
      </x:c>
    </x:row>
    <x:row r="72" ht="34">
      <x:c r="A72" s="2" t="s">
        <x:v>3811</x:v>
      </x:c>
      <x:c r="B72" s="2">
        <x:v>4</x:v>
      </x:c>
      <x:c r="C72" s="2" t="s">
        <x:v>3737</x:v>
      </x:c>
    </x:row>
    <x:row r="73" ht="51">
      <x:c r="A73" s="2" t="s">
        <x:v>3812</x:v>
      </x:c>
      <x:c r="B73" s="2">
        <x:v>0</x:v>
      </x:c>
      <x:c r="C73" s="2" t="s">
        <x:v>3737</x:v>
      </x:c>
    </x:row>
    <x:row r="74" ht="51">
      <x:c r="A74" s="2" t="s">
        <x:v>3813</x:v>
      </x:c>
      <x:c r="B74" s="2">
        <x:v>24</x:v>
      </x:c>
      <x:c r="C74" s="2" t="s">
        <x:v>3737</x:v>
      </x:c>
    </x:row>
    <x:row r="75" ht="51">
      <x:c r="A75" s="2" t="s">
        <x:v>3814</x:v>
      </x:c>
      <x:c r="B75" s="2">
        <x:v>24</x:v>
      </x:c>
      <x:c r="C75" s="2" t="s">
        <x:v>3737</x:v>
      </x:c>
    </x:row>
    <x:row r="76" ht="51">
      <x:c r="A76" s="2" t="s">
        <x:v>3815</x:v>
      </x:c>
      <x:c r="B76" s="2">
        <x:v>0</x:v>
      </x:c>
      <x:c r="C76" s="2" t="s">
        <x:v>3737</x:v>
      </x:c>
    </x:row>
    <x:row r="77" ht="51">
      <x:c r="A77" s="2" t="s">
        <x:v>3816</x:v>
      </x:c>
      <x:c r="B77" s="2">
        <x:v>0</x:v>
      </x:c>
      <x:c r="C77" s="2" t="s">
        <x:v>3737</x:v>
      </x:c>
    </x:row>
    <x:row r="78" ht="51">
      <x:c r="A78" s="2" t="s">
        <x:v>3817</x:v>
      </x:c>
      <x:c r="B78" s="2">
        <x:v>10</x:v>
      </x:c>
      <x:c r="C78" s="2" t="s">
        <x:v>3737</x:v>
      </x:c>
    </x:row>
    <x:row r="79" ht="51">
      <x:c r="A79" s="2" t="s">
        <x:v>3818</x:v>
      </x:c>
      <x:c r="B79" s="2" t="b">
        <x:v>1</x:v>
      </x:c>
      <x:c r="C79" s="2" t="s">
        <x:v>3737</x:v>
      </x:c>
    </x:row>
    <x:row r="80" ht="51">
      <x:c r="A80" s="2" t="s">
        <x:v>3819</x:v>
      </x:c>
      <x:c r="B80" s="2" t="b">
        <x:v>1</x:v>
      </x:c>
      <x:c r="C80" s="2" t="s">
        <x:v>3737</x:v>
      </x:c>
    </x:row>
    <x:row r="81" ht="51">
      <x:c r="A81" s="2" t="s">
        <x:v>3820</x:v>
      </x:c>
      <x:c r="B81" s="2" t="b">
        <x:v>1</x:v>
      </x:c>
      <x:c r="C81" s="2" t="s">
        <x:v>3737</x:v>
      </x:c>
    </x:row>
    <x:row r="82" ht="84">
      <x:c r="A82" s="2" t="s">
        <x:v>3821</x:v>
      </x:c>
      <x:c r="B82" s="2" t="b">
        <x:v>1</x:v>
      </x:c>
      <x:c r="C82" s="2" t="s">
        <x:v>3737</x:v>
      </x:c>
    </x:row>
    <x:row r="83" ht="51">
      <x:c r="A83" s="2" t="s">
        <x:v>3822</x:v>
      </x:c>
      <x:c r="B83" s="2" t="b">
        <x:v>0</x:v>
      </x:c>
      <x:c r="C83" s="2" t="s">
        <x:v>3737</x:v>
      </x:c>
    </x:row>
    <x:row r="84" ht="51">
      <x:c r="A84" s="2" t="s">
        <x:v>3823</x:v>
      </x:c>
      <x:c r="B84" s="2" t="b">
        <x:v>0</x:v>
      </x:c>
      <x:c r="C84" s="2" t="s">
        <x:v>3737</x:v>
      </x:c>
    </x:row>
    <x:row r="85" ht="34">
      <x:c r="A85" s="2" t="s">
        <x:v>3824</x:v>
      </x:c>
      <x:c r="B85" s="2">
        <x:v>0</x:v>
      </x:c>
      <x:c r="C85" s="2" t="s">
        <x:v>3737</x:v>
      </x:c>
    </x:row>
    <x:row r="86" ht="34">
      <x:c r="A86" s="2" t="s">
        <x:v>3825</x:v>
      </x:c>
      <x:c r="B86" s="2">
        <x:v>69</x:v>
      </x:c>
      <x:c r="C86" s="2" t="s">
        <x:v>3737</x:v>
      </x:c>
    </x:row>
    <x:row r="87" ht="84">
      <x:c r="A87" s="2" t="s">
        <x:v>3826</x:v>
      </x:c>
      <x:c r="B87" s="2" t="s">
        <x:v>3827</x:v>
      </x:c>
      <x:c r="C87" s="2" t="s">
        <x:v>3737</x:v>
      </x:c>
    </x:row>
    <x:row r="88" ht="84">
      <x:c r="A88" s="2" t="s">
        <x:v>3828</x:v>
      </x:c>
      <x:c r="B88" s="2" t="s">
        <x:v>3829</x:v>
      </x:c>
      <x:c r="C88" s="2" t="s">
        <x:v>3737</x:v>
      </x:c>
    </x:row>
    <x:row r="89" ht="84">
      <x:c r="A89" s="2" t="s">
        <x:v>3830</x:v>
      </x:c>
      <x:c r="B89" s="2" t="s">
        <x:v>3831</x:v>
      </x:c>
      <x:c r="C89" s="2" t="s">
        <x:v>3737</x:v>
      </x:c>
    </x:row>
    <x:row r="90" ht="101">
      <x:c r="A90" s="2" t="s">
        <x:v>3832</x:v>
      </x:c>
      <x:c r="B90" s="2" t="s">
        <x:v>3833</x:v>
      </x:c>
      <x:c r="C90" s="2" t="s">
        <x:v>3737</x:v>
      </x:c>
    </x:row>
    <x:row r="91" ht="84">
      <x:c r="A91" s="2" t="s">
        <x:v>3834</x:v>
      </x:c>
      <x:c r="B91" s="2" t="s">
        <x:v>3835</x:v>
      </x:c>
      <x:c r="C91" s="2" t="s">
        <x:v>3737</x:v>
      </x:c>
    </x:row>
    <x:row r="92" ht="101">
      <x:c r="A92" s="2" t="s">
        <x:v>3836</x:v>
      </x:c>
      <x:c r="B92" s="2" t="s">
        <x:v>3837</x:v>
      </x:c>
      <x:c r="C92" s="2" t="s">
        <x:v>3737</x:v>
      </x:c>
    </x:row>
    <x:row r="93" ht="101">
      <x:c r="A93" s="2" t="s">
        <x:v>3838</x:v>
      </x:c>
      <x:c r="B93" s="2" t="s">
        <x:v>3839</x:v>
      </x:c>
      <x:c r="C93" s="2" t="s">
        <x:v>3737</x:v>
      </x:c>
    </x:row>
    <x:row r="94" ht="101">
      <x:c r="A94" s="2" t="s">
        <x:v>3840</x:v>
      </x:c>
      <x:c r="B94" s="2" t="s">
        <x:v>3841</x:v>
      </x:c>
      <x:c r="C94" s="2" t="s">
        <x:v>3737</x:v>
      </x:c>
    </x:row>
    <x:row r="95" ht="101">
      <x:c r="A95" s="2" t="s">
        <x:v>3842</x:v>
      </x:c>
      <x:c r="B95" s="2" t="s">
        <x:v>3843</x:v>
      </x:c>
      <x:c r="C95" s="2" t="s">
        <x:v>3737</x:v>
      </x:c>
    </x:row>
    <x:row r="96" ht="101">
      <x:c r="A96" s="2" t="s">
        <x:v>3844</x:v>
      </x:c>
      <x:c r="B96" s="2" t="s">
        <x:v>3845</x:v>
      </x:c>
      <x:c r="C96" s="2" t="s">
        <x:v>3737</x:v>
      </x:c>
    </x:row>
    <x:row r="97" ht="84">
      <x:c r="A97" s="2" t="s">
        <x:v>3846</x:v>
      </x:c>
      <x:c r="B97" s="2" t="s">
        <x:v>3847</x:v>
      </x:c>
      <x:c r="C97" s="2" t="s">
        <x:v>3737</x:v>
      </x:c>
    </x:row>
    <x:row r="98" ht="101">
      <x:c r="A98" s="2" t="s">
        <x:v>3848</x:v>
      </x:c>
      <x:c r="B98" s="2" t="s">
        <x:v>3849</x:v>
      </x:c>
      <x:c r="C98" s="2" t="s">
        <x:v>3737</x:v>
      </x:c>
    </x:row>
    <x:row r="99" ht="101">
      <x:c r="A99" s="2" t="s">
        <x:v>3850</x:v>
      </x:c>
      <x:c r="B99" s="2" t="s">
        <x:v>3851</x:v>
      </x:c>
      <x:c r="C99" s="2" t="s">
        <x:v>3737</x:v>
      </x:c>
    </x:row>
    <x:row r="100" ht="101">
      <x:c r="A100" s="2" t="s">
        <x:v>3852</x:v>
      </x:c>
      <x:c r="B100" s="2" t="s">
        <x:v>3853</x:v>
      </x:c>
      <x:c r="C100" s="2" t="s">
        <x:v>3737</x:v>
      </x:c>
    </x:row>
    <x:row r="101" ht="101">
      <x:c r="A101" s="2" t="s">
        <x:v>3854</x:v>
      </x:c>
      <x:c r="B101" s="2" t="s">
        <x:v>3855</x:v>
      </x:c>
      <x:c r="C101" s="2" t="s">
        <x:v>3737</x:v>
      </x:c>
    </x:row>
    <x:row r="102" ht="101">
      <x:c r="A102" s="2" t="s">
        <x:v>3856</x:v>
      </x:c>
      <x:c r="B102" s="2" t="s">
        <x:v>3857</x:v>
      </x:c>
      <x:c r="C102" s="2" t="s">
        <x:v>3737</x:v>
      </x:c>
    </x:row>
    <x:row r="103" ht="101">
      <x:c r="A103" s="2" t="s">
        <x:v>3858</x:v>
      </x:c>
      <x:c r="B103" s="2" t="s">
        <x:v>3859</x:v>
      </x:c>
      <x:c r="C103" s="2" t="s">
        <x:v>3737</x:v>
      </x:c>
    </x:row>
    <x:row r="104" ht="101">
      <x:c r="A104" s="2" t="s">
        <x:v>3860</x:v>
      </x:c>
      <x:c r="B104" s="2" t="s">
        <x:v>3861</x:v>
      </x:c>
      <x:c r="C104" s="2" t="s">
        <x:v>3737</x:v>
      </x:c>
    </x:row>
    <x:row r="105" ht="84">
      <x:c r="A105" s="2" t="s">
        <x:v>3862</x:v>
      </x:c>
      <x:c r="B105" s="2" t="s">
        <x:v>3863</x:v>
      </x:c>
      <x:c r="C105" s="2" t="s">
        <x:v>3737</x:v>
      </x:c>
    </x:row>
    <x:row r="106" ht="84">
      <x:c r="A106" s="2" t="s">
        <x:v>3864</x:v>
      </x:c>
      <x:c r="B106" s="2" t="s">
        <x:v>3865</x:v>
      </x:c>
      <x:c r="C106" s="2" t="s">
        <x:v>3737</x:v>
      </x:c>
    </x:row>
    <x:row r="107" ht="84">
      <x:c r="A107" s="2" t="s">
        <x:v>3866</x:v>
      </x:c>
      <x:c r="B107" s="2" t="s">
        <x:v>3867</x:v>
      </x:c>
      <x:c r="C107" s="2" t="s">
        <x:v>3737</x:v>
      </x:c>
    </x:row>
    <x:row r="108" ht="84">
      <x:c r="A108" s="2" t="s">
        <x:v>3868</x:v>
      </x:c>
      <x:c r="B108" s="2" t="s">
        <x:v>3869</x:v>
      </x:c>
      <x:c r="C108" s="2" t="s">
        <x:v>3737</x:v>
      </x:c>
    </x:row>
    <x:row r="109" ht="68">
      <x:c r="A109" s="2" t="s">
        <x:v>3870</x:v>
      </x:c>
      <x:c r="B109" s="2" t="s">
        <x:v>3871</x:v>
      </x:c>
      <x:c r="C109" s="2" t="s">
        <x:v>3737</x:v>
      </x:c>
    </x:row>
    <x:row r="110" ht="101">
      <x:c r="A110" s="2" t="s">
        <x:v>3872</x:v>
      </x:c>
      <x:c r="B110" s="2" t="s">
        <x:v>3873</x:v>
      </x:c>
      <x:c r="C110" s="2" t="s">
        <x:v>3737</x:v>
      </x:c>
    </x:row>
    <x:row r="111" ht="101">
      <x:c r="A111" s="2" t="s">
        <x:v>3874</x:v>
      </x:c>
      <x:c r="B111" s="2" t="s">
        <x:v>3875</x:v>
      </x:c>
      <x:c r="C111" s="2" t="s">
        <x:v>3737</x:v>
      </x:c>
    </x:row>
    <x:row r="112" ht="101">
      <x:c r="A112" s="2" t="s">
        <x:v>3876</x:v>
      </x:c>
      <x:c r="B112" s="2" t="s">
        <x:v>3877</x:v>
      </x:c>
      <x:c r="C112" s="2" t="s">
        <x:v>3737</x:v>
      </x:c>
    </x:row>
    <x:row r="113" ht="101">
      <x:c r="A113" s="2" t="s">
        <x:v>3878</x:v>
      </x:c>
      <x:c r="B113" s="2" t="s">
        <x:v>3879</x:v>
      </x:c>
      <x:c r="C113" s="2" t="s">
        <x:v>3737</x:v>
      </x:c>
    </x:row>
    <x:row r="114" ht="101">
      <x:c r="A114" s="2" t="s">
        <x:v>3880</x:v>
      </x:c>
      <x:c r="B114" s="2" t="s">
        <x:v>3881</x:v>
      </x:c>
      <x:c r="C114" s="2" t="s">
        <x:v>3737</x:v>
      </x:c>
    </x:row>
    <x:row r="115" ht="101">
      <x:c r="A115" s="2" t="s">
        <x:v>3882</x:v>
      </x:c>
      <x:c r="B115" s="2" t="s">
        <x:v>3883</x:v>
      </x:c>
      <x:c r="C115" s="2" t="s">
        <x:v>3737</x:v>
      </x:c>
    </x:row>
    <x:row r="116" ht="101">
      <x:c r="A116" s="2" t="s">
        <x:v>3884</x:v>
      </x:c>
      <x:c r="B116" s="2" t="s">
        <x:v>3885</x:v>
      </x:c>
      <x:c r="C116" s="2" t="s">
        <x:v>3737</x:v>
      </x:c>
    </x:row>
    <x:row r="117" ht="17">
      <x:c r="A117" s="2" t="s">
        <x:v>3886</x:v>
      </x:c>
      <x:c r="B117" s="2" t="s">
        <x:v>2998</x:v>
      </x:c>
      <x:c r="C117" s="2" t="s">
        <x:v>3737</x:v>
      </x:c>
    </x:row>
    <x:row r="118" ht="51">
      <x:c r="A118" s="2" t="s">
        <x:v>3887</x:v>
      </x:c>
      <x:c r="B118" s="2" t="s">
        <x:v>3888</x:v>
      </x:c>
      <x:c r="C118" s="2" t="s">
        <x:v>3737</x:v>
      </x:c>
    </x:row>
    <x:row r="119" ht="84">
      <x:c r="A119" s="2" t="s">
        <x:v>3889</x:v>
      </x:c>
      <x:c r="B119" s="2" t="s">
        <x:v>3890</x:v>
      </x:c>
      <x:c r="C119" s="2" t="s">
        <x:v>3737</x:v>
      </x:c>
    </x:row>
  </x:sheetData>
  <x:pageMargins left="0.7" right="0.7" top="0.75" bottom="0.75" header="0.3" footer="0.3"/>
</x:worksheet>
</file>