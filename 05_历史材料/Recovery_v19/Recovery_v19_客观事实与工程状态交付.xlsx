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976e4d88e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恢复状态" sheetId="1" r:id="R6144afae9fb94d05"/>
    <x:sheet xmlns:r="http://schemas.openxmlformats.org/officeDocument/2006/relationships" name="核心对账" sheetId="2" r:id="Rf85afde0399344f4"/>
    <x:sheet xmlns:r="http://schemas.openxmlformats.org/officeDocument/2006/relationships" name="主动136事实" sheetId="3" r:id="Rea4f7386f2f54401"/>
    <x:sheet xmlns:r="http://schemas.openxmlformats.org/officeDocument/2006/relationships" name="跟单12事实" sheetId="4" r:id="Rd631b49974c74791"/>
    <x:sheet xmlns:r="http://schemas.openxmlformats.org/officeDocument/2006/relationships" name="客观独立观察" sheetId="5" r:id="R67c5fbe17afe4415"/>
    <x:sheet xmlns:r="http://schemas.openxmlformats.org/officeDocument/2006/relationships" name="来源与覆盖" sheetId="6" r:id="R660cc443e2344b14"/>
    <x:sheet xmlns:r="http://schemas.openxmlformats.org/officeDocument/2006/relationships" name="Legacy执行现实" sheetId="7" r:id="Rac8a61c4fbdc4f1e"/>
    <x:sheet xmlns:r="http://schemas.openxmlformats.org/officeDocument/2006/relationships" name="用户意图边界" sheetId="8" r:id="Rf2802bf68e0d455d"/>
    <x:sheet xmlns:r="http://schemas.openxmlformats.org/officeDocument/2006/relationships" name="Golden验收" sheetId="9" r:id="R0e51920a3e894674"/>
    <x:sheet xmlns:r="http://schemas.openxmlformats.org/officeDocument/2006/relationships" name="字段口径" sheetId="10" r:id="Ra6bfbe3eeee2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 hh:mm:ss"/>
    <x:numFmt numFmtId="201" formatCode="#,##0;[Red](#,##0);-"/>
    <x:numFmt numFmtId="202" formatCode="#,##0.00000000;[Red](#,##0.00000000);-"/>
    <x:numFmt numFmtId="203" formatCode="0.00%;[Red](0.00%);-"/>
    <x:numFmt numFmtId="204" formatCode="#,##0.00;[Red](#,##0.00);-"/>
    <x:numFmt numFmtId="205" formatCode="0.0000x;[Red](0.0000x);-"/>
    <x:numFmt numFmtId="206" formatCode="yyyy-mm-dd"/>
    <x:numFmt numFmtId="207" formatCode="@"/>
  </x:numFmts>
  <x:fonts count="27">
    <x:font>
      <x:sz val="11"/>
      <x:name val="Carlito"/>
    </x:font>
    <x:font>
      <x:sz val="10"/>
      <x:color rgb="FF172B4D"/>
      <x:name val="Aptos"/>
    </x:font>
    <x:font>
      <x:b/>
      <x:sz val="18"/>
      <x:color rgb="FFFFFFFF"/>
      <x:name val="Aptos Display"/>
    </x:font>
    <x:font>
      <x:sz val="10"/>
      <x:color rgb="FF1F4E78"/>
      <x:name val="Aptos"/>
    </x:font>
    <x:font>
      <x:b/>
      <x:sz val="11"/>
      <x:color rgb="FFFFFFFF"/>
      <x:name val="Aptos"/>
    </x:font>
    <x:font>
      <x:sz val="11"/>
      <x:color rgb="FF2E7D32"/>
      <x:name val="Aptos"/>
    </x:font>
    <x:font>
      <x:b/>
      <x:sz val="10"/>
      <x:color rgb="FF66788A"/>
      <x:name val="Aptos"/>
    </x:font>
    <x:font>
      <x:b/>
      <x:sz val="10"/>
      <x:color rgb="FF2E7D32"/>
      <x:name val="Aptos"/>
    </x:font>
    <x:font>
      <x:b/>
      <x:sz val="10"/>
      <x:color rgb="FF102A43"/>
      <x:name val="Aptos"/>
    </x:font>
    <x:font>
      <x:sz val="9"/>
      <x:color rgb="FF172B4D"/>
      <x:name val="Aptos"/>
    </x:font>
    <x:font>
      <x:b/>
      <x:sz val="9"/>
      <x:color rgb="FF2E7D32"/>
      <x:name val="Aptos"/>
    </x:font>
    <x:font>
      <x:b/>
      <x:sz val="9"/>
      <x:color rgb="FF172B4D"/>
      <x:name val="Aptos"/>
    </x:font>
    <x:font>
      <x:sz val="9"/>
      <x:color rgb="FF008000"/>
      <x:name val="Aptos"/>
    </x:font>
    <x:font>
      <x:sz val="9"/>
      <x:color rgb="FF0000FF"/>
      <x:name val="Aptos"/>
    </x:font>
    <x:font>
      <x:sz val="10"/>
      <x:color rgb="FFA86400"/>
      <x:name val="Aptos"/>
    </x:font>
    <x:font>
      <x:b/>
      <x:sz val="9"/>
      <x:color rgb="FF008000"/>
      <x:name val="Aptos"/>
    </x:font>
    <x:font>
      <x:b/>
      <x:sz val="9"/>
      <x:color rgb="FF66788A"/>
      <x:name val="Aptos"/>
    </x:font>
    <x:font>
      <x:b/>
      <x:sz val="15"/>
      <x:color rgb="FF1F4E78"/>
      <x:name val="Aptos Display"/>
    </x:font>
    <x:font>
      <x:b/>
      <x:sz val="15"/>
      <x:color rgb="FFB42318"/>
      <x:name val="Aptos Display"/>
    </x:font>
    <x:font>
      <x:b/>
      <x:sz val="15"/>
      <x:color rgb="FFA86400"/>
      <x:name val="Aptos Display"/>
    </x:font>
    <x:font>
      <x:b/>
      <x:sz val="9"/>
      <x:color rgb="FF1F4E78"/>
      <x:name val="Aptos"/>
    </x:font>
    <x:font>
      <x:b/>
      <x:sz val="9"/>
      <x:color rgb="FFA86400"/>
      <x:name val="Aptos"/>
    </x:font>
    <x:font>
      <x:b/>
      <x:sz val="15"/>
      <x:color rgb="FF2E7D32"/>
      <x:name val="Aptos Display"/>
    </x:font>
    <x:font>
      <x:b/>
      <x:sz val="10"/>
      <x:color rgb="FFB42318"/>
      <x:name val="Aptos"/>
    </x:font>
    <x:font>
      <x:b/>
      <x:sz val="9"/>
      <x:color rgb="FFB42318"/>
      <x:name val="Aptos"/>
    </x:font>
    <x:font>
      <x:b/>
      <x:sz val="9"/>
      <x:color rgb="FF0000FF"/>
      <x:name val="Aptos"/>
    </x:font>
    <x:font>
      <x:sz val="9"/>
      <x:color rgb="FF66788A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E7F4E4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  <x:fill>
      <x:patternFill patternType="solid">
        <x:fgColor rgb="FFFDE9E7"/>
      </x:patternFill>
    </x:fill>
  </x:fills>
  <x:borders count="38">
    <x:border/>
    <x:border>
      <x:left style="thin">
        <x:color rgb="FFA9D2A5"/>
      </x:left>
      <x:top style="thin">
        <x:color rgb="FFA9D2A5"/>
      </x:top>
    </x:border>
    <x:border>
      <x:top style="thin">
        <x:color rgb="FFA9D2A5"/>
      </x:top>
    </x:border>
    <x:border>
      <x:right style="thin">
        <x:color rgb="FFA9D2A5"/>
      </x:right>
      <x:top style="thin">
        <x:color rgb="FFA9D2A5"/>
      </x:top>
    </x:border>
    <x:border>
      <x:left style="thin">
        <x:color rgb="FFA9D2A5"/>
      </x:left>
    </x:border>
    <x:border>
      <x:right style="thin">
        <x:color rgb="FFA9D2A5"/>
      </x:right>
    </x:border>
    <x:border>
      <x:left style="thin">
        <x:color rgb="FFA9D2A5"/>
      </x:left>
      <x:bottom style="thin">
        <x:color rgb="FFA9D2A5"/>
      </x:bottom>
    </x:border>
    <x:border>
      <x:bottom style="thin">
        <x:color rgb="FFA9D2A5"/>
      </x:bottom>
    </x:border>
    <x:border>
      <x:right style="thin">
        <x:color rgb="FFA9D2A5"/>
      </x:right>
      <x:bottom style="thin">
        <x:color rgb="FFA9D2A5"/>
      </x:bottom>
    </x:border>
    <x:border>
      <x:left style="thin">
        <x:color rgb="FFC7D2DC"/>
      </x:left>
      <x:top style="thin">
        <x:color rgb="FFC7D2DC"/>
      </x:top>
    </x:border>
    <x:border>
      <x:right style="thin">
        <x:color rgb="FFC7D2DC"/>
      </x:right>
      <x:top style="thin">
        <x:color rgb="FFC7D2DC"/>
      </x:top>
    </x:border>
    <x:border>
      <x:left style="thin">
        <x:color rgb="FFC7D2DC"/>
      </x:left>
    </x:border>
    <x:border>
      <x:right style="thin">
        <x:color rgb="FFC7D2DC"/>
      </x:right>
    </x:border>
    <x:border>
      <x:left style="thin">
        <x:color rgb="FFC7D2DC"/>
      </x:left>
      <x:bottom style="thin">
        <x:color rgb="FFC7D2DC"/>
      </x:bottom>
    </x:border>
    <x:border>
      <x:right style="thin">
        <x:color rgb="FFC7D2DC"/>
      </x:right>
      <x:bottom style="thin">
        <x:color rgb="FFC7D2DC"/>
      </x:bottom>
    </x:border>
    <x:border>
      <x:left style="thin">
        <x:color rgb="FFC7D2DC"/>
      </x:left>
      <x:top style="thin">
        <x:color rgb="FFC7D2DC"/>
      </x:top>
      <x:bottom style="thin">
        <x:color rgb="FFC7D2DC"/>
      </x:bottom>
    </x:border>
    <x:border>
      <x:top style="thin">
        <x:color rgb="FFC7D2DC"/>
      </x:top>
      <x:bottom style="thin">
        <x:color rgb="FFC7D2DC"/>
      </x:bottom>
    </x:border>
    <x:border>
      <x:right style="thin">
        <x:color rgb="FFC7D2DC"/>
      </x:right>
      <x:top style="thin">
        <x:color rgb="FFC7D2DC"/>
      </x:top>
      <x:bottom style="thin">
        <x:color rgb="FFC7D2DC"/>
      </x:bottom>
    </x:border>
    <x:border>
      <x:bottom style="thin">
        <x:color rgb="FFE4E9EE"/>
      </x:bottom>
    </x:border>
    <x:border>
      <x:top style="thin">
        <x:color rgb="FFE4E9EE"/>
      </x:top>
      <x:bottom style="thin">
        <x:color rgb="FFE4E9EE"/>
      </x:bottom>
    </x:border>
    <x:border>
      <x:top style="thin">
        <x:color rgb="FFE4E9EE"/>
      </x:top>
      <x:bottom style="thin">
        <x:color rgb="FFC7D2DC"/>
      </x:bottom>
    </x:border>
    <x:border>
      <x:left style="thin">
        <x:color rgb="FFE7C56C"/>
      </x:left>
      <x:top style="thin">
        <x:color rgb="FFE7C56C"/>
      </x:top>
    </x:border>
    <x:border>
      <x:top style="thin">
        <x:color rgb="FFE7C56C"/>
      </x:top>
    </x:border>
    <x:border>
      <x:right style="thin">
        <x:color rgb="FFE7C56C"/>
      </x:right>
      <x:top style="thin">
        <x:color rgb="FFE7C56C"/>
      </x:top>
    </x:border>
    <x:border>
      <x:left style="thin">
        <x:color rgb="FFE7C56C"/>
      </x:left>
    </x:border>
    <x:border>
      <x:right style="thin">
        <x:color rgb="FFE7C56C"/>
      </x:right>
    </x:border>
    <x:border>
      <x:left style="thin">
        <x:color rgb="FFE7C56C"/>
      </x:left>
      <x:bottom style="thin">
        <x:color rgb="FFE7C56C"/>
      </x:bottom>
    </x:border>
    <x:border>
      <x:bottom style="thin">
        <x:color rgb="FFE7C56C"/>
      </x:bottom>
    </x:border>
    <x:border>
      <x:right style="thin">
        <x:color rgb="FFE7C56C"/>
      </x:right>
      <x:bottom style="thin">
        <x:color rgb="FFE7C56C"/>
      </x:bottom>
    </x:border>
    <x:border>
      <x:top style="double">
        <x:color rgb="FF1F4E78"/>
      </x:top>
      <x:bottom style="thin">
        <x:color rgb="FFC7D2DC"/>
      </x:bottom>
    </x:border>
    <x:border>
      <x:top style="thin">
        <x:color rgb="FFC7D2DC"/>
      </x:top>
    </x:border>
    <x:border>
      <x:bottom style="thin">
        <x:color rgb="FFC7D2DC"/>
      </x:bottom>
    </x:border>
    <x:border>
      <x:left style="thin">
        <x:color rgb="FFE7A7A2"/>
      </x:left>
      <x:top style="thin">
        <x:color rgb="FFE7A7A2"/>
      </x:top>
    </x:border>
    <x:border>
      <x:top style="thin">
        <x:color rgb="FFE7A7A2"/>
      </x:top>
    </x:border>
    <x:border>
      <x:right style="thin">
        <x:color rgb="FFE7A7A2"/>
      </x:right>
      <x:top style="thin">
        <x:color rgb="FFE7A7A2"/>
      </x:top>
    </x:border>
    <x:border>
      <x:left style="thin">
        <x:color rgb="FFE7A7A2"/>
      </x:left>
      <x:bottom style="thin">
        <x:color rgb="FFE7A7A2"/>
      </x:bottom>
    </x:border>
    <x:border>
      <x:bottom style="thin">
        <x:color rgb="FFE7A7A2"/>
      </x:bottom>
    </x:border>
    <x:border>
      <x:right style="thin">
        <x:color rgb="FFE7A7A2"/>
      </x:right>
      <x:bottom style="thin">
        <x:color rgb="FFE7A7A2"/>
      </x:bottom>
    </x:border>
  </x:borders>
  <x:cellStyleXfs count="1">
    <x:xf numFmtId="0" fontId="0" fillId="0" borderId="0"/>
  </x:cellStyleXfs>
  <x:cellXfs count="3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1" fillId="0" borderId="10" xfId="0" applyNumberFormat="1" applyFont="1" applyFill="1" applyBorder="1"/>
    <x:xf numFmtId="0" fontId="6" fillId="6" borderId="11" xfId="0" applyNumberFormat="1" applyFont="1" applyFill="1" applyBorder="1"/>
    <x:xf numFmtId="0" fontId="1" fillId="0" borderId="12" xfId="0" applyNumberFormat="1" applyFont="1" applyFill="1" applyBorder="1"/>
    <x:xf numFmtId="0" fontId="6" fillId="6" borderId="13" xfId="0" applyNumberFormat="1" applyFont="1" applyFill="1" applyBorder="1"/>
    <x:xf numFmtId="0" fontId="1" fillId="0" borderId="14" xfId="0" applyNumberFormat="1" applyFont="1" applyFill="1" applyBorder="1"/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2" xfId="0" applyNumberFormat="1" applyFont="1" applyFill="1" applyBorder="1"/>
    <x:xf numFmtId="0" fontId="7" fillId="0" borderId="14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5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5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vertical="center"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0" fontId="10" fillId="0" borderId="19" xfId="0" applyNumberFormat="1" applyFont="1" applyFill="1" applyBorder="1" applyAlignment="1">
      <x:alignment vertical="center"/>
    </x:xf>
    <x:xf numFmtId="0" fontId="10" fillId="0" borderId="20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200" fontId="9" fillId="0" borderId="18" xfId="0" applyNumberFormat="1" applyFont="1" applyFill="1" applyBorder="1" applyAlignment="1">
      <x:alignment vertical="center"/>
    </x:xf>
    <x:xf numFmtId="200" fontId="9" fillId="0" borderId="19" xfId="0" applyNumberFormat="1" applyFont="1" applyFill="1" applyBorder="1" applyAlignment="1">
      <x:alignment vertical="center"/>
    </x:xf>
    <x:xf numFmtId="200" fontId="9" fillId="0" borderId="20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/>
    </x:xf>
    <x:xf numFmtId="201" fontId="9" fillId="0" borderId="19" xfId="0" applyNumberFormat="1" applyFont="1" applyFill="1" applyBorder="1" applyAlignment="1">
      <x:alignment vertical="center"/>
    </x:xf>
    <x:xf numFmtId="201" fontId="9" fillId="0" borderId="20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202" fontId="9" fillId="0" borderId="19" xfId="0" applyNumberFormat="1" applyFont="1" applyFill="1" applyBorder="1" applyAlignment="1">
      <x:alignment vertical="center"/>
    </x:xf>
    <x:xf numFmtId="202" fontId="9" fillId="0" borderId="20" xfId="0" applyNumberFormat="1" applyFont="1" applyFill="1" applyBorder="1" applyAlignment="1">
      <x:alignment vertical="center"/>
    </x:xf>
    <x:xf numFmtId="202" fontId="11" fillId="0" borderId="18" xfId="0" applyNumberFormat="1" applyFont="1" applyFill="1" applyBorder="1" applyAlignment="1">
      <x:alignment vertical="center"/>
    </x:xf>
    <x:xf numFmtId="202" fontId="11" fillId="0" borderId="19" xfId="0" applyNumberFormat="1" applyFont="1" applyFill="1" applyBorder="1" applyAlignment="1">
      <x:alignment vertical="center"/>
    </x:xf>
    <x:xf numFmtId="202" fontId="11" fillId="0" borderId="20" xfId="0" applyNumberFormat="1" applyFont="1" applyFill="1" applyBorder="1" applyAlignment="1">
      <x:alignment vertical="center"/>
    </x:xf>
    <x:xf numFmtId="0" fontId="12" fillId="0" borderId="18" xfId="0" applyNumberFormat="1" applyFont="1" applyFill="1" applyBorder="1" applyAlignment="1">
      <x:alignment vertical="center"/>
    </x:xf>
    <x:xf numFmtId="0" fontId="12" fillId="0" borderId="19" xfId="0" applyNumberFormat="1" applyFont="1" applyFill="1" applyBorder="1" applyAlignment="1">
      <x:alignment vertical="center"/>
    </x:xf>
    <x:xf numFmtId="0" fontId="12" fillId="0" borderId="20" xfId="0" applyNumberFormat="1" applyFont="1" applyFill="1" applyBorder="1" applyAlignment="1">
      <x:alignment vertical="center"/>
    </x:xf>
    <x:xf numFmtId="201" fontId="12" fillId="0" borderId="18" xfId="0" applyNumberFormat="1" applyFont="1" applyFill="1" applyBorder="1" applyAlignment="1">
      <x:alignment vertical="center"/>
    </x:xf>
    <x:xf numFmtId="201" fontId="12" fillId="0" borderId="19" xfId="0" applyNumberFormat="1" applyFont="1" applyFill="1" applyBorder="1" applyAlignment="1">
      <x:alignment vertical="center"/>
    </x:xf>
    <x:xf numFmtId="203" fontId="12" fillId="0" borderId="19" xfId="0" applyNumberFormat="1" applyFont="1" applyFill="1" applyBorder="1" applyAlignment="1">
      <x:alignment vertical="center"/>
    </x:xf>
    <x:xf numFmtId="204" fontId="12" fillId="0" borderId="19" xfId="0" applyNumberFormat="1" applyFont="1" applyFill="1" applyBorder="1" applyAlignment="1">
      <x:alignment vertical="center"/>
    </x:xf>
    <x:xf numFmtId="205" fontId="12" fillId="0" borderId="19" xfId="0" applyNumberFormat="1" applyFont="1" applyFill="1" applyBorder="1" applyAlignment="1">
      <x:alignment vertical="center"/>
    </x:xf>
    <x:xf numFmtId="203" fontId="12" fillId="0" borderId="20" xfId="0" applyNumberFormat="1" applyFont="1" applyFill="1" applyBorder="1" applyAlignment="1">
      <x:alignment vertical="center"/>
    </x:xf>
    <x:xf numFmtId="0" fontId="13" fillId="0" borderId="19" xfId="0" applyNumberFormat="1" applyFont="1" applyFill="1" applyBorder="1" applyAlignment="1">
      <x:alignment vertical="center"/>
    </x:xf>
    <x:xf numFmtId="204" fontId="12" fillId="0" borderId="18" xfId="0" applyNumberFormat="1" applyFont="1" applyFill="1" applyBorder="1" applyAlignment="1">
      <x:alignment vertical="center"/>
    </x:xf>
    <x:xf numFmtId="204" fontId="13" fillId="0" borderId="19" xfId="0" applyNumberFormat="1" applyFont="1" applyFill="1" applyBorder="1" applyAlignment="1">
      <x:alignment vertical="center"/>
    </x:xf>
    <x:xf numFmtId="201" fontId="12" fillId="0" borderId="2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21" xfId="0" applyNumberFormat="1" applyFont="1" applyFill="1" applyBorder="1"/>
    <x:xf numFmtId="0" fontId="14" fillId="8" borderId="22" xfId="0" applyNumberFormat="1" applyFont="1" applyFill="1" applyBorder="1"/>
    <x:xf numFmtId="0" fontId="14" fillId="8" borderId="23" xfId="0" applyNumberFormat="1" applyFont="1" applyFill="1" applyBorder="1"/>
    <x:xf numFmtId="0" fontId="14" fillId="8" borderId="24" xfId="0" applyNumberFormat="1" applyFont="1" applyFill="1" applyBorder="1"/>
    <x:xf numFmtId="0" fontId="14" fillId="8" borderId="25" xfId="0" applyNumberFormat="1" applyFont="1" applyFill="1" applyBorder="1"/>
    <x:xf numFmtId="0" fontId="14" fillId="8" borderId="26" xfId="0" applyNumberFormat="1" applyFont="1" applyFill="1" applyBorder="1"/>
    <x:xf numFmtId="0" fontId="14" fillId="8" borderId="27" xfId="0" applyNumberFormat="1" applyFont="1" applyFill="1" applyBorder="1"/>
    <x:xf numFmtId="0" fontId="14" fillId="8" borderId="28" xfId="0" applyNumberFormat="1" applyFont="1" applyFill="1" applyBorder="1"/>
    <x:xf numFmtId="0" fontId="14" fillId="8" borderId="21" xfId="0" applyNumberFormat="1" applyFont="1" applyFill="1" applyBorder="1" applyAlignment="1">
      <x:alignment wrapText="1"/>
    </x:xf>
    <x:xf numFmtId="0" fontId="14" fillId="8" borderId="22" xfId="0" applyNumberFormat="1" applyFont="1" applyFill="1" applyBorder="1" applyAlignment="1">
      <x:alignment wrapText="1"/>
    </x:xf>
    <x:xf numFmtId="0" fontId="14" fillId="8" borderId="23" xfId="0" applyNumberFormat="1" applyFont="1" applyFill="1" applyBorder="1" applyAlignment="1">
      <x:alignment wrapText="1"/>
    </x:xf>
    <x:xf numFmtId="0" fontId="14" fillId="8" borderId="24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wrapText="1"/>
    </x:xf>
    <x:xf numFmtId="0" fontId="14" fillId="8" borderId="25" xfId="0" applyNumberFormat="1" applyFont="1" applyFill="1" applyBorder="1" applyAlignment="1">
      <x:alignment wrapText="1"/>
    </x:xf>
    <x:xf numFmtId="0" fontId="14" fillId="8" borderId="26" xfId="0" applyNumberFormat="1" applyFont="1" applyFill="1" applyBorder="1" applyAlignment="1">
      <x:alignment wrapText="1"/>
    </x:xf>
    <x:xf numFmtId="0" fontId="14" fillId="8" borderId="27" xfId="0" applyNumberFormat="1" applyFont="1" applyFill="1" applyBorder="1" applyAlignment="1">
      <x:alignment wrapText="1"/>
    </x:xf>
    <x:xf numFmtId="0" fontId="14" fillId="8" borderId="28" xfId="0" applyNumberFormat="1" applyFont="1" applyFill="1" applyBorder="1" applyAlignment="1">
      <x:alignment wrapText="1"/>
    </x:xf>
    <x:xf numFmtId="0" fontId="14" fillId="8" borderId="21" xfId="0" applyNumberFormat="1" applyFont="1" applyFill="1" applyBorder="1" applyAlignment="1">
      <x:alignment vertical="center" wrapText="1"/>
    </x:xf>
    <x:xf numFmtId="0" fontId="14" fillId="8" borderId="22" xfId="0" applyNumberFormat="1" applyFont="1" applyFill="1" applyBorder="1" applyAlignment="1">
      <x:alignment vertical="center" wrapText="1"/>
    </x:xf>
    <x:xf numFmtId="0" fontId="14" fillId="8" borderId="23" xfId="0" applyNumberFormat="1" applyFont="1" applyFill="1" applyBorder="1" applyAlignment="1">
      <x:alignment vertical="center" wrapText="1"/>
    </x:xf>
    <x:xf numFmtId="0" fontId="14" fillId="8" borderId="24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4" fillId="8" borderId="25" xfId="0" applyNumberFormat="1" applyFont="1" applyFill="1" applyBorder="1" applyAlignment="1">
      <x:alignment vertical="center" wrapText="1"/>
    </x:xf>
    <x:xf numFmtId="0" fontId="14" fillId="8" borderId="26" xfId="0" applyNumberFormat="1" applyFont="1" applyFill="1" applyBorder="1" applyAlignment="1">
      <x:alignment vertical="center" wrapText="1"/>
    </x:xf>
    <x:xf numFmtId="0" fontId="14" fillId="8" borderId="27" xfId="0" applyNumberFormat="1" applyFont="1" applyFill="1" applyBorder="1" applyAlignment="1">
      <x:alignment vertical="center" wrapText="1"/>
    </x:xf>
    <x:xf numFmtId="0" fontId="14" fillId="8" borderId="28" xfId="0" applyNumberFormat="1" applyFont="1" applyFill="1" applyBorder="1" applyAlignment="1">
      <x:alignment vertical="center" wrapText="1"/>
    </x:xf>
    <x:xf numFmtId="204" fontId="12" fillId="0" borderId="20" xfId="0" applyNumberFormat="1" applyFont="1" applyFill="1" applyBorder="1" applyAlignment="1">
      <x:alignment vertical="center"/>
    </x:xf>
    <x:xf numFmtId="0" fontId="11" fillId="0" borderId="20" xfId="0" applyNumberFormat="1" applyFont="1" applyFill="1" applyBorder="1" applyAlignment="1">
      <x:alignment vertical="center"/>
    </x:xf>
    <x:xf numFmtId="204" fontId="15" fillId="0" borderId="20" xfId="0" applyNumberFormat="1" applyFont="1" applyFill="1" applyBorder="1" applyAlignment="1">
      <x:alignment vertical="center"/>
    </x:xf>
    <x:xf numFmtId="0" fontId="11" fillId="0" borderId="29" xfId="0" applyNumberFormat="1" applyFont="1" applyFill="1" applyBorder="1" applyAlignment="1">
      <x:alignment vertical="center"/>
    </x:xf>
    <x:xf numFmtId="204" fontId="15" fillId="0" borderId="2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1" fontId="12" fillId="0" borderId="18" xfId="0" applyNumberFormat="1" applyFont="1" applyFill="1" applyBorder="1" applyAlignment="1">
      <x:alignment vertical="center" wrapText="1"/>
    </x:xf>
    <x:xf numFmtId="204" fontId="12" fillId="0" borderId="18" xfId="0" applyNumberFormat="1" applyFont="1" applyFill="1" applyBorder="1" applyAlignment="1">
      <x:alignment vertical="center" wrapText="1"/>
    </x:xf>
    <x:xf numFmtId="201" fontId="12" fillId="0" borderId="19" xfId="0" applyNumberFormat="1" applyFont="1" applyFill="1" applyBorder="1" applyAlignment="1">
      <x:alignment vertical="center" wrapText="1"/>
    </x:xf>
    <x:xf numFmtId="204" fontId="12" fillId="0" borderId="19" xfId="0" applyNumberFormat="1" applyFont="1" applyFill="1" applyBorder="1" applyAlignment="1">
      <x:alignment vertical="center" wrapText="1"/>
    </x:xf>
    <x:xf numFmtId="203" fontId="12" fillId="0" borderId="19" xfId="0" applyNumberFormat="1" applyFont="1" applyFill="1" applyBorder="1" applyAlignment="1">
      <x:alignment vertical="center" wrapText="1"/>
    </x:xf>
    <x:xf numFmtId="204" fontId="13" fillId="0" borderId="19" xfId="0" applyNumberFormat="1" applyFont="1" applyFill="1" applyBorder="1" applyAlignment="1">
      <x:alignment vertical="center" wrapText="1"/>
    </x:xf>
    <x:xf numFmtId="205" fontId="12" fillId="0" borderId="19" xfId="0" applyNumberFormat="1" applyFont="1" applyFill="1" applyBorder="1" applyAlignment="1">
      <x:alignment vertical="center" wrapText="1"/>
    </x:xf>
    <x:xf numFmtId="201" fontId="12" fillId="0" borderId="20" xfId="0" applyNumberFormat="1" applyFont="1" applyFill="1" applyBorder="1" applyAlignment="1">
      <x:alignment vertical="center" wrapText="1"/>
    </x:xf>
    <x:xf numFmtId="203" fontId="12" fillId="0" borderId="2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1" fillId="0" borderId="29" xfId="0" applyNumberFormat="1" applyFont="1" applyFill="1" applyBorder="1" applyAlignment="1">
      <x:alignment vertical="center" wrapText="1"/>
    </x:xf>
    <x:xf numFmtId="204" fontId="15" fillId="0" borderId="29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vertical="center"/>
    </x:xf>
    <x:xf numFmtId="203" fontId="17" fillId="9" borderId="0" xfId="0" applyNumberFormat="1" applyFont="1" applyFill="1" applyBorder="1" applyAlignment="1">
      <x:alignment vertical="center"/>
    </x:xf>
    <x:xf numFmtId="0" fontId="16" fillId="6" borderId="9" xfId="0" applyNumberFormat="1" applyFont="1" applyFill="1" applyBorder="1" applyAlignment="1">
      <x:alignment vertical="center"/>
    </x:xf>
    <x:xf numFmtId="0" fontId="16" fillId="6" borderId="30" xfId="0" applyNumberFormat="1" applyFont="1" applyFill="1" applyBorder="1" applyAlignment="1">
      <x:alignment vertical="center"/>
    </x:xf>
    <x:xf numFmtId="0" fontId="16" fillId="6" borderId="10" xfId="0" applyNumberFormat="1" applyFont="1" applyFill="1" applyBorder="1" applyAlignment="1">
      <x:alignment vertical="center"/>
    </x:xf>
    <x:xf numFmtId="203" fontId="17" fillId="9" borderId="11" xfId="0" applyNumberFormat="1" applyFont="1" applyFill="1" applyBorder="1" applyAlignment="1">
      <x:alignment vertical="center"/>
    </x:xf>
    <x:xf numFmtId="203" fontId="17" fillId="9" borderId="12" xfId="0" applyNumberFormat="1" applyFont="1" applyFill="1" applyBorder="1" applyAlignment="1">
      <x:alignment vertical="center"/>
    </x:xf>
    <x:xf numFmtId="203" fontId="17" fillId="9" borderId="13" xfId="0" applyNumberFormat="1" applyFont="1" applyFill="1" applyBorder="1" applyAlignment="1">
      <x:alignment vertical="center"/>
    </x:xf>
    <x:xf numFmtId="203" fontId="17" fillId="9" borderId="31" xfId="0" applyNumberFormat="1" applyFont="1" applyFill="1" applyBorder="1" applyAlignment="1">
      <x:alignment vertical="center"/>
    </x:xf>
    <x:xf numFmtId="203" fontId="17" fillId="9" borderId="14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204" fontId="18" fillId="9" borderId="0" xfId="0" applyNumberFormat="1" applyFont="1" applyFill="1" applyBorder="1" applyAlignment="1">
      <x:alignment vertical="center"/>
    </x:xf>
    <x:xf numFmtId="204" fontId="18" fillId="9" borderId="11" xfId="0" applyNumberFormat="1" applyFont="1" applyFill="1" applyBorder="1" applyAlignment="1">
      <x:alignment vertical="center"/>
    </x:xf>
    <x:xf numFmtId="204" fontId="18" fillId="9" borderId="12" xfId="0" applyNumberFormat="1" applyFont="1" applyFill="1" applyBorder="1" applyAlignment="1">
      <x:alignment vertical="center"/>
    </x:xf>
    <x:xf numFmtId="204" fontId="18" fillId="9" borderId="13" xfId="0" applyNumberFormat="1" applyFont="1" applyFill="1" applyBorder="1" applyAlignment="1">
      <x:alignment vertical="center"/>
    </x:xf>
    <x:xf numFmtId="204" fontId="18" fillId="9" borderId="31" xfId="0" applyNumberFormat="1" applyFont="1" applyFill="1" applyBorder="1" applyAlignment="1">
      <x:alignment vertical="center"/>
    </x:xf>
    <x:xf numFmtId="204" fontId="18" fillId="9" borderId="14" xfId="0" applyNumberFormat="1" applyFont="1" applyFill="1" applyBorder="1" applyAlignment="1">
      <x:alignment vertical="center"/>
    </x:xf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vertical="center"/>
    </x:xf>
    <x:xf numFmtId="205" fontId="19" fillId="9" borderId="0" xfId="0" applyNumberFormat="1" applyFont="1" applyFill="1" applyBorder="1" applyAlignment="1">
      <x:alignment vertical="center"/>
    </x:xf>
    <x:xf numFmtId="205" fontId="19" fillId="9" borderId="11" xfId="0" applyNumberFormat="1" applyFont="1" applyFill="1" applyBorder="1" applyAlignment="1">
      <x:alignment vertical="center"/>
    </x:xf>
    <x:xf numFmtId="205" fontId="19" fillId="9" borderId="12" xfId="0" applyNumberFormat="1" applyFont="1" applyFill="1" applyBorder="1" applyAlignment="1">
      <x:alignment vertical="center"/>
    </x:xf>
    <x:xf numFmtId="205" fontId="19" fillId="9" borderId="13" xfId="0" applyNumberFormat="1" applyFont="1" applyFill="1" applyBorder="1" applyAlignment="1">
      <x:alignment vertical="center"/>
    </x:xf>
    <x:xf numFmtId="205" fontId="19" fillId="9" borderId="31" xfId="0" applyNumberFormat="1" applyFont="1" applyFill="1" applyBorder="1" applyAlignment="1">
      <x:alignment vertical="center"/>
    </x:xf>
    <x:xf numFmtId="205" fontId="19" fillId="9" borderId="14" xfId="0" applyNumberFormat="1" applyFont="1" applyFill="1" applyBorder="1" applyAlignment="1">
      <x:alignment vertical="center"/>
    </x:xf>
    <x:xf numFmtId="203" fontId="18" fillId="9" borderId="0" xfId="0" applyNumberFormat="1" applyFont="1" applyFill="1" applyBorder="1" applyAlignment="1">
      <x:alignment vertical="center"/>
    </x:xf>
    <x:xf numFmtId="203" fontId="18" fillId="9" borderId="11" xfId="0" applyNumberFormat="1" applyFont="1" applyFill="1" applyBorder="1" applyAlignment="1">
      <x:alignment vertical="center"/>
    </x:xf>
    <x:xf numFmtId="203" fontId="18" fillId="9" borderId="12" xfId="0" applyNumberFormat="1" applyFont="1" applyFill="1" applyBorder="1" applyAlignment="1">
      <x:alignment vertical="center"/>
    </x:xf>
    <x:xf numFmtId="203" fontId="18" fillId="9" borderId="13" xfId="0" applyNumberFormat="1" applyFont="1" applyFill="1" applyBorder="1" applyAlignment="1">
      <x:alignment vertical="center"/>
    </x:xf>
    <x:xf numFmtId="203" fontId="18" fillId="9" borderId="31" xfId="0" applyNumberFormat="1" applyFont="1" applyFill="1" applyBorder="1" applyAlignment="1">
      <x:alignment vertical="center"/>
    </x:xf>
    <x:xf numFmtId="203" fontId="18" fillId="9" borderId="14" xfId="0" applyNumberFormat="1" applyFont="1" applyFill="1" applyBorder="1" applyAlignment="1">
      <x:alignment vertical="center"/>
    </x:xf>
    <x:xf numFmtId="0" fontId="16" fillId="6" borderId="9" xfId="0" applyNumberFormat="1" applyFont="1" applyFill="1" applyBorder="1" applyAlignment="1">
      <x:alignment horizontal="center" vertical="center"/>
    </x:xf>
    <x:xf numFmtId="0" fontId="16" fillId="6" borderId="30" xfId="0" applyNumberFormat="1" applyFont="1" applyFill="1" applyBorder="1" applyAlignment="1">
      <x:alignment horizontal="center" vertical="center"/>
    </x:xf>
    <x:xf numFmtId="0" fontId="16" fillId="6" borderId="1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203" fontId="17" fillId="9" borderId="11" xfId="0" applyNumberFormat="1" applyFont="1" applyFill="1" applyBorder="1" applyAlignment="1">
      <x:alignment horizontal="center" vertical="center"/>
    </x:xf>
    <x:xf numFmtId="203" fontId="17" fillId="9" borderId="0" xfId="0" applyNumberFormat="1" applyFont="1" applyFill="1" applyBorder="1" applyAlignment="1">
      <x:alignment horizontal="center" vertical="center"/>
    </x:xf>
    <x:xf numFmtId="203" fontId="17" fillId="9" borderId="12" xfId="0" applyNumberFormat="1" applyFont="1" applyFill="1" applyBorder="1" applyAlignment="1">
      <x:alignment horizontal="center" vertical="center"/>
    </x:xf>
    <x:xf numFmtId="204" fontId="18" fillId="9" borderId="11" xfId="0" applyNumberFormat="1" applyFont="1" applyFill="1" applyBorder="1" applyAlignment="1">
      <x:alignment horizontal="center" vertical="center"/>
    </x:xf>
    <x:xf numFmtId="204" fontId="18" fillId="9" borderId="0" xfId="0" applyNumberFormat="1" applyFont="1" applyFill="1" applyBorder="1" applyAlignment="1">
      <x:alignment horizontal="center" vertical="center"/>
    </x:xf>
    <x:xf numFmtId="204" fontId="18" fillId="9" borderId="12" xfId="0" applyNumberFormat="1" applyFont="1" applyFill="1" applyBorder="1" applyAlignment="1">
      <x:alignment horizontal="center" vertical="center"/>
    </x:xf>
    <x:xf numFmtId="205" fontId="19" fillId="9" borderId="11" xfId="0" applyNumberFormat="1" applyFont="1" applyFill="1" applyBorder="1" applyAlignment="1">
      <x:alignment horizontal="center" vertical="center"/>
    </x:xf>
    <x:xf numFmtId="205" fontId="19" fillId="9" borderId="0" xfId="0" applyNumberFormat="1" applyFont="1" applyFill="1" applyBorder="1" applyAlignment="1">
      <x:alignment horizontal="center" vertical="center"/>
    </x:xf>
    <x:xf numFmtId="205" fontId="19" fillId="9" borderId="12" xfId="0" applyNumberFormat="1" applyFont="1" applyFill="1" applyBorder="1" applyAlignment="1">
      <x:alignment horizontal="center" vertical="center"/>
    </x:xf>
    <x:xf numFmtId="203" fontId="18" fillId="9" borderId="11" xfId="0" applyNumberFormat="1" applyFont="1" applyFill="1" applyBorder="1" applyAlignment="1">
      <x:alignment horizontal="center" vertical="center"/>
    </x:xf>
    <x:xf numFmtId="203" fontId="18" fillId="9" borderId="0" xfId="0" applyNumberFormat="1" applyFont="1" applyFill="1" applyBorder="1" applyAlignment="1">
      <x:alignment horizontal="center" vertical="center"/>
    </x:xf>
    <x:xf numFmtId="203" fontId="18" fillId="9" borderId="12" xfId="0" applyNumberFormat="1" applyFont="1" applyFill="1" applyBorder="1" applyAlignment="1">
      <x:alignment horizontal="center" vertical="center"/>
    </x:xf>
    <x:xf numFmtId="203" fontId="17" fillId="9" borderId="13" xfId="0" applyNumberFormat="1" applyFont="1" applyFill="1" applyBorder="1" applyAlignment="1">
      <x:alignment horizontal="center" vertical="center"/>
    </x:xf>
    <x:xf numFmtId="203" fontId="17" fillId="9" borderId="31" xfId="0" applyNumberFormat="1" applyFont="1" applyFill="1" applyBorder="1" applyAlignment="1">
      <x:alignment horizontal="center" vertical="center"/>
    </x:xf>
    <x:xf numFmtId="203" fontId="17" fillId="9" borderId="14" xfId="0" applyNumberFormat="1" applyFont="1" applyFill="1" applyBorder="1" applyAlignment="1">
      <x:alignment horizontal="center" vertical="center"/>
    </x:xf>
    <x:xf numFmtId="204" fontId="18" fillId="9" borderId="13" xfId="0" applyNumberFormat="1" applyFont="1" applyFill="1" applyBorder="1" applyAlignment="1">
      <x:alignment horizontal="center" vertical="center"/>
    </x:xf>
    <x:xf numFmtId="204" fontId="18" fillId="9" borderId="31" xfId="0" applyNumberFormat="1" applyFont="1" applyFill="1" applyBorder="1" applyAlignment="1">
      <x:alignment horizontal="center" vertical="center"/>
    </x:xf>
    <x:xf numFmtId="204" fontId="18" fillId="9" borderId="14" xfId="0" applyNumberFormat="1" applyFont="1" applyFill="1" applyBorder="1" applyAlignment="1">
      <x:alignment horizontal="center" vertical="center"/>
    </x:xf>
    <x:xf numFmtId="205" fontId="19" fillId="9" borderId="13" xfId="0" applyNumberFormat="1" applyFont="1" applyFill="1" applyBorder="1" applyAlignment="1">
      <x:alignment horizontal="center" vertical="center"/>
    </x:xf>
    <x:xf numFmtId="205" fontId="19" fillId="9" borderId="31" xfId="0" applyNumberFormat="1" applyFont="1" applyFill="1" applyBorder="1" applyAlignment="1">
      <x:alignment horizontal="center" vertical="center"/>
    </x:xf>
    <x:xf numFmtId="205" fontId="19" fillId="9" borderId="14" xfId="0" applyNumberFormat="1" applyFont="1" applyFill="1" applyBorder="1" applyAlignment="1">
      <x:alignment horizontal="center" vertical="center"/>
    </x:xf>
    <x:xf numFmtId="203" fontId="18" fillId="9" borderId="13" xfId="0" applyNumberFormat="1" applyFont="1" applyFill="1" applyBorder="1" applyAlignment="1">
      <x:alignment horizontal="center" vertical="center"/>
    </x:xf>
    <x:xf numFmtId="203" fontId="18" fillId="9" borderId="31" xfId="0" applyNumberFormat="1" applyFont="1" applyFill="1" applyBorder="1" applyAlignment="1">
      <x:alignment horizontal="center" vertical="center"/>
    </x:xf>
    <x:xf numFmtId="203" fontId="18" fillId="9" borderId="14" xfId="0" applyNumberFormat="1" applyFont="1" applyFill="1" applyBorder="1" applyAlignment="1">
      <x:alignment horizontal="center" vertical="center"/>
    </x:xf>
    <x:xf numFmtId="0" fontId="9" fillId="3" borderId="18" xfId="0" applyNumberFormat="1" applyFont="1" applyFill="1" applyBorder="1" applyAlignment="1">
      <x:alignment vertical="center"/>
    </x:xf>
    <x:xf numFmtId="0" fontId="9" fillId="3" borderId="19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/>
    </x:xf>
    <x:xf numFmtId="0" fontId="20" fillId="3" borderId="18" xfId="0" applyNumberFormat="1" applyFont="1" applyFill="1" applyBorder="1" applyAlignment="1">
      <x:alignment vertical="center"/>
    </x:xf>
    <x:xf numFmtId="0" fontId="20" fillId="3" borderId="19" xfId="0" applyNumberFormat="1" applyFont="1" applyFill="1" applyBorder="1" applyAlignment="1">
      <x:alignment vertical="center"/>
    </x:xf>
    <x:xf numFmtId="0" fontId="20" fillId="3" borderId="20" xfId="0" applyNumberFormat="1" applyFont="1" applyFill="1" applyBorder="1" applyAlignment="1">
      <x:alignment vertical="center"/>
    </x:xf>
    <x:xf numFmtId="0" fontId="11" fillId="0" borderId="18" xfId="0" applyNumberFormat="1" applyFont="1" applyFill="1" applyBorder="1" applyAlignment="1">
      <x:alignment vertical="center"/>
    </x:xf>
    <x:xf numFmtId="0" fontId="11" fillId="0" borderId="19" xfId="0" applyNumberFormat="1" applyFont="1" applyFill="1" applyBorder="1" applyAlignment="1">
      <x:alignment vertical="center"/>
    </x:xf>
    <x:xf numFmtId="0" fontId="9" fillId="8" borderId="1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21" fillId="8" borderId="18" xfId="0" applyNumberFormat="1" applyFont="1" applyFill="1" applyBorder="1" applyAlignment="1">
      <x:alignment vertical="center"/>
    </x:xf>
    <x:xf numFmtId="0" fontId="21" fillId="8" borderId="19" xfId="0" applyNumberFormat="1" applyFont="1" applyFill="1" applyBorder="1" applyAlignment="1">
      <x:alignment vertical="center"/>
    </x:xf>
    <x:xf numFmtId="0" fontId="21" fillId="8" borderId="20" xfId="0" applyNumberFormat="1" applyFont="1" applyFill="1" applyBorder="1" applyAlignment="1">
      <x:alignment vertical="center"/>
    </x:xf>
    <x:xf numFmtId="0" fontId="20" fillId="3" borderId="18" xfId="0" applyNumberFormat="1" applyFont="1" applyFill="1" applyBorder="1" applyAlignment="1">
      <x:alignment vertical="center" wrapText="1"/>
    </x:xf>
    <x:xf numFmtId="0" fontId="11" fillId="0" borderId="18" xfId="0" applyNumberFormat="1" applyFont="1" applyFill="1" applyBorder="1" applyAlignment="1">
      <x:alignment vertical="center" wrapText="1"/>
    </x:xf>
    <x:xf numFmtId="0" fontId="21" fillId="8" borderId="18" xfId="0" applyNumberFormat="1" applyFont="1" applyFill="1" applyBorder="1" applyAlignment="1">
      <x:alignment vertical="center" wrapText="1"/>
    </x:xf>
    <x:xf numFmtId="0" fontId="20" fillId="3" borderId="19" xfId="0" applyNumberFormat="1" applyFont="1" applyFill="1" applyBorder="1" applyAlignment="1">
      <x:alignment vertical="center" wrapText="1"/>
    </x:xf>
    <x:xf numFmtId="0" fontId="11" fillId="0" borderId="19" xfId="0" applyNumberFormat="1" applyFont="1" applyFill="1" applyBorder="1" applyAlignment="1">
      <x:alignment vertical="center" wrapText="1"/>
    </x:xf>
    <x:xf numFmtId="0" fontId="21" fillId="8" borderId="19" xfId="0" applyNumberFormat="1" applyFont="1" applyFill="1" applyBorder="1" applyAlignment="1">
      <x:alignment vertical="center" wrapText="1"/>
    </x:xf>
    <x:xf numFmtId="0" fontId="20" fillId="3" borderId="20" xfId="0" applyNumberFormat="1" applyFont="1" applyFill="1" applyBorder="1" applyAlignment="1">
      <x:alignment vertical="center" wrapText="1"/>
    </x:xf>
    <x:xf numFmtId="0" fontId="11" fillId="0" borderId="20" xfId="0" applyNumberFormat="1" applyFont="1" applyFill="1" applyBorder="1" applyAlignment="1">
      <x:alignment vertical="center" wrapText="1"/>
    </x:xf>
    <x:xf numFmtId="0" fontId="21" fillId="8" borderId="20" xfId="0" applyNumberFormat="1" applyFont="1" applyFill="1" applyBorder="1" applyAlignment="1">
      <x:alignment vertical="center" wrapText="1"/>
    </x:xf>
    <x:xf numFmtId="204" fontId="9" fillId="0" borderId="18" xfId="0" applyNumberFormat="1" applyFont="1" applyFill="1" applyBorder="1" applyAlignment="1">
      <x:alignment vertical="center"/>
    </x:xf>
    <x:xf numFmtId="204" fontId="9" fillId="0" borderId="19" xfId="0" applyNumberFormat="1" applyFont="1" applyFill="1" applyBorder="1" applyAlignment="1">
      <x:alignment vertical="center"/>
    </x:xf>
    <x:xf numFmtId="204" fontId="9" fillId="0" borderId="20" xfId="0" applyNumberFormat="1" applyFont="1" applyFill="1" applyBorder="1" applyAlignment="1">
      <x:alignment vertical="center"/>
    </x:xf>
    <x:xf numFmtId="203" fontId="12" fillId="0" borderId="18" xfId="0" applyNumberFormat="1" applyFont="1" applyFill="1" applyBorder="1" applyAlignment="1">
      <x:alignment vertical="center"/>
    </x:xf>
    <x:xf numFmtId="206" fontId="9" fillId="0" borderId="18" xfId="0" applyNumberFormat="1" applyFont="1" applyFill="1" applyBorder="1" applyAlignment="1">
      <x:alignment vertical="center"/>
    </x:xf>
    <x:xf numFmtId="206" fontId="9" fillId="0" borderId="19" xfId="0" applyNumberFormat="1" applyFont="1" applyFill="1" applyBorder="1" applyAlignment="1">
      <x:alignment vertical="center"/>
    </x:xf>
    <x:xf numFmtId="206" fontId="9" fillId="0" borderId="20" xfId="0" applyNumberFormat="1" applyFont="1" applyFill="1" applyBorder="1" applyAlignment="1">
      <x:alignment vertical="center"/>
    </x:xf>
    <x:xf numFmtId="203" fontId="9" fillId="0" borderId="18" xfId="0" applyNumberFormat="1" applyFont="1" applyFill="1" applyBorder="1" applyAlignment="1">
      <x:alignment vertical="center"/>
    </x:xf>
    <x:xf numFmtId="203" fontId="9" fillId="0" borderId="19" xfId="0" applyNumberFormat="1" applyFont="1" applyFill="1" applyBorder="1" applyAlignment="1">
      <x:alignment vertical="center"/>
    </x:xf>
    <x:xf numFmtId="203" fontId="9" fillId="0" borderId="20" xfId="0" applyNumberFormat="1" applyFont="1" applyFill="1" applyBorder="1" applyAlignment="1">
      <x:alignment vertical="center"/>
    </x:xf>
    <x:xf numFmtId="205" fontId="9" fillId="0" borderId="18" xfId="0" applyNumberFormat="1" applyFont="1" applyFill="1" applyBorder="1" applyAlignment="1">
      <x:alignment vertical="center"/>
    </x:xf>
    <x:xf numFmtId="205" fontId="9" fillId="0" borderId="19" xfId="0" applyNumberFormat="1" applyFont="1" applyFill="1" applyBorder="1" applyAlignment="1">
      <x:alignment vertical="center"/>
    </x:xf>
    <x:xf numFmtId="205" fontId="9" fillId="0" borderId="20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 wrapText="1"/>
    </x:xf>
    <x:xf numFmtId="201" fontId="9" fillId="0" borderId="19" xfId="0" applyNumberFormat="1" applyFont="1" applyFill="1" applyBorder="1" applyAlignment="1">
      <x:alignment vertical="center" wrapText="1"/>
    </x:xf>
    <x:xf numFmtId="201" fontId="9" fillId="0" borderId="20" xfId="0" applyNumberFormat="1" applyFont="1" applyFill="1" applyBorder="1" applyAlignment="1">
      <x:alignment vertical="center" wrapText="1"/>
    </x:xf>
    <x:xf numFmtId="0" fontId="22" fillId="9" borderId="0" xfId="0" applyNumberFormat="1" applyFont="1" applyFill="1" applyBorder="1"/>
    <x:xf numFmtId="0" fontId="22" fillId="9" borderId="0" xfId="0" applyNumberFormat="1" applyFont="1" applyFill="1" applyBorder="1" applyAlignment="1">
      <x:alignment vertical="center"/>
    </x:xf>
    <x:xf numFmtId="201" fontId="22" fillId="9" borderId="0" xfId="0" applyNumberFormat="1" applyFont="1" applyFill="1" applyBorder="1" applyAlignment="1">
      <x:alignment vertical="center"/>
    </x:xf>
    <x:xf numFmtId="201" fontId="22" fillId="9" borderId="11" xfId="0" applyNumberFormat="1" applyFont="1" applyFill="1" applyBorder="1" applyAlignment="1">
      <x:alignment vertical="center"/>
    </x:xf>
    <x:xf numFmtId="201" fontId="22" fillId="9" borderId="12" xfId="0" applyNumberFormat="1" applyFont="1" applyFill="1" applyBorder="1" applyAlignment="1">
      <x:alignment vertical="center"/>
    </x:xf>
    <x:xf numFmtId="201" fontId="22" fillId="9" borderId="13" xfId="0" applyNumberFormat="1" applyFont="1" applyFill="1" applyBorder="1" applyAlignment="1">
      <x:alignment vertical="center"/>
    </x:xf>
    <x:xf numFmtId="201" fontId="22" fillId="9" borderId="14" xfId="0" applyNumberFormat="1" applyFont="1" applyFill="1" applyBorder="1" applyAlignment="1">
      <x:alignment vertical="center"/>
    </x:xf>
    <x:xf numFmtId="201" fontId="19" fillId="9" borderId="0" xfId="0" applyNumberFormat="1" applyFont="1" applyFill="1" applyBorder="1" applyAlignment="1">
      <x:alignment vertical="center"/>
    </x:xf>
    <x:xf numFmtId="201" fontId="19" fillId="9" borderId="11" xfId="0" applyNumberFormat="1" applyFont="1" applyFill="1" applyBorder="1" applyAlignment="1">
      <x:alignment vertical="center"/>
    </x:xf>
    <x:xf numFmtId="201" fontId="19" fillId="9" borderId="12" xfId="0" applyNumberFormat="1" applyFont="1" applyFill="1" applyBorder="1" applyAlignment="1">
      <x:alignment vertical="center"/>
    </x:xf>
    <x:xf numFmtId="201" fontId="19" fillId="9" borderId="13" xfId="0" applyNumberFormat="1" applyFont="1" applyFill="1" applyBorder="1" applyAlignment="1">
      <x:alignment vertical="center"/>
    </x:xf>
    <x:xf numFmtId="201" fontId="19" fillId="9" borderId="14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0" fontId="23" fillId="10" borderId="0" xfId="0" applyNumberFormat="1" applyFont="1" applyFill="1" applyBorder="1"/>
    <x:xf numFmtId="0" fontId="23" fillId="10" borderId="32" xfId="0" applyNumberFormat="1" applyFont="1" applyFill="1" applyBorder="1"/>
    <x:xf numFmtId="0" fontId="23" fillId="10" borderId="33" xfId="0" applyNumberFormat="1" applyFont="1" applyFill="1" applyBorder="1"/>
    <x:xf numFmtId="0" fontId="23" fillId="10" borderId="34" xfId="0" applyNumberFormat="1" applyFont="1" applyFill="1" applyBorder="1"/>
    <x:xf numFmtId="0" fontId="23" fillId="10" borderId="35" xfId="0" applyNumberFormat="1" applyFont="1" applyFill="1" applyBorder="1"/>
    <x:xf numFmtId="0" fontId="23" fillId="10" borderId="36" xfId="0" applyNumberFormat="1" applyFont="1" applyFill="1" applyBorder="1"/>
    <x:xf numFmtId="0" fontId="23" fillId="10" borderId="37" xfId="0" applyNumberFormat="1" applyFont="1" applyFill="1" applyBorder="1"/>
    <x:xf numFmtId="0" fontId="23" fillId="10" borderId="32" xfId="0" applyNumberFormat="1" applyFont="1" applyFill="1" applyBorder="1" applyAlignment="1">
      <x:alignment wrapText="1"/>
    </x:xf>
    <x:xf numFmtId="0" fontId="23" fillId="10" borderId="33" xfId="0" applyNumberFormat="1" applyFont="1" applyFill="1" applyBorder="1" applyAlignment="1">
      <x:alignment wrapText="1"/>
    </x:xf>
    <x:xf numFmtId="0" fontId="23" fillId="10" borderId="34" xfId="0" applyNumberFormat="1" applyFont="1" applyFill="1" applyBorder="1" applyAlignment="1">
      <x:alignment wrapText="1"/>
    </x:xf>
    <x:xf numFmtId="0" fontId="23" fillId="10" borderId="35" xfId="0" applyNumberFormat="1" applyFont="1" applyFill="1" applyBorder="1" applyAlignment="1">
      <x:alignment wrapText="1"/>
    </x:xf>
    <x:xf numFmtId="0" fontId="23" fillId="10" borderId="36" xfId="0" applyNumberFormat="1" applyFont="1" applyFill="1" applyBorder="1" applyAlignment="1">
      <x:alignment wrapText="1"/>
    </x:xf>
    <x:xf numFmtId="0" fontId="23" fillId="10" borderId="37" xfId="0" applyNumberFormat="1" applyFont="1" applyFill="1" applyBorder="1" applyAlignment="1">
      <x:alignment wrapText="1"/>
    </x:xf>
    <x:xf numFmtId="0" fontId="23" fillId="10" borderId="32" xfId="0" applyNumberFormat="1" applyFont="1" applyFill="1" applyBorder="1" applyAlignment="1">
      <x:alignment vertical="center" wrapText="1"/>
    </x:xf>
    <x:xf numFmtId="0" fontId="23" fillId="10" borderId="33" xfId="0" applyNumberFormat="1" applyFont="1" applyFill="1" applyBorder="1" applyAlignment="1">
      <x:alignment vertical="center" wrapText="1"/>
    </x:xf>
    <x:xf numFmtId="0" fontId="23" fillId="10" borderId="34" xfId="0" applyNumberFormat="1" applyFont="1" applyFill="1" applyBorder="1" applyAlignment="1">
      <x:alignment vertical="center" wrapText="1"/>
    </x:xf>
    <x:xf numFmtId="0" fontId="23" fillId="10" borderId="35" xfId="0" applyNumberFormat="1" applyFont="1" applyFill="1" applyBorder="1" applyAlignment="1">
      <x:alignment vertical="center" wrapText="1"/>
    </x:xf>
    <x:xf numFmtId="0" fontId="23" fillId="10" borderId="36" xfId="0" applyNumberFormat="1" applyFont="1" applyFill="1" applyBorder="1" applyAlignment="1">
      <x:alignment vertical="center" wrapText="1"/>
    </x:xf>
    <x:xf numFmtId="0" fontId="23" fillId="10" borderId="3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5" borderId="18" xfId="0" applyNumberFormat="1" applyFont="1" applyFill="1" applyBorder="1" applyAlignment="1">
      <x:alignment vertical="center"/>
    </x:xf>
    <x:xf numFmtId="0" fontId="9" fillId="5" borderId="19" xfId="0" applyNumberFormat="1" applyFont="1" applyFill="1" applyBorder="1" applyAlignment="1">
      <x:alignment vertical="center"/>
    </x:xf>
    <x:xf numFmtId="0" fontId="10" fillId="5" borderId="18" xfId="0" applyNumberFormat="1" applyFont="1" applyFill="1" applyBorder="1" applyAlignment="1">
      <x:alignment vertical="center"/>
    </x:xf>
    <x:xf numFmtId="0" fontId="10" fillId="5" borderId="19" xfId="0" applyNumberFormat="1" applyFont="1" applyFill="1" applyBorder="1" applyAlignment="1">
      <x:alignment vertical="center"/>
    </x:xf>
    <x:xf numFmtId="0" fontId="9" fillId="10" borderId="19" xfId="0" applyNumberFormat="1" applyFont="1" applyFill="1" applyBorder="1" applyAlignment="1">
      <x:alignment vertical="center"/>
    </x:xf>
    <x:xf numFmtId="0" fontId="9" fillId="10" borderId="20" xfId="0" applyNumberFormat="1" applyFont="1" applyFill="1" applyBorder="1" applyAlignment="1">
      <x:alignment vertical="center"/>
    </x:xf>
    <x:xf numFmtId="0" fontId="24" fillId="10" borderId="19" xfId="0" applyNumberFormat="1" applyFont="1" applyFill="1" applyBorder="1" applyAlignment="1">
      <x:alignment vertical="center"/>
    </x:xf>
    <x:xf numFmtId="0" fontId="24" fillId="10" borderId="20" xfId="0" applyNumberFormat="1" applyFont="1" applyFill="1" applyBorder="1" applyAlignment="1">
      <x:alignment vertical="center"/>
    </x:xf>
    <x:xf numFmtId="0" fontId="10" fillId="5" borderId="18" xfId="0" applyNumberFormat="1" applyFont="1" applyFill="1" applyBorder="1" applyAlignment="1">
      <x:alignment vertical="center" wrapText="1"/>
    </x:xf>
    <x:xf numFmtId="0" fontId="10" fillId="5" borderId="19" xfId="0" applyNumberFormat="1" applyFont="1" applyFill="1" applyBorder="1" applyAlignment="1">
      <x:alignment vertical="center" wrapText="1"/>
    </x:xf>
    <x:xf numFmtId="0" fontId="24" fillId="10" borderId="19" xfId="0" applyNumberFormat="1" applyFont="1" applyFill="1" applyBorder="1" applyAlignment="1">
      <x:alignment vertical="center" wrapText="1"/>
    </x:xf>
    <x:xf numFmtId="0" fontId="24" fillId="10" borderId="20" xfId="0" applyNumberFormat="1" applyFont="1" applyFill="1" applyBorder="1" applyAlignment="1">
      <x:alignment vertical="center" wrapText="1"/>
    </x:xf>
    <x:xf numFmtId="207" fontId="22" fillId="9" borderId="0" xfId="0" applyNumberFormat="1" applyFont="1" applyFill="1" applyBorder="1" applyAlignment="1">
      <x:alignment vertical="center"/>
    </x:xf>
    <x:xf numFmtId="207" fontId="22" fillId="9" borderId="11" xfId="0" applyNumberFormat="1" applyFont="1" applyFill="1" applyBorder="1" applyAlignment="1">
      <x:alignment vertical="center"/>
    </x:xf>
    <x:xf numFmtId="207" fontId="22" fillId="9" borderId="12" xfId="0" applyNumberFormat="1" applyFont="1" applyFill="1" applyBorder="1" applyAlignment="1">
      <x:alignment vertical="center"/>
    </x:xf>
    <x:xf numFmtId="207" fontId="22" fillId="9" borderId="13" xfId="0" applyNumberFormat="1" applyFont="1" applyFill="1" applyBorder="1" applyAlignment="1">
      <x:alignment vertical="center"/>
    </x:xf>
    <x:xf numFmtId="207" fontId="22" fillId="9" borderId="14" xfId="0" applyNumberFormat="1" applyFont="1" applyFill="1" applyBorder="1" applyAlignment="1">
      <x:alignment vertical="center"/>
    </x:xf>
    <x:xf numFmtId="202" fontId="12" fillId="0" borderId="18" xfId="0" applyNumberFormat="1" applyFont="1" applyFill="1" applyBorder="1" applyAlignment="1">
      <x:alignment vertical="center"/>
    </x:xf>
    <x:xf numFmtId="202" fontId="12" fillId="0" borderId="19" xfId="0" applyNumberFormat="1" applyFont="1" applyFill="1" applyBorder="1" applyAlignment="1">
      <x:alignment vertical="center"/>
    </x:xf>
    <x:xf numFmtId="202" fontId="12" fillId="0" borderId="20" xfId="0" applyNumberFormat="1" applyFont="1" applyFill="1" applyBorder="1" applyAlignment="1">
      <x:alignment vertical="center"/>
    </x:xf>
    <x:xf numFmtId="202" fontId="12" fillId="0" borderId="19" xfId="0" applyNumberFormat="1" applyFont="1" applyFill="1" applyBorder="1" applyAlignment="1">
      <x:alignment vertical="center" wrapText="1"/>
    </x:xf>
    <x:xf numFmtId="202" fontId="9" fillId="0" borderId="19" xfId="0" applyNumberFormat="1" applyFont="1" applyFill="1" applyBorder="1" applyAlignment="1">
      <x:alignment vertical="center" wrapText="1"/>
    </x:xf>
    <x:xf numFmtId="202" fontId="12" fillId="0" borderId="20" xfId="0" applyNumberFormat="1" applyFont="1" applyFill="1" applyBorder="1" applyAlignment="1">
      <x:alignment vertical="center" wrapText="1"/>
    </x:xf>
    <x:xf numFmtId="202" fontId="9" fillId="0" borderId="20" xfId="0" applyNumberFormat="1" applyFont="1" applyFill="1" applyBorder="1" applyAlignment="1">
      <x:alignment vertical="center" wrapText="1"/>
    </x:xf>
    <x:xf numFmtId="0" fontId="25" fillId="0" borderId="18" xfId="0" applyNumberFormat="1" applyFont="1" applyFill="1" applyBorder="1" applyAlignment="1">
      <x:alignment vertical="center"/>
    </x:xf>
    <x:xf numFmtId="0" fontId="15" fillId="0" borderId="19" xfId="0" applyNumberFormat="1" applyFont="1" applyFill="1" applyBorder="1" applyAlignment="1">
      <x:alignment vertical="center"/>
    </x:xf>
    <x:xf numFmtId="0" fontId="25" fillId="0" borderId="18" xfId="0" applyNumberFormat="1" applyFont="1" applyFill="1" applyBorder="1" applyAlignment="1">
      <x:alignment vertical="center" wrapText="1"/>
    </x:xf>
    <x:xf numFmtId="0" fontId="15" fillId="0" borderId="19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FF2E7D32"/>
      </x:font>
      <x:fill>
        <x:patternFill>
          <x:bgColor rgb="FFE7F4E4"/>
        </x:patternFill>
      </x:fill>
    </x:dxf>
    <x:dxf>
      <x:font>
        <x:b/>
        <x:color rgb="FFB42318"/>
      </x:font>
      <x:fill>
        <x:patternFill>
          <x:bgColor rgb="FFFDE9E7"/>
        </x:patternFill>
      </x:fill>
    </x:dxf>
    <x:dxf>
      <x:font>
        <x:color rgb="FF2E7D32"/>
      </x:font>
      <x:fill>
        <x:patternFill>
          <x:bgColor rgb="FFE7F4E4"/>
        </x:patternFill>
      </x:fill>
    </x:dxf>
    <x:dxf>
      <x:font>
        <x:b/>
        <x:color rgb="FF2E7D32"/>
      </x:font>
      <x:fill>
        <x:patternFill>
          <x:bgColor rgb="FFE7F4E4"/>
        </x:patternFill>
      </x:fill>
    </x:dxf>
    <x:dxf>
      <x:font>
        <x:b/>
        <x:color rgb="FFB42318"/>
      </x:font>
      <x:fill>
        <x:patternFill>
          <x:bgColor rgb="FFFDE9E7"/>
        </x:patternFill>
      </x:fill>
    </x:dxf>
    <x:dxf>
      <x:font>
        <x:color rgb="FF2E7D32"/>
      </x:font>
      <x:fill>
        <x:patternFill>
          <x:bgColor rgb="FFE7F4E4"/>
        </x:patternFill>
      </x:fill>
    </x:dxf>
    <x:dxf>
      <x:font>
        <x:b/>
        <x:color rgb="FF2E7D32"/>
      </x:font>
      <x:fill>
        <x:patternFill>
          <x:bgColor rgb="FFE7F4E4"/>
        </x:patternFill>
      </x:fill>
    </x:dxf>
    <x:dxf>
      <x:font>
        <x:b/>
        <x:color rgb="FFA86400"/>
      </x:font>
      <x:fill>
        <x:patternFill>
          <x:bgColor rgb="FFFFF4D6"/>
        </x:patternFill>
      </x:fill>
    </x:dxf>
    <x:dxf>
      <x:font>
        <x:b/>
        <x:color rgb="FFB42318"/>
      </x:font>
      <x:fill>
        <x:patternFill>
          <x:bgColor rgb="FFFDE9E7"/>
        </x:patternFill>
      </x:fill>
    </x:dxf>
    <x:dxf>
      <x:font>
        <x:b/>
        <x:color rgb="FF2E7D32"/>
      </x:font>
      <x:fill>
        <x:patternFill>
          <x:bgColor rgb="FFE7F4E4"/>
        </x:patternFill>
      </x:fill>
    </x:dxf>
    <x:dxf>
      <x:font>
        <x:b/>
        <x:color rgb="FFB42318"/>
      </x:font>
      <x:fill>
        <x:patternFill>
          <x:bgColor rgb="FFFDE9E7"/>
        </x:patternFill>
      </x:fill>
    </x:dxf>
    <x:dxf>
      <x:font>
        <x:b/>
        <x:color rgb="FF2E7D32"/>
      </x:font>
      <x:fill>
        <x:patternFill>
          <x:bgColor rgb="FFE7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9d2b9471843ed" /><Relationship Type="http://schemas.openxmlformats.org/officeDocument/2006/relationships/theme" Target="/xl/theme/theme1.xml" Id="R2d290cad8870405a" /><Relationship Type="http://schemas.openxmlformats.org/officeDocument/2006/relationships/sharedStrings" Target="/xl/sharedStrings.xml" Id="R55ff077df6984e50" /><Relationship Type="http://schemas.openxmlformats.org/officeDocument/2006/relationships/worksheet" Target="/xl/worksheets/sheet1.xml" Id="R6144afae9fb94d05" /><Relationship Type="http://schemas.openxmlformats.org/officeDocument/2006/relationships/worksheet" Target="/xl/worksheets/sheet2.xml" Id="Rf85afde0399344f4" /><Relationship Type="http://schemas.openxmlformats.org/officeDocument/2006/relationships/worksheet" Target="/xl/worksheets/sheet3.xml" Id="Rea4f7386f2f54401" /><Relationship Type="http://schemas.openxmlformats.org/officeDocument/2006/relationships/worksheet" Target="/xl/worksheets/sheet4.xml" Id="Rd631b49974c74791" /><Relationship Type="http://schemas.openxmlformats.org/officeDocument/2006/relationships/worksheet" Target="/xl/worksheets/sheet5.xml" Id="R67c5fbe17afe4415" /><Relationship Type="http://schemas.openxmlformats.org/officeDocument/2006/relationships/worksheet" Target="/xl/worksheets/sheet6.xml" Id="R660cc443e2344b14" /><Relationship Type="http://schemas.openxmlformats.org/officeDocument/2006/relationships/worksheet" Target="/xl/worksheets/sheet7.xml" Id="Rac8a61c4fbdc4f1e" /><Relationship Type="http://schemas.openxmlformats.org/officeDocument/2006/relationships/worksheet" Target="/xl/worksheets/sheet8.xml" Id="Rf2802bf68e0d455d" /><Relationship Type="http://schemas.openxmlformats.org/officeDocument/2006/relationships/worksheet" Target="/xl/worksheets/sheet9.xml" Id="R0e51920a3e894674" /><Relationship Type="http://schemas.openxmlformats.org/officeDocument/2006/relationships/worksheet" Target="/xl/worksheets/sheet10.xml" Id="Ra6bfbe3eeee241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d176a06c9b417c" /><Relationship Type="http://schemas.openxmlformats.org/officeDocument/2006/relationships/chart" Target="/xl/drawings/charts/chart2.xml" Id="Rf6c90db6b9594c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前 10 大单笔亏损（USDT，绝对值）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亏损绝对值</c:v>
          </c:tx>
          <c:spPr>
            <a:solidFill xmlns:a="http://schemas.openxmlformats.org/drawingml/2006/main">
              <a:srgbClr val="B42318"/>
            </a:solidFill>
          </c:spPr>
          <c:cat>
            <c:strRef>
              <c:f>'客观独立观察'!$B$20:$B$29</c:f>
              <c:strCache>
                <c:ptCount val="0"/>
              </c:strCache>
            </c:strRef>
          </c:cat>
          <c:val>
            <c:numRef>
              <c:f>'客观独立观察'!$E$20:$E$29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累计主动经济净结果（按结束日，USDT；每3个日期标注）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累计经济净结果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'客观独立观察'!$H$35:$H$63</c:f>
              <c:strCache>
                <c:ptCount val="0"/>
              </c:strCache>
            </c:strRef>
          </c:cat>
          <c:val>
            <c:numRef>
              <c:f>'客观独立观察'!$G$35:$G$63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d176a06c9b417c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c90db6b9594c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136Facts" displayName="Active136Facts" ref="A4:U140" headerRowCount="1" totalsRowCount="0" totalsRowShown="0">
  <x:autoFilter ref="A4:U140"/>
  <x:tableColumns count="21">
    <x:tableColumn id="1" name="周期ID"/>
    <x:tableColumn id="2" name="域"/>
    <x:tableColumn id="3" name="稳定交易ID"/>
    <x:tableColumn id="4" name="交易编号"/>
    <x:tableColumn id="5" name="币对"/>
    <x:tableColumn id="6" name="方向"/>
    <x:tableColumn id="7" name="开始时间（北京）"/>
    <x:tableColumn id="8" name="结束时间（北京）"/>
    <x:tableColumn id="9" name="根仓位来源行"/>
    <x:tableColumn id="10" name="成交记录数"/>
    <x:tableColumn id="11" name="已实现盈亏"/>
    <x:tableColumn id="12" name="手续费成本"/>
    <x:tableColumn id="13" name="资金费（有符号）"/>
    <x:tableColumn id="14" name="资金费事件数"/>
    <x:tableColumn id="15" name="Legacy严格净额"/>
    <x:tableColumn id="16" name="手续费返佣"/>
    <x:tableColumn id="17" name="返佣事件数"/>
    <x:tableColumn id="18" name="经济净结果"/>
    <x:tableColumn id="19" name="经济结果"/>
    <x:tableColumn id="20" name="资金费为0语义"/>
    <x:tableColumn id="21" name="未知强制置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py12Facts" displayName="Copy12Facts" ref="A4:U16" headerRowCount="1" totalsRowCount="0" totalsRowShown="0">
  <x:autoFilter ref="A4:U16"/>
  <x:tableColumns count="21">
    <x:tableColumn id="1" name="周期ID"/>
    <x:tableColumn id="2" name="域"/>
    <x:tableColumn id="3" name="稳定交易ID"/>
    <x:tableColumn id="4" name="交易编号"/>
    <x:tableColumn id="5" name="币对"/>
    <x:tableColumn id="6" name="方向"/>
    <x:tableColumn id="7" name="开始时间（北京）"/>
    <x:tableColumn id="8" name="结束时间（北京）"/>
    <x:tableColumn id="9" name="根仓位来源行"/>
    <x:tableColumn id="10" name="成交记录数"/>
    <x:tableColumn id="11" name="已实现盈亏"/>
    <x:tableColumn id="12" name="手续费成本"/>
    <x:tableColumn id="13" name="资金费（有符号）"/>
    <x:tableColumn id="14" name="资金费事件数"/>
    <x:tableColumn id="15" name="Legacy严格净额"/>
    <x:tableColumn id="16" name="手续费返佣"/>
    <x:tableColumn id="17" name="返佣事件数"/>
    <x:tableColumn id="18" name="经济净结果"/>
    <x:tableColumn id="19" name="经济结果"/>
    <x:tableColumn id="20" name="资金费为0语义"/>
    <x:tableColumn id="21" name="未知强制置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2d0ce7bce16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1dfb52f5b61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f895ba7c7b74b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34" hidden="0" customWidth="1"/>
    <x:col min="4" max="4" width="42" hidden="0" customWidth="1"/>
    <x:col min="5" max="5" width="32" hidden="0" customWidth="1"/>
    <x:col min="6" max="6" width="20" hidden="0" customWidth="1"/>
    <x:col min="7" max="7" width="31" hidden="0" customWidth="1"/>
    <x:col min="8" max="8" width="4" hidden="0" customWidth="1"/>
  </x:cols>
  <x:sheetData>
    <x:row r="1" ht="32" customHeight="1">
      <x:c r="A1" s="4" t="str">
        <x:v>Recovery v19｜客观事实与工程状态交付</x:v>
      </x:c>
      <x:c r="B1" s="4" t="str">
        <x:v>Recovery v19｜客观事实与工程状态交付</x:v>
      </x:c>
      <x:c r="C1" s="4" t="str">
        <x:v>Recovery v19｜客观事实与工程状态交付</x:v>
      </x:c>
      <x:c r="D1" s="4" t="str">
        <x:v>Recovery v19｜客观事实与工程状态交付</x:v>
      </x:c>
      <x:c r="E1" s="4" t="str">
        <x:v>Recovery v19｜客观事实与工程状态交付</x:v>
      </x:c>
      <x:c r="F1" s="4" t="str">
        <x:v>Recovery v19｜客观事实与工程状态交付</x:v>
      </x:c>
      <x:c r="G1" s="4" t="str">
        <x:v>Recovery v19｜客观事实与工程状态交付</x:v>
      </x:c>
      <x:c r="H1" s="4" t="str">
        <x:v>Recovery v19｜客观事实与工程状态交付</x:v>
      </x:c>
    </x:row>
    <x:row r="2" ht="34" customHeight="1">
      <x:c r="A2" s="8" t="str">
        <x:v>Gate2 冻结 PASS 后的全新洁净室确定性实现；先交代恢复状态与边界，再隔离呈现客观独立观察。</x:v>
      </x:c>
      <x:c r="B2" s="8" t="str">
        <x:v>Gate2 冻结 PASS 后的全新洁净室确定性实现；先交代恢复状态与边界，再隔离呈现客观独立观察。</x:v>
      </x:c>
      <x:c r="C2" s="8" t="str">
        <x:v>Gate2 冻结 PASS 后的全新洁净室确定性实现；先交代恢复状态与边界，再隔离呈现客观独立观察。</x:v>
      </x:c>
      <x:c r="D2" s="8" t="str">
        <x:v>Gate2 冻结 PASS 后的全新洁净室确定性实现；先交代恢复状态与边界，再隔离呈现客观独立观察。</x:v>
      </x:c>
      <x:c r="E2" s="8" t="str">
        <x:v>Gate2 冻结 PASS 后的全新洁净室确定性实现；先交代恢复状态与边界，再隔离呈现客观独立观察。</x:v>
      </x:c>
      <x:c r="F2" s="8" t="str">
        <x:v>Gate2 冻结 PASS 后的全新洁净室确定性实现；先交代恢复状态与边界，再隔离呈现客观独立观察。</x:v>
      </x:c>
      <x:c r="G2" s="8" t="str">
        <x:v>Gate2 冻结 PASS 后的全新洁净室确定性实现；先交代恢复状态与边界，再隔离呈现客观独立观察。</x:v>
      </x:c>
      <x:c r="H2" s="8" t="str">
        <x:v>Gate2 冻结 PASS 后的全新洁净室确定性实现；先交代恢复状态与边界，再隔离呈现客观独立观察。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1" t="str">
        <x:v>当前结论：Recovery 已停止在通过点，Gate3 是独立客观分析，不是旧产品修补</x:v>
      </x:c>
      <x:c r="B4" s="11" t="str">
        <x:v>当前结论：Recovery 已停止在通过点，Gate3 是独立客观分析，不是旧产品修补</x:v>
      </x:c>
      <x:c r="C4" s="11" t="str">
        <x:v>当前结论：Recovery 已停止在通过点，Gate3 是独立客观分析，不是旧产品修补</x:v>
      </x:c>
      <x:c r="D4" s="11" t="str">
        <x:v>当前结论：Recovery 已停止在通过点，Gate3 是独立客观分析，不是旧产品修补</x:v>
      </x:c>
      <x:c r="E4" s="11" t="str">
        <x:v>当前结论：Recovery 已停止在通过点，Gate3 是独立客观分析，不是旧产品修补</x:v>
      </x:c>
      <x:c r="F4" s="11" t="str">
        <x:v>当前结论：Recovery 已停止在通过点，Gate3 是独立客观分析，不是旧产品修补</x:v>
      </x:c>
      <x:c r="G4" s="11" t="str">
        <x:v>当前结论：Recovery 已停止在通过点，Gate3 是独立客观分析，不是旧产品修补</x:v>
      </x:c>
      <x:c r="H4" s="11" t="str">
        <x:v>当前结论：Recovery 已停止在通过点，Gate3 是独立客观分析，不是旧产品修补</x:v>
      </x:c>
    </x:row>
    <x:row r="5">
      <x:c r="A5" s="31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B5" s="32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C5" s="32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D5" s="32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E5" s="32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F5" s="32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G5" s="32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H5" s="33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</x:row>
    <x:row r="6">
      <x:c r="A6" s="34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B6" s="35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C6" s="35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D6" s="35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E6" s="35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F6" s="35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G6" s="35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H6" s="36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</x:row>
    <x:row r="7">
      <x:c r="A7" s="37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B7" s="38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C7" s="38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D7" s="38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E7" s="38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F7" s="38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G7" s="38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  <x:c r="H7" s="39" t="str">
        <x:v>本交付不会改变分析方向，也不会只交一份脱离工程上下文的交易分析。它同时包含 Recovery 状态、权威事实、来源/覆盖、Legacy 执行现实、当前用户意图边界、Golden 验收，以及严格隔离的客观独立观察。人工/自述结合、心理/人格结论和策略处方均不在本阶段。</x:v>
      </x:c>
    </x:row>
    <x:row r="8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1" t="str">
        <x:v>运行与实施身份</x:v>
      </x:c>
      <x:c r="B9" s="11" t="str">
        <x:v>运行与实施身份</x:v>
      </x:c>
      <x:c r="C9" s="11" t="str">
        <x:v>运行与实施身份</x:v>
      </x:c>
      <x:c r="D9" s="11" t="str">
        <x:v>运行与实施身份</x:v>
      </x:c>
      <x:c r="E9" s="1"/>
      <x:c r="F9" s="11" t="str">
        <x:v>Recovery 验收快照</x:v>
      </x:c>
      <x:c r="G9" s="11" t="str">
        <x:v>Recovery 验收快照</x:v>
      </x:c>
      <x:c r="H9" s="11" t="str">
        <x:v>Recovery 验收快照</x:v>
      </x:c>
    </x:row>
    <x:row r="10">
      <x:c r="A10" s="42" t="str">
        <x:v>实施选择</x:v>
      </x:c>
      <x:c r="B10" s="43" t="str">
        <x:v>NEW_CLEAN_ROOM_DETERMINISTIC</x:v>
      </x:c>
      <x:c r="C10" s="1"/>
      <x:c r="D10" s="1"/>
      <x:c r="E10" s="1"/>
      <x:c r="F10" s="42" t="str">
        <x:v>Gate1</x:v>
      </x:c>
      <x:c r="G10" s="49" t="str">
        <x:v>PASS</x:v>
      </x:c>
      <x:c r="H10" s="1"/>
    </x:row>
    <x:row r="11">
      <x:c r="A11" s="44" t="str">
        <x:v>实际底层模型</x:v>
      </x:c>
      <x:c r="B11" s="45" t="str">
        <x:v>GPT-5.6 Sol / gpt-5.6-sol</x:v>
      </x:c>
      <x:c r="C11" s="1"/>
      <x:c r="D11" s="1"/>
      <x:c r="E11" s="1"/>
      <x:c r="F11" s="44" t="str">
        <x:v>Gate2</x:v>
      </x:c>
      <x:c r="G11" s="50" t="str">
        <x:v>PASS</x:v>
      </x:c>
      <x:c r="H11" s="1"/>
    </x:row>
    <x:row r="12">
      <x:c r="A12" s="44" t="str">
        <x:v>推理等级</x:v>
      </x:c>
      <x:c r="B12" s="45" t="str">
        <x:v>xhigh</x:v>
      </x:c>
      <x:c r="C12" s="1"/>
      <x:c r="D12" s="1"/>
      <x:c r="E12" s="1"/>
      <x:c r="F12" s="44" t="str">
        <x:v>Recovery 决定</x:v>
      </x:c>
      <x:c r="G12" s="50" t="str">
        <x:v>PASS_STOP_RECOVERY_PHASE</x:v>
      </x:c>
      <x:c r="H12" s="1"/>
    </x:row>
    <x:row r="13">
      <x:c r="A13" s="44" t="str">
        <x:v>父冻结点</x:v>
      </x:c>
      <x:c r="B13" s="45" t="str">
        <x:v>RECOVERY-V19-GATE2-20260823T072500Z</x:v>
      </x:c>
      <x:c r="C13" s="1"/>
      <x:c r="D13" s="1"/>
      <x:c r="E13" s="1"/>
      <x:c r="F13" s="44" t="str">
        <x:v>Golden</x:v>
      </x:c>
      <x:c r="G13" s="50" t="str">
        <x:v>24/24 PASS</x:v>
      </x:c>
      <x:c r="H13" s="1"/>
    </x:row>
    <x:row r="14">
      <x:c r="A14" s="44" t="str">
        <x:v>源目录读取（Gate3）</x:v>
      </x:c>
      <x:c r="B14" s="45" t="n">
        <x:v>0</x:v>
      </x:c>
      <x:c r="C14" s="1"/>
      <x:c r="D14" s="1"/>
      <x:c r="E14" s="1"/>
      <x:c r="F14" s="44" t="str">
        <x:v>设计阻断</x:v>
      </x:c>
      <x:c r="G14" s="50" t="n">
        <x:v>0</x:v>
      </x:c>
      <x:c r="H14" s="1"/>
    </x:row>
    <x:row r="15">
      <x:c r="A15" s="44" t="str">
        <x:v>源目录写入</x:v>
      </x:c>
      <x:c r="B15" s="45" t="n">
        <x:v>0</x:v>
      </x:c>
      <x:c r="C15" s="1"/>
      <x:c r="D15" s="1"/>
      <x:c r="E15" s="1"/>
      <x:c r="F15" s="44" t="str">
        <x:v>K11-R7 提升</x:v>
      </x:c>
      <x:c r="G15" s="50" t="str">
        <x:v>否</x:v>
      </x:c>
      <x:c r="H15" s="1"/>
    </x:row>
    <x:row r="16">
      <x:c r="A16" s="46" t="str">
        <x:v>旧脚本运行</x:v>
      </x:c>
      <x:c r="B16" s="47" t="n">
        <x:v>0</x:v>
      </x:c>
      <x:c r="C16" s="1"/>
      <x:c r="D16" s="1"/>
      <x:c r="E16" s="1"/>
      <x:c r="F16" s="46" t="str">
        <x:v>分析顺序改变</x:v>
      </x:c>
      <x:c r="G16" s="51" t="str">
        <x:v>否</x:v>
      </x:c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1" t="str">
        <x:v>阶段链与权威状态</x:v>
      </x:c>
      <x:c r="B19" s="11" t="str">
        <x:v>阶段链与权威状态</x:v>
      </x:c>
      <x:c r="C19" s="11" t="str">
        <x:v>阶段链与权威状态</x:v>
      </x:c>
      <x:c r="D19" s="11" t="str">
        <x:v>阶段链与权威状态</x:v>
      </x:c>
      <x:c r="E19" s="11" t="str">
        <x:v>阶段链与权威状态</x:v>
      </x:c>
      <x:c r="F19" s="11" t="str">
        <x:v>阶段链与权威状态</x:v>
      </x:c>
      <x:c r="G19" s="11" t="str">
        <x:v>阶段链与权威状态</x:v>
      </x:c>
      <x:c r="H19" s="11" t="str">
        <x:v>阶段链与权威状态</x:v>
      </x:c>
    </x:row>
    <x:row r="20" ht="30" customHeight="1">
      <x:c r="A20" s="60" t="str">
        <x:v>阶段</x:v>
      </x:c>
      <x:c r="B20" s="61" t="str">
        <x:v>状态</x:v>
      </x:c>
      <x:c r="C20" s="61" t="str">
        <x:v>冻结/身份</x:v>
      </x:c>
      <x:c r="D20" s="61" t="str">
        <x:v>核心产出</x:v>
      </x:c>
      <x:c r="E20" s="62" t="str">
        <x:v>边界结果</x:v>
      </x:c>
      <x:c r="F20" s="1"/>
      <x:c r="G20" s="1"/>
      <x:c r="H20" s="1"/>
    </x:row>
    <x:row r="21" ht="42" customHeight="1">
      <x:c r="A21" s="73" t="str">
        <x:v>IH-P6</x:v>
      </x:c>
      <x:c r="B21" s="74" t="str">
        <x:v>COMPLETE</x:v>
      </x:c>
      <x:c r="C21" s="73" t="str">
        <x:v>RECOVERY-V19-IH-P6</x:v>
      </x:c>
      <x:c r="D21" s="73" t="str">
        <x:v>148 周期客观事实层；136 主动 + 12 跟单</x:v>
      </x:c>
      <x:c r="E21" s="73" t="str">
        <x:v>源写入 0；未知不填 0</x:v>
      </x:c>
      <x:c r="F21" s="1"/>
      <x:c r="G21" s="1"/>
      <x:c r="H21" s="1"/>
    </x:row>
    <x:row r="22" ht="42" customHeight="1">
      <x:c r="A22" s="75" t="str">
        <x:v>Gate1</x:v>
      </x:c>
      <x:c r="B22" s="76" t="str">
        <x:v>PASS</x:v>
      </x:c>
      <x:c r="C22" s="75" t="str">
        <x:v>RECOVERY-V19-GATE1-20260823T071500Z</x:v>
      </x:c>
      <x:c r="D22" s="75" t="str">
        <x:v>用户意图 / Legacy / 客观现实收敛</x:v>
      </x:c>
      <x:c r="E22" s="75" t="str">
        <x:v>分析顺序固定</x:v>
      </x:c>
      <x:c r="F22" s="1"/>
      <x:c r="G22" s="1"/>
      <x:c r="H22" s="1"/>
    </x:row>
    <x:row r="23" ht="42" customHeight="1">
      <x:c r="A23" s="75" t="str">
        <x:v>Gate2</x:v>
      </x:c>
      <x:c r="B23" s="76" t="str">
        <x:v>PASS</x:v>
      </x:c>
      <x:c r="C23" s="75" t="str">
        <x:v>RECOVERY-V19-GATE2-20260823T072500Z</x:v>
      </x:c>
      <x:c r="D23" s="75" t="str">
        <x:v>24/24 Golden PASS</x:v>
      </x:c>
      <x:c r="E23" s="75" t="str">
        <x:v>PASS_STOP_RECOVERY_PHASE</x:v>
      </x:c>
      <x:c r="F23" s="1"/>
      <x:c r="G23" s="1"/>
      <x:c r="H23" s="1"/>
    </x:row>
    <x:row r="24" ht="42" customHeight="1">
      <x:c r="A24" s="77" t="str">
        <x:v>Gate3</x:v>
      </x:c>
      <x:c r="B24" s="78" t="str">
        <x:v>BUILT_FOR_GATE4</x:v>
      </x:c>
      <x:c r="C24" s="77" t="str">
        <x:v>NEW_CLEAN_ROOM_DETERMINISTIC</x:v>
      </x:c>
      <x:c r="D24" s="77" t="str">
        <x:v>本工作簿 + 中文报告 + CSV + 测试状态</x:v>
      </x:c>
      <x:c r="E24" s="77" t="str">
        <x:v>不发布；交 Gate4 验证</x:v>
      </x:c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1:H1"/>
    <x:mergeCell ref="A2:H2"/>
    <x:mergeCell ref="A4:H4"/>
    <x:mergeCell ref="A5:H7"/>
    <x:mergeCell ref="A9:D9"/>
    <x:mergeCell ref="F9:H9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5" hidden="0" customWidth="1"/>
    <x:col min="4" max="4" width="40" hidden="0" customWidth="1"/>
    <x:col min="5" max="5" width="4" hidden="0" customWidth="1"/>
    <x:col min="6" max="6" width="28" hidden="0" customWidth="1"/>
    <x:col min="7" max="7" width="20" hidden="0" customWidth="1"/>
    <x:col min="8" max="8" width="16" hidden="0" customWidth="1"/>
  </x:cols>
  <x:sheetData>
    <x:row r="1" ht="32" customHeight="1">
      <x:c r="A1" s="4" t="str">
        <x:v>核心对账｜公式驱动的客观经济桥</x:v>
      </x:c>
      <x:c r="B1" s="4" t="str">
        <x:v>核心对账｜公式驱动的客观经济桥</x:v>
      </x:c>
      <x:c r="C1" s="4" t="str">
        <x:v>核心对账｜公式驱动的客观经济桥</x:v>
      </x:c>
      <x:c r="D1" s="4" t="str">
        <x:v>核心对账｜公式驱动的客观经济桥</x:v>
      </x:c>
      <x:c r="E1" s="4" t="str">
        <x:v>核心对账｜公式驱动的客观经济桥</x:v>
      </x:c>
      <x:c r="F1" s="4" t="str">
        <x:v>核心对账｜公式驱动的客观经济桥</x:v>
      </x:c>
      <x:c r="G1" s="4" t="str">
        <x:v>核心对账｜公式驱动的客观经济桥</x:v>
      </x:c>
      <x:c r="H1" s="4" t="str">
        <x:v>核心对账｜公式驱动的客观经济桥</x:v>
      </x:c>
    </x:row>
    <x:row r="2" ht="34" customHeight="1">
      <x:c r="A2" s="8" t="str">
        <x:v>黑字为同表公式，绿字为跨表链接；蓝字为冻结外部输入。所有金额单位为 USDT，负数用括号显示。</x:v>
      </x:c>
      <x:c r="B2" s="8" t="str">
        <x:v>黑字为同表公式，绿字为跨表链接；蓝字为冻结外部输入。所有金额单位为 USDT，负数用括号显示。</x:v>
      </x:c>
      <x:c r="C2" s="8" t="str">
        <x:v>黑字为同表公式，绿字为跨表链接；蓝字为冻结外部输入。所有金额单位为 USDT，负数用括号显示。</x:v>
      </x:c>
      <x:c r="D2" s="8" t="str">
        <x:v>黑字为同表公式，绿字为跨表链接；蓝字为冻结外部输入。所有金额单位为 USDT，负数用括号显示。</x:v>
      </x:c>
      <x:c r="E2" s="8" t="str">
        <x:v>黑字为同表公式，绿字为跨表链接；蓝字为冻结外部输入。所有金额单位为 USDT，负数用括号显示。</x:v>
      </x:c>
      <x:c r="F2" s="8" t="str">
        <x:v>黑字为同表公式，绿字为跨表链接；蓝字为冻结外部输入。所有金额单位为 USDT，负数用括号显示。</x:v>
      </x:c>
      <x:c r="G2" s="8" t="str">
        <x:v>黑字为同表公式，绿字为跨表链接；蓝字为冻结外部输入。所有金额单位为 USDT，负数用括号显示。</x:v>
      </x:c>
      <x:c r="H2" s="8" t="str">
        <x:v>黑字为同表公式，绿字为跨表链接；蓝字为冻结外部输入。所有金额单位为 USDT，负数用括号显示。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1" t="str">
        <x:v>主动 136 结果与分布</x:v>
      </x:c>
      <x:c r="B4" s="11" t="str">
        <x:v>主动 136 结果与分布</x:v>
      </x:c>
      <x:c r="C4" s="11" t="str">
        <x:v>主动 136 结果与分布</x:v>
      </x:c>
      <x:c r="D4" s="11" t="str">
        <x:v>主动 136 结果与分布</x:v>
      </x:c>
      <x:c r="E4" s="1"/>
      <x:c r="F4" s="11" t="str">
        <x:v>账户级桥接与检查</x:v>
      </x:c>
      <x:c r="G4" s="11" t="str">
        <x:v>账户级桥接与检查</x:v>
      </x:c>
      <x:c r="H4" s="11" t="str">
        <x:v>账户级桥接与检查</x:v>
      </x:c>
    </x:row>
    <x:row r="5" ht="30" customHeight="1">
      <x:c r="A5" s="60" t="str">
        <x:v>指标</x:v>
      </x:c>
      <x:c r="B5" s="61" t="str">
        <x:v>公式结果</x:v>
      </x:c>
      <x:c r="C5" s="61" t="str">
        <x:v>单位</x:v>
      </x:c>
      <x:c r="D5" s="62" t="str">
        <x:v>口径/公式</x:v>
      </x:c>
      <x:c r="E5" s="137"/>
      <x:c r="F5" s="60" t="str">
        <x:v>桥接项目</x:v>
      </x:c>
      <x:c r="G5" s="61" t="str">
        <x:v>数值</x:v>
      </x:c>
      <x:c r="H5" s="62" t="str">
        <x:v>单位</x:v>
      </x:c>
    </x:row>
    <x:row r="6">
      <x:c r="A6" s="73" t="str">
        <x:v>主动周期数</x:v>
      </x:c>
      <x:c r="B6" s="138" t="n">
        <x:f>COUNTA('主动136事实'!$D$5:$D$140)</x:f>
        <x:v>136</x:v>
      </x:c>
      <x:c r="C6" s="73" t="str">
        <x:v>笔</x:v>
      </x:c>
      <x:c r="D6" s="73" t="str">
        <x:v>COUNTA(交易编号)</x:v>
      </x:c>
      <x:c r="E6" s="137"/>
      <x:c r="F6" s="73" t="str">
        <x:v>主动经济净结果</x:v>
      </x:c>
      <x:c r="G6" s="139" t="n">
        <x:f>B10</x:f>
        <x:v>-73118.35218988002</x:v>
      </x:c>
      <x:c r="H6" s="73" t="str">
        <x:v>USDT</x:v>
      </x:c>
    </x:row>
    <x:row r="7">
      <x:c r="A7" s="75" t="str">
        <x:v>盈利笔数</x:v>
      </x:c>
      <x:c r="B7" s="140" t="n">
        <x:f>COUNTIF('主动136事实'!$S$5:$S$140,"WIN")</x:f>
        <x:v>105</x:v>
      </x:c>
      <x:c r="C7" s="75" t="str">
        <x:v>笔</x:v>
      </x:c>
      <x:c r="D7" s="75" t="str">
        <x:v>COUNTIF(经济结果=WIN)</x:v>
      </x:c>
      <x:c r="E7" s="137"/>
      <x:c r="F7" s="75" t="str">
        <x:v>跟单经济净结果</x:v>
      </x:c>
      <x:c r="G7" s="141" t="n">
        <x:f>SUM('跟单12事实'!$R$5:$R$16)</x:f>
        <x:v>-305.13365075999997</x:v>
      </x:c>
      <x:c r="H7" s="75" t="str">
        <x:v>USDT</x:v>
      </x:c>
    </x:row>
    <x:row r="8">
      <x:c r="A8" s="75" t="str">
        <x:v>亏损笔数</x:v>
      </x:c>
      <x:c r="B8" s="140" t="n">
        <x:f>COUNTIF('主动136事实'!$S$5:$S$140,"LOSS")</x:f>
        <x:v>31</x:v>
      </x:c>
      <x:c r="C8" s="75" t="str">
        <x:v>笔</x:v>
      </x:c>
      <x:c r="D8" s="75" t="str">
        <x:v>COUNTIF(经济结果=LOSS)</x:v>
      </x:c>
      <x:c r="E8" s="137"/>
      <x:c r="F8" s="75" t="str">
        <x:v>合并（其他费用前）</x:v>
      </x:c>
      <x:c r="G8" s="141" t="n">
        <x:f>G6+G7</x:f>
        <x:v>-73423.48584064003</x:v>
      </x:c>
      <x:c r="H8" s="75" t="str">
        <x:v>USDT</x:v>
      </x:c>
    </x:row>
    <x:row r="9">
      <x:c r="A9" s="75" t="str">
        <x:v>胜率</x:v>
      </x:c>
      <x:c r="B9" s="142" t="n">
        <x:f>B7/B6</x:f>
        <x:v>0.7720588235294118</x:v>
      </x:c>
      <x:c r="C9" s="75" t="str">
        <x:v>%</x:v>
      </x:c>
      <x:c r="D9" s="75" t="str">
        <x:v>盈利笔数 / 主动周期数</x:v>
      </x:c>
      <x:c r="E9" s="137"/>
      <x:c r="F9" s="75" t="str">
        <x:v>账户级其他费用</x:v>
      </x:c>
      <x:c r="G9" s="143" t="n">
        <x:v>-9.03</x:v>
      </x:c>
      <x:c r="H9" s="75" t="str">
        <x:v>USDT</x:v>
      </x:c>
    </x:row>
    <x:row r="10">
      <x:c r="A10" s="75" t="str">
        <x:v>主动经济净结果</x:v>
      </x:c>
      <x:c r="B10" s="141" t="n">
        <x:f>SUM('主动136事实'!$R$5:$R$140)</x:f>
        <x:v>-73118.35218988002</x:v>
      </x:c>
      <x:c r="C10" s="75" t="str">
        <x:v>USDT</x:v>
      </x:c>
      <x:c r="D10" s="75" t="str">
        <x:v>SUM(经济净结果)</x:v>
      </x:c>
      <x:c r="E10" s="137"/>
      <x:c r="F10" s="75" t="str">
        <x:v>合并（其他费用后）</x:v>
      </x:c>
      <x:c r="G10" s="141" t="n">
        <x:f>G8+G9</x:f>
        <x:v>-73432.51584064003</x:v>
      </x:c>
      <x:c r="H10" s="75" t="str">
        <x:v>USDT</x:v>
      </x:c>
    </x:row>
    <x:row r="11">
      <x:c r="A11" s="75" t="str">
        <x:v>毛盈利</x:v>
      </x:c>
      <x:c r="B11" s="141" t="n">
        <x:f>SUMIF('主动136事实'!$R$5:$R$140,"&gt;0",'主动136事实'!$R$5:$R$140)</x:f>
        <x:v>37679.77534186</x:v>
      </x:c>
      <x:c r="C11" s="75" t="str">
        <x:v>USDT</x:v>
      </x:c>
      <x:c r="D11" s="75" t="str">
        <x:v>SUMIF(经济净结果&gt;0)</x:v>
      </x:c>
      <x:c r="E11" s="137"/>
      <x:c r="F11" s="75" t="str">
        <x:v>跟单周期数</x:v>
      </x:c>
      <x:c r="G11" s="140" t="n">
        <x:f>COUNTA('跟单12事实'!$D$5:$D$16)</x:f>
        <x:v>12</x:v>
      </x:c>
      <x:c r="H11" s="75" t="str">
        <x:v>笔</x:v>
      </x:c>
    </x:row>
    <x:row r="12">
      <x:c r="A12" s="75" t="str">
        <x:v>毛亏损绝对值</x:v>
      </x:c>
      <x:c r="B12" s="141" t="n">
        <x:f>-SUMIF('主动136事实'!$R$5:$R$140,"&lt;0",'主动136事实'!$R$5:$R$140)</x:f>
        <x:v>110798.12753174001</x:v>
      </x:c>
      <x:c r="C12" s="75" t="str">
        <x:v>USDT</x:v>
      </x:c>
      <x:c r="D12" s="75" t="str">
        <x:v>ABS(SUMIF(经济净结果&lt;0))</x:v>
      </x:c>
      <x:c r="E12" s="137"/>
      <x:c r="F12" s="75" t="str">
        <x:v>主动+跟单周期数</x:v>
      </x:c>
      <x:c r="G12" s="140" t="n">
        <x:f>B6+G11</x:f>
        <x:v>148</x:v>
      </x:c>
      <x:c r="H12" s="75" t="str">
        <x:v>笔</x:v>
      </x:c>
    </x:row>
    <x:row r="13">
      <x:c r="A13" s="75" t="str">
        <x:v>利润因子</x:v>
      </x:c>
      <x:c r="B13" s="144" t="n">
        <x:f>B11/B12</x:f>
        <x:v>0.34007592168979556</x:v>
      </x:c>
      <x:c r="C13" s="75" t="str">
        <x:v>倍</x:v>
      </x:c>
      <x:c r="D13" s="75" t="str">
        <x:v>毛盈利 / 毛亏损绝对值</x:v>
      </x:c>
      <x:c r="E13" s="137"/>
      <x:c r="F13" s="75" t="str">
        <x:v>主动+跟单成交记录</x:v>
      </x:c>
      <x:c r="G13" s="140" t="n">
        <x:f>SUM('主动136事实'!$J$5:$J$140)+SUM('跟单12事实'!$J$5:$J$16)</x:f>
        <x:v>8341</x:v>
      </x:c>
      <x:c r="H13" s="75" t="str">
        <x:v>条</x:v>
      </x:c>
    </x:row>
    <x:row r="14">
      <x:c r="A14" s="75" t="str">
        <x:v>平均盈利</x:v>
      </x:c>
      <x:c r="B14" s="141" t="n">
        <x:f>B11/B7</x:f>
        <x:v>358.8550032558095</x:v>
      </x:c>
      <x:c r="C14" s="75" t="str">
        <x:v>USDT</x:v>
      </x:c>
      <x:c r="D14" s="75" t="str">
        <x:v>毛盈利 / 盈利笔数</x:v>
      </x:c>
      <x:c r="E14" s="137"/>
      <x:c r="F14" s="77" t="str">
        <x:v>未知强制置零计数</x:v>
      </x:c>
      <x:c r="G14" s="145" t="n">
        <x:f>COUNTIF('主动136事实'!$U$5:$U$140,"&lt;&gt;NONE")+COUNTIF('跟单12事实'!$U$5:$U$16,"&lt;&gt;NONE")</x:f>
        <x:v>0</x:v>
      </x:c>
      <x:c r="H14" s="77" t="str">
        <x:v>条</x:v>
      </x:c>
    </x:row>
    <x:row r="15">
      <x:c r="A15" s="75" t="str">
        <x:v>平均亏损</x:v>
      </x:c>
      <x:c r="B15" s="141" t="n">
        <x:f>-B12/B8</x:f>
        <x:v>-3574.133146185162</x:v>
      </x:c>
      <x:c r="C15" s="75" t="str">
        <x:v>USDT</x:v>
      </x:c>
      <x:c r="D15" s="75" t="str">
        <x:v>-毛亏损绝对值 / 亏损笔数</x:v>
      </x:c>
      <x:c r="E15" s="137"/>
      <x:c r="F15" s="137"/>
      <x:c r="G15" s="137"/>
      <x:c r="H15" s="137"/>
    </x:row>
    <x:row r="16">
      <x:c r="A16" s="75" t="str">
        <x:v>平均盈亏比</x:v>
      </x:c>
      <x:c r="B16" s="144" t="n">
        <x:f>B14/ABS(B15)</x:f>
        <x:v>0.10040336735603488</x:v>
      </x:c>
      <x:c r="C16" s="75" t="str">
        <x:v>倍</x:v>
      </x:c>
      <x:c r="D16" s="75" t="str">
        <x:v>平均盈利 / ABS(平均亏损)</x:v>
      </x:c>
      <x:c r="E16" s="137"/>
      <x:c r="F16" s="123" t="str">
        <x:v>说明：-9.03 USDT 为账户级仓位限额提升费，保持账户级，不强行分摊到任一主动或跟单周期。跟单数据仅为资金背景。</x:v>
      </x:c>
      <x:c r="G16" s="124" t="str">
        <x:v>说明：-9.03 USDT 为账户级仓位限额提升费，保持账户级，不强行分摊到任一主动或跟单周期。跟单数据仅为资金背景。</x:v>
      </x:c>
      <x:c r="H16" s="125" t="str">
        <x:v>说明：-9.03 USDT 为账户级仓位限额提升费，保持账户级，不强行分摊到任一主动或跟单周期。跟单数据仅为资金背景。</x:v>
      </x:c>
    </x:row>
    <x:row r="17">
      <x:c r="A17" s="75" t="str">
        <x:v>单笔中位净结果</x:v>
      </x:c>
      <x:c r="B17" s="141" t="n">
        <x:f>MEDIAN('主动136事实'!$R$5:$R$140)</x:f>
        <x:v>67.2964815</x:v>
      </x:c>
      <x:c r="C17" s="75" t="str">
        <x:v>USDT</x:v>
      </x:c>
      <x:c r="D17" s="75" t="str">
        <x:v>MEDIAN(经济净结果)</x:v>
      </x:c>
      <x:c r="E17" s="137"/>
      <x:c r="F17" s="126" t="str">
        <x:v>说明：-9.03 USDT 为账户级仓位限额提升费，保持账户级，不强行分摊到任一主动或跟单周期。跟单数据仅为资金背景。</x:v>
      </x:c>
      <x:c r="G17" s="127" t="str">
        <x:v>说明：-9.03 USDT 为账户级仓位限额提升费，保持账户级，不强行分摊到任一主动或跟单周期。跟单数据仅为资金背景。</x:v>
      </x:c>
      <x:c r="H17" s="128" t="str">
        <x:v>说明：-9.03 USDT 为账户级仓位限额提升费，保持账户级，不强行分摊到任一主动或跟单周期。跟单数据仅为资金背景。</x:v>
      </x:c>
    </x:row>
    <x:row r="18">
      <x:c r="A18" s="75" t="str">
        <x:v>手续费成本</x:v>
      </x:c>
      <x:c r="B18" s="141" t="n">
        <x:f>SUM('主动136事实'!$L$5:$L$140)</x:f>
        <x:v>13776.310526710002</x:v>
      </x:c>
      <x:c r="C18" s="75" t="str">
        <x:v>USDT</x:v>
      </x:c>
      <x:c r="D18" s="75" t="str">
        <x:v>SUM(手续费成本)</x:v>
      </x:c>
      <x:c r="E18" s="137"/>
      <x:c r="F18" s="129" t="str">
        <x:v>说明：-9.03 USDT 为账户级仓位限额提升费，保持账户级，不强行分摊到任一主动或跟单周期。跟单数据仅为资金背景。</x:v>
      </x:c>
      <x:c r="G18" s="130" t="str">
        <x:v>说明：-9.03 USDT 为账户级仓位限额提升费，保持账户级，不强行分摊到任一主动或跟单周期。跟单数据仅为资金背景。</x:v>
      </x:c>
      <x:c r="H18" s="131" t="str">
        <x:v>说明：-9.03 USDT 为账户级仓位限额提升费，保持账户级，不强行分摊到任一主动或跟单周期。跟单数据仅为资金背景。</x:v>
      </x:c>
    </x:row>
    <x:row r="19">
      <x:c r="A19" s="75" t="str">
        <x:v>手续费返佣</x:v>
      </x:c>
      <x:c r="B19" s="141" t="n">
        <x:f>SUM('主动136事实'!$P$5:$P$140)</x:f>
        <x:v>2755.2621061900004</x:v>
      </x:c>
      <x:c r="C19" s="75" t="str">
        <x:v>USDT</x:v>
      </x:c>
      <x:c r="D19" s="75" t="str">
        <x:v>SUM(手续费返佣)</x:v>
      </x:c>
      <x:c r="E19" s="137"/>
      <x:c r="F19" s="137"/>
      <x:c r="G19" s="137"/>
      <x:c r="H19" s="137"/>
    </x:row>
    <x:row r="20">
      <x:c r="A20" s="75" t="str">
        <x:v>返佣抵消手续费比例</x:v>
      </x:c>
      <x:c r="B20" s="142" t="n">
        <x:f>B19/B18</x:f>
        <x:v>0.20000000006155494</x:v>
      </x:c>
      <x:c r="C20" s="75" t="str">
        <x:v>%</x:v>
      </x:c>
      <x:c r="D20" s="75" t="str">
        <x:v>返佣 / 手续费成本</x:v>
      </x:c>
      <x:c r="E20" s="137"/>
      <x:c r="F20" s="137"/>
      <x:c r="G20" s="137"/>
      <x:c r="H20" s="137"/>
    </x:row>
    <x:row r="21">
      <x:c r="A21" s="75" t="str">
        <x:v>资金费净影响</x:v>
      </x:c>
      <x:c r="B21" s="141" t="n">
        <x:f>SUM('主动136事实'!$M$5:$M$140)</x:f>
        <x:v>167.24020073999998</x:v>
      </x:c>
      <x:c r="C21" s="75" t="str">
        <x:v>USDT</x:v>
      </x:c>
      <x:c r="D21" s="75" t="str">
        <x:v>SUM(资金费有符号)</x:v>
      </x:c>
      <x:c r="E21" s="137"/>
      <x:c r="F21" s="137"/>
      <x:c r="G21" s="137"/>
      <x:c r="H21" s="137"/>
    </x:row>
    <x:row r="22">
      <x:c r="A22" s="77" t="str">
        <x:v>最大亏损占毛亏损</x:v>
      </x:c>
      <x:c r="B22" s="146" t="n">
        <x:f>ABS(MIN('主动136事实'!$R$5:$R$140))/B12</x:f>
        <x:v>0.3416985767260777</x:v>
      </x:c>
      <x:c r="C22" s="77" t="str">
        <x:v>%</x:v>
      </x:c>
      <x:c r="D22" s="77" t="str">
        <x:v>ABS(MIN(经济净结果))/毛亏损</x:v>
      </x:c>
      <x:c r="E22" s="137"/>
      <x:c r="F22" s="137"/>
      <x:c r="G22" s="137"/>
      <x:c r="H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</x:row>
    <x:row r="25" ht="24" customHeight="1">
      <x:c r="A25" s="147" t="str">
        <x:v>经济桥：从已实现盈亏到经济净结果</x:v>
      </x:c>
      <x:c r="B25" s="147" t="str">
        <x:v>经济桥：从已实现盈亏到经济净结果</x:v>
      </x:c>
      <x:c r="C25" s="147" t="str">
        <x:v>经济桥：从已实现盈亏到经济净结果</x:v>
      </x:c>
      <x:c r="D25" s="147" t="str">
        <x:v>经济桥：从已实现盈亏到经济净结果</x:v>
      </x:c>
      <x:c r="E25" s="147" t="str">
        <x:v>经济桥：从已实现盈亏到经济净结果</x:v>
      </x:c>
      <x:c r="F25" s="147" t="str">
        <x:v>经济桥：从已实现盈亏到经济净结果</x:v>
      </x:c>
      <x:c r="G25" s="147" t="str">
        <x:v>经济桥：从已实现盈亏到经济净结果</x:v>
      </x:c>
      <x:c r="H25" s="147" t="str">
        <x:v>经济桥：从已实现盈亏到经济净结果</x:v>
      </x:c>
    </x:row>
    <x:row r="26" ht="30" customHeight="1">
      <x:c r="A26" s="60" t="str">
        <x:v>组成</x:v>
      </x:c>
      <x:c r="B26" s="61" t="str">
        <x:v>主动值</x:v>
      </x:c>
      <x:c r="C26" s="61" t="str">
        <x:v>符号约定</x:v>
      </x:c>
      <x:c r="D26" s="62" t="str">
        <x:v>来源/公式</x:v>
      </x:c>
      <x:c r="E26" s="137"/>
      <x:c r="F26" s="137"/>
      <x:c r="G26" s="137"/>
      <x:c r="H26" s="137"/>
    </x:row>
    <x:row r="27">
      <x:c r="A27" s="73" t="str">
        <x:v>已实现盈亏</x:v>
      </x:c>
      <x:c r="B27" s="139" t="n">
        <x:f>SUM('主动136事实'!$K$5:$K$140)</x:f>
        <x:v>-62264.54397009998</x:v>
      </x:c>
      <x:c r="C27" s="73" t="str">
        <x:v>正=收益；负=损失</x:v>
      </x:c>
      <x:c r="D27" s="73" t="str">
        <x:v>SUM(逐笔已实现盈亏)</x:v>
      </x:c>
      <x:c r="E27" s="137"/>
      <x:c r="F27" s="137"/>
      <x:c r="G27" s="137"/>
      <x:c r="H27" s="137"/>
    </x:row>
    <x:row r="28">
      <x:c r="A28" s="75" t="str">
        <x:v>手续费成本</x:v>
      </x:c>
      <x:c r="B28" s="141" t="n">
        <x:f>B18</x:f>
        <x:v>13776.310526710002</x:v>
      </x:c>
      <x:c r="C28" s="75" t="str">
        <x:v>正数记录成本；桥接时减去</x:v>
      </x:c>
      <x:c r="D28" s="75" t="str">
        <x:v>SUM(手续费成本)</x:v>
      </x:c>
      <x:c r="E28" s="137"/>
      <x:c r="F28" s="137"/>
      <x:c r="G28" s="137"/>
      <x:c r="H28" s="137"/>
    </x:row>
    <x:row r="29">
      <x:c r="A29" s="75" t="str">
        <x:v>资金费</x:v>
      </x:c>
      <x:c r="B29" s="141" t="n">
        <x:f>B21</x:f>
        <x:v>167.24020073999998</x:v>
      </x:c>
      <x:c r="C29" s="75" t="str">
        <x:v>有符号；正=净流入</x:v>
      </x:c>
      <x:c r="D29" s="75" t="str">
        <x:v>SUM(资金费有符号)</x:v>
      </x:c>
      <x:c r="E29" s="137"/>
      <x:c r="F29" s="137"/>
      <x:c r="G29" s="137"/>
      <x:c r="H29" s="137"/>
    </x:row>
    <x:row r="30">
      <x:c r="A30" s="75" t="str">
        <x:v>Legacy严格净额</x:v>
      </x:c>
      <x:c r="B30" s="141" t="n">
        <x:f>B27-B28+B29</x:f>
        <x:v>-75873.61429606998</x:v>
      </x:c>
      <x:c r="C30" s="75" t="str">
        <x:v>结果</x:v>
      </x:c>
      <x:c r="D30" s="75" t="str">
        <x:v>已实现盈亏 - 手续费成本 + 资金费</x:v>
      </x:c>
      <x:c r="E30" s="137"/>
      <x:c r="F30" s="137"/>
      <x:c r="G30" s="137"/>
      <x:c r="H30" s="137"/>
    </x:row>
    <x:row r="31">
      <x:c r="A31" s="75" t="str">
        <x:v>手续费返佣</x:v>
      </x:c>
      <x:c r="B31" s="141" t="n">
        <x:f>B19</x:f>
        <x:v>2755.2621061900004</x:v>
      </x:c>
      <x:c r="C31" s="75" t="str">
        <x:v>正=净流入</x:v>
      </x:c>
      <x:c r="D31" s="75" t="str">
        <x:v>SUM(返佣)</x:v>
      </x:c>
      <x:c r="E31" s="137"/>
      <x:c r="F31" s="137"/>
      <x:c r="G31" s="137"/>
      <x:c r="H31" s="137"/>
    </x:row>
    <x:row r="32">
      <x:c r="A32" s="148" t="str">
        <x:v>经济净结果</x:v>
      </x:c>
      <x:c r="B32" s="149" t="n">
        <x:f>B30+B31</x:f>
        <x:v>-73118.35218987998</x:v>
      </x:c>
      <x:c r="C32" s="148" t="str">
        <x:v>结果</x:v>
      </x:c>
      <x:c r="D32" s="148" t="str">
        <x:v>Legacy严格净额 + 返佣</x:v>
      </x:c>
      <x:c r="E32" s="137"/>
      <x:c r="F32" s="137"/>
      <x:c r="G32" s="137"/>
      <x:c r="H32" s="137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A1:H1"/>
    <x:mergeCell ref="A2:H2"/>
    <x:mergeCell ref="A4:D4"/>
    <x:mergeCell ref="F4:H4"/>
    <x:mergeCell ref="F16:H18"/>
    <x:mergeCell ref="A25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  <x:selection pane="topRight" activeCell="E1" sqref="E1"/>
      <x:selection pane="bottomLeft" activeCell="A5" sqref="A5"/>
      <x:selection pane="bottomRight" activeCell="E5" sqref="E5"/>
    </x:sheetView>
  </x:sheetViews>
  <x:sheetFormatPr defaultRowHeight="15"/>
  <x:cols>
    <x:col min="1" max="1" width="31" hidden="0" customWidth="1"/>
    <x:col min="2" max="2" width="10" hidden="0" customWidth="1"/>
    <x:col min="3" max="3" width="34" hidden="0" customWidth="1"/>
    <x:col min="4" max="4" width="10" hidden="0" customWidth="1"/>
    <x:col min="5" max="5" width="13" hidden="0" customWidth="1"/>
    <x:col min="6" max="6" width="10" hidden="0" customWidth="1"/>
    <x:col min="7" max="7" width="21" hidden="0" customWidth="1"/>
    <x:col min="8" max="8" width="21" hidden="0" customWidth="1"/>
    <x:col min="9" max="9" width="14" hidden="0" customWidth="1"/>
    <x:col min="10" max="10" width="13" hidden="0" customWidth="1"/>
    <x:col min="11" max="11" width="16" hidden="0" customWidth="1"/>
    <x:col min="12" max="12" width="15" hidden="0" customWidth="1"/>
    <x:col min="13" max="13" width="17" hidden="0" customWidth="1"/>
    <x:col min="14" max="14" width="14" hidden="0" customWidth="1"/>
    <x:col min="15" max="15" width="17" hidden="0" customWidth="1"/>
    <x:col min="16" max="16" width="15" hidden="0" customWidth="1"/>
    <x:col min="17" max="17" width="14" hidden="0" customWidth="1"/>
    <x:col min="18" max="18" width="17" hidden="0" customWidth="1"/>
    <x:col min="19" max="19" width="12" hidden="0" customWidth="1"/>
    <x:col min="20" max="20" width="44" hidden="0" customWidth="1"/>
    <x:col min="21" max="21" width="18" hidden="0" customWidth="1"/>
  </x:cols>
  <x:sheetData>
    <x:row r="1" ht="32" customHeight="1">
      <x:c r="A1" s="4" t="str">
        <x:v>136 笔主动交易｜权威客观事实</x:v>
      </x:c>
      <x:c r="B1" s="4" t="str">
        <x:v>136 笔主动交易｜权威客观事实</x:v>
      </x:c>
      <x:c r="C1" s="4" t="str">
        <x:v>136 笔主动交易｜权威客观事实</x:v>
      </x:c>
      <x:c r="D1" s="4" t="str">
        <x:v>136 笔主动交易｜权威客观事实</x:v>
      </x:c>
      <x:c r="E1" s="4" t="str">
        <x:v>136 笔主动交易｜权威客观事实</x:v>
      </x:c>
      <x:c r="F1" s="4" t="str">
        <x:v>136 笔主动交易｜权威客观事实</x:v>
      </x:c>
      <x:c r="G1" s="4" t="str">
        <x:v>136 笔主动交易｜权威客观事实</x:v>
      </x:c>
      <x:c r="H1" s="4" t="str">
        <x:v>136 笔主动交易｜权威客观事实</x:v>
      </x:c>
      <x:c r="I1" s="4" t="str">
        <x:v>136 笔主动交易｜权威客观事实</x:v>
      </x:c>
      <x:c r="J1" s="4" t="str">
        <x:v>136 笔主动交易｜权威客观事实</x:v>
      </x:c>
      <x:c r="K1" s="4" t="str">
        <x:v>136 笔主动交易｜权威客观事实</x:v>
      </x:c>
      <x:c r="L1" s="4" t="str">
        <x:v>136 笔主动交易｜权威客观事实</x:v>
      </x:c>
      <x:c r="M1" s="4" t="str">
        <x:v>136 笔主动交易｜权威客观事实</x:v>
      </x:c>
      <x:c r="N1" s="4" t="str">
        <x:v>136 笔主动交易｜权威客观事实</x:v>
      </x:c>
      <x:c r="O1" s="4" t="str">
        <x:v>136 笔主动交易｜权威客观事实</x:v>
      </x:c>
      <x:c r="P1" s="4" t="str">
        <x:v>136 笔主动交易｜权威客观事实</x:v>
      </x:c>
      <x:c r="Q1" s="4" t="str">
        <x:v>136 笔主动交易｜权威客观事实</x:v>
      </x:c>
      <x:c r="R1" s="4" t="str">
        <x:v>136 笔主动交易｜权威客观事实</x:v>
      </x:c>
      <x:c r="S1" s="4" t="str">
        <x:v>136 笔主动交易｜权威客观事实</x:v>
      </x:c>
      <x:c r="T1" s="4" t="str">
        <x:v>136 笔主动交易｜权威客观事实</x:v>
      </x:c>
      <x:c r="U1" s="4" t="str">
        <x:v>136 笔主动交易｜权威客观事实</x:v>
      </x:c>
    </x:row>
    <x:row r="2" ht="34" customHeight="1">
      <x:c r="A2" s="8" t="str">
        <x:v>仅含冻结客观字段；stable_trade_id / T 编号可用于回溯。没有人工自述、模型推断或策略判断。</x:v>
      </x:c>
      <x:c r="B2" s="8" t="str">
        <x:v>仅含冻结客观字段；stable_trade_id / T 编号可用于回溯。没有人工自述、模型推断或策略判断。</x:v>
      </x:c>
      <x:c r="C2" s="8" t="str">
        <x:v>仅含冻结客观字段；stable_trade_id / T 编号可用于回溯。没有人工自述、模型推断或策略判断。</x:v>
      </x:c>
      <x:c r="D2" s="8" t="str">
        <x:v>仅含冻结客观字段；stable_trade_id / T 编号可用于回溯。没有人工自述、模型推断或策略判断。</x:v>
      </x:c>
      <x:c r="E2" s="8" t="str">
        <x:v>仅含冻结客观字段；stable_trade_id / T 编号可用于回溯。没有人工自述、模型推断或策略判断。</x:v>
      </x:c>
      <x:c r="F2" s="8" t="str">
        <x:v>仅含冻结客观字段；stable_trade_id / T 编号可用于回溯。没有人工自述、模型推断或策略判断。</x:v>
      </x:c>
      <x:c r="G2" s="8" t="str">
        <x:v>仅含冻结客观字段；stable_trade_id / T 编号可用于回溯。没有人工自述、模型推断或策略判断。</x:v>
      </x:c>
      <x:c r="H2" s="8" t="str">
        <x:v>仅含冻结客观字段；stable_trade_id / T 编号可用于回溯。没有人工自述、模型推断或策略判断。</x:v>
      </x:c>
      <x:c r="I2" s="8" t="str">
        <x:v>仅含冻结客观字段；stable_trade_id / T 编号可用于回溯。没有人工自述、模型推断或策略判断。</x:v>
      </x:c>
      <x:c r="J2" s="8" t="str">
        <x:v>仅含冻结客观字段；stable_trade_id / T 编号可用于回溯。没有人工自述、模型推断或策略判断。</x:v>
      </x:c>
      <x:c r="K2" s="8" t="str">
        <x:v>仅含冻结客观字段；stable_trade_id / T 编号可用于回溯。没有人工自述、模型推断或策略判断。</x:v>
      </x:c>
      <x:c r="L2" s="8" t="str">
        <x:v>仅含冻结客观字段；stable_trade_id / T 编号可用于回溯。没有人工自述、模型推断或策略判断。</x:v>
      </x:c>
      <x:c r="M2" s="8" t="str">
        <x:v>仅含冻结客观字段；stable_trade_id / T 编号可用于回溯。没有人工自述、模型推断或策略判断。</x:v>
      </x:c>
      <x:c r="N2" s="8" t="str">
        <x:v>仅含冻结客观字段；stable_trade_id / T 编号可用于回溯。没有人工自述、模型推断或策略判断。</x:v>
      </x:c>
      <x:c r="O2" s="8" t="str">
        <x:v>仅含冻结客观字段；stable_trade_id / T 编号可用于回溯。没有人工自述、模型推断或策略判断。</x:v>
      </x:c>
      <x:c r="P2" s="8" t="str">
        <x:v>仅含冻结客观字段；stable_trade_id / T 编号可用于回溯。没有人工自述、模型推断或策略判断。</x:v>
      </x:c>
      <x:c r="Q2" s="8" t="str">
        <x:v>仅含冻结客观字段；stable_trade_id / T 编号可用于回溯。没有人工自述、模型推断或策略判断。</x:v>
      </x:c>
      <x:c r="R2" s="8" t="str">
        <x:v>仅含冻结客观字段；stable_trade_id / T 编号可用于回溯。没有人工自述、模型推断或策略判断。</x:v>
      </x:c>
      <x:c r="S2" s="8" t="str">
        <x:v>仅含冻结客观字段；stable_trade_id / T 编号可用于回溯。没有人工自述、模型推断或策略判断。</x:v>
      </x:c>
      <x:c r="T2" s="8" t="str">
        <x:v>仅含冻结客观字段；stable_trade_id / T 编号可用于回溯。没有人工自述、模型推断或策略判断。</x:v>
      </x:c>
      <x:c r="U2" s="8" t="str">
        <x:v>仅含冻结客观字段；stable_trade_id / T 编号可用于回溯。没有人工自述、模型推断或策略判断。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60" t="str">
        <x:v>周期ID</x:v>
      </x:c>
      <x:c r="B4" s="61" t="str">
        <x:v>域</x:v>
      </x:c>
      <x:c r="C4" s="61" t="str">
        <x:v>稳定交易ID</x:v>
      </x:c>
      <x:c r="D4" s="61" t="str">
        <x:v>交易编号</x:v>
      </x:c>
      <x:c r="E4" s="61" t="str">
        <x:v>币对</x:v>
      </x:c>
      <x:c r="F4" s="61" t="str">
        <x:v>方向</x:v>
      </x:c>
      <x:c r="G4" s="61" t="str">
        <x:v>开始时间（北京）</x:v>
      </x:c>
      <x:c r="H4" s="61" t="str">
        <x:v>结束时间（北京）</x:v>
      </x:c>
      <x:c r="I4" s="61" t="str">
        <x:v>根仓位来源行</x:v>
      </x:c>
      <x:c r="J4" s="61" t="str">
        <x:v>成交记录数</x:v>
      </x:c>
      <x:c r="K4" s="61" t="str">
        <x:v>已实现盈亏</x:v>
      </x:c>
      <x:c r="L4" s="61" t="str">
        <x:v>手续费成本</x:v>
      </x:c>
      <x:c r="M4" s="61" t="str">
        <x:v>资金费（有符号）</x:v>
      </x:c>
      <x:c r="N4" s="61" t="str">
        <x:v>资金费事件数</x:v>
      </x:c>
      <x:c r="O4" s="61" t="str">
        <x:v>Legacy严格净额</x:v>
      </x:c>
      <x:c r="P4" s="61" t="str">
        <x:v>手续费返佣</x:v>
      </x:c>
      <x:c r="Q4" s="61" t="str">
        <x:v>返佣事件数</x:v>
      </x:c>
      <x:c r="R4" s="61" t="str">
        <x:v>经济净结果</x:v>
      </x:c>
      <x:c r="S4" s="61" t="str">
        <x:v>经济结果</x:v>
      </x:c>
      <x:c r="T4" s="61" t="str">
        <x:v>资金费为0语义</x:v>
      </x:c>
      <x:c r="U4" s="62" t="str">
        <x:v>未知强制置零</x:v>
      </x:c>
    </x:row>
    <x:row r="5">
      <x:c r="A5" s="67" t="str">
        <x:v>S05-CYC-32c631f6f1157b800ec14bf9</x:v>
      </x:c>
      <x:c r="B5" s="67" t="str">
        <x:v>ACTIVE</x:v>
      </x:c>
      <x:c r="C5" s="67" t="str">
        <x:v>K03-ACT-32C631F6F1157B800EC14BF9</x:v>
      </x:c>
      <x:c r="D5" s="67" t="str">
        <x:v>T001</x:v>
      </x:c>
      <x:c r="E5" s="67" t="str">
        <x:v>BTCUSDT</x:v>
      </x:c>
      <x:c r="F5" s="67" t="str">
        <x:v>LONG</x:v>
      </x:c>
      <x:c r="G5" s="79" t="n">
        <x:v>46169.00892361111</x:v>
      </x:c>
      <x:c r="H5" s="79" t="n">
        <x:v>46169.05533564815</x:v>
      </x:c>
      <x:c r="I5" s="82" t="n">
        <x:v>11</x:v>
      </x:c>
      <x:c r="J5" s="82" t="n">
        <x:v>4</x:v>
      </x:c>
      <x:c r="K5" s="85" t="n">
        <x:v>43.45</x:v>
      </x:c>
      <x:c r="L5" s="85" t="n">
        <x:v>26.687525</x:v>
      </x:c>
      <x:c r="M5" s="85" t="n">
        <x:v>0</x:v>
      </x:c>
      <x:c r="N5" s="82" t="n">
        <x:v>0</x:v>
      </x:c>
      <x:c r="O5" s="85" t="n">
        <x:v>16.762475</x:v>
      </x:c>
      <x:c r="P5" s="85" t="n">
        <x:v>5.337505</x:v>
      </x:c>
      <x:c r="Q5" s="82" t="n">
        <x:v>4</x:v>
      </x:c>
      <x:c r="R5" s="88" t="n">
        <x:v>22.09998</x:v>
      </x:c>
      <x:c r="S5" s="67" t="str">
        <x:v>WIN</x:v>
      </x:c>
      <x:c r="T5" s="73" t="str">
        <x:v>EXACT_ZERO_AFTER_COMPLETE_54_EVENT_COVERAGE</x:v>
      </x:c>
      <x:c r="U5" s="73" t="str">
        <x:v>NONE</x:v>
      </x:c>
    </x:row>
    <x:row r="6">
      <x:c r="A6" s="68" t="str">
        <x:v>S05-CYC-9229e6c2ce608b62baed88f5</x:v>
      </x:c>
      <x:c r="B6" s="68" t="str">
        <x:v>ACTIVE</x:v>
      </x:c>
      <x:c r="C6" s="68" t="str">
        <x:v>K03-ACT-9229E6C2CE608B62BAED88F5</x:v>
      </x:c>
      <x:c r="D6" s="68" t="str">
        <x:v>T002</x:v>
      </x:c>
      <x:c r="E6" s="68" t="str">
        <x:v>MUUSDT</x:v>
      </x:c>
      <x:c r="F6" s="68" t="str">
        <x:v>SHORT</x:v>
      </x:c>
      <x:c r="G6" s="80" t="n">
        <x:v>46169.910208333335</x:v>
      </x:c>
      <x:c r="H6" s="80" t="n">
        <x:v>46169.91400462963</x:v>
      </x:c>
      <x:c r="I6" s="83" t="n">
        <x:v>12</x:v>
      </x:c>
      <x:c r="J6" s="83" t="n">
        <x:v>67</x:v>
      </x:c>
      <x:c r="K6" s="86" t="n">
        <x:v>408.772</x:v>
      </x:c>
      <x:c r="L6" s="86" t="n">
        <x:v>28.94921116</x:v>
      </x:c>
      <x:c r="M6" s="86" t="n">
        <x:v>0</x:v>
      </x:c>
      <x:c r="N6" s="83" t="n">
        <x:v>0</x:v>
      </x:c>
      <x:c r="O6" s="86" t="n">
        <x:v>379.82278884</x:v>
      </x:c>
      <x:c r="P6" s="86" t="n">
        <x:v>5.78984222</x:v>
      </x:c>
      <x:c r="Q6" s="83" t="n">
        <x:v>62</x:v>
      </x:c>
      <x:c r="R6" s="89" t="n">
        <x:v>385.61263106</x:v>
      </x:c>
      <x:c r="S6" s="68" t="str">
        <x:v>WIN</x:v>
      </x:c>
      <x:c r="T6" s="75" t="str">
        <x:v>EXACT_ZERO_AFTER_COMPLETE_54_EVENT_COVERAGE</x:v>
      </x:c>
      <x:c r="U6" s="75" t="str">
        <x:v>NONE</x:v>
      </x:c>
    </x:row>
    <x:row r="7">
      <x:c r="A7" s="68" t="str">
        <x:v>S05-CYC-a7c40252405800f588feee45</x:v>
      </x:c>
      <x:c r="B7" s="68" t="str">
        <x:v>ACTIVE</x:v>
      </x:c>
      <x:c r="C7" s="68" t="str">
        <x:v>K03-ACT-A7C40252405800F588FEEE45</x:v>
      </x:c>
      <x:c r="D7" s="68" t="str">
        <x:v>T003</x:v>
      </x:c>
      <x:c r="E7" s="68" t="str">
        <x:v>XAUUSDT</x:v>
      </x:c>
      <x:c r="F7" s="68" t="str">
        <x:v>SHORT</x:v>
      </x:c>
      <x:c r="G7" s="80" t="n">
        <x:v>46169.92172453704</x:v>
      </x:c>
      <x:c r="H7" s="80" t="n">
        <x:v>46169.98201388889</x:v>
      </x:c>
      <x:c r="I7" s="83" t="n">
        <x:v>13</x:v>
      </x:c>
      <x:c r="J7" s="83" t="n">
        <x:v>4</x:v>
      </x:c>
      <x:c r="K7" s="86" t="n">
        <x:v>105</x:v>
      </x:c>
      <x:c r="L7" s="86" t="n">
        <x:v>0</x:v>
      </x:c>
      <x:c r="M7" s="86" t="n">
        <x:v>0</x:v>
      </x:c>
      <x:c r="N7" s="83" t="n">
        <x:v>0</x:v>
      </x:c>
      <x:c r="O7" s="86" t="n">
        <x:v>105</x:v>
      </x:c>
      <x:c r="P7" s="86" t="n">
        <x:v>0</x:v>
      </x:c>
      <x:c r="Q7" s="83" t="n">
        <x:v>0</x:v>
      </x:c>
      <x:c r="R7" s="89" t="n">
        <x:v>105</x:v>
      </x:c>
      <x:c r="S7" s="68" t="str">
        <x:v>WIN</x:v>
      </x:c>
      <x:c r="T7" s="75" t="str">
        <x:v>EXACT_ZERO_AFTER_COMPLETE_54_EVENT_COVERAGE</x:v>
      </x:c>
      <x:c r="U7" s="75" t="str">
        <x:v>NONE</x:v>
      </x:c>
    </x:row>
    <x:row r="8">
      <x:c r="A8" s="68" t="str">
        <x:v>S05-CYC-cc2348e2a78f5522764d86a7</x:v>
      </x:c>
      <x:c r="B8" s="68" t="str">
        <x:v>ACTIVE</x:v>
      </x:c>
      <x:c r="C8" s="68" t="str">
        <x:v>K03-ACT-CC2348E2A78F5522764D86A7</x:v>
      </x:c>
      <x:c r="D8" s="68" t="str">
        <x:v>T004</x:v>
      </x:c>
      <x:c r="E8" s="68" t="str">
        <x:v>MUUSDT</x:v>
      </x:c>
      <x:c r="F8" s="68" t="str">
        <x:v>SHORT</x:v>
      </x:c>
      <x:c r="G8" s="80" t="n">
        <x:v>46170.1025</x:v>
      </x:c>
      <x:c r="H8" s="80" t="n">
        <x:v>46170.11106481482</x:v>
      </x:c>
      <x:c r="I8" s="83" t="n">
        <x:v>14</x:v>
      </x:c>
      <x:c r="J8" s="83" t="n">
        <x:v>16</x:v>
      </x:c>
      <x:c r="K8" s="86" t="n">
        <x:v>65.66819999</x:v>
      </x:c>
      <x:c r="L8" s="86" t="n">
        <x:v>20.13951856</x:v>
      </x:c>
      <x:c r="M8" s="86" t="n">
        <x:v>0</x:v>
      </x:c>
      <x:c r="N8" s="83" t="n">
        <x:v>0</x:v>
      </x:c>
      <x:c r="O8" s="86" t="n">
        <x:v>45.52868143</x:v>
      </x:c>
      <x:c r="P8" s="86" t="n">
        <x:v>4.02790371</x:v>
      </x:c>
      <x:c r="Q8" s="83" t="n">
        <x:v>13</x:v>
      </x:c>
      <x:c r="R8" s="89" t="n">
        <x:v>49.55658514</x:v>
      </x:c>
      <x:c r="S8" s="68" t="str">
        <x:v>WIN</x:v>
      </x:c>
      <x:c r="T8" s="75" t="str">
        <x:v>EXACT_ZERO_AFTER_COMPLETE_54_EVENT_COVERAGE</x:v>
      </x:c>
      <x:c r="U8" s="75" t="str">
        <x:v>NONE</x:v>
      </x:c>
    </x:row>
    <x:row r="9">
      <x:c r="A9" s="68" t="str">
        <x:v>S05-CYC-d0f4e4ebc5c58d56fab862f4</x:v>
      </x:c>
      <x:c r="B9" s="68" t="str">
        <x:v>ACTIVE</x:v>
      </x:c>
      <x:c r="C9" s="68" t="str">
        <x:v>K03-ACT-D0F4E4EBC5C58D56FAB862F4</x:v>
      </x:c>
      <x:c r="D9" s="68" t="str">
        <x:v>T005</x:v>
      </x:c>
      <x:c r="E9" s="68" t="str">
        <x:v>MUUSDT</x:v>
      </x:c>
      <x:c r="F9" s="68" t="str">
        <x:v>SHORT</x:v>
      </x:c>
      <x:c r="G9" s="80" t="n">
        <x:v>46170.12918981482</x:v>
      </x:c>
      <x:c r="H9" s="80" t="n">
        <x:v>46170.13223379629</x:v>
      </x:c>
      <x:c r="I9" s="83" t="n">
        <x:v>15</x:v>
      </x:c>
      <x:c r="J9" s="83" t="n">
        <x:v>31</x:v>
      </x:c>
      <x:c r="K9" s="86" t="n">
        <x:v>65.0078</x:v>
      </x:c>
      <x:c r="L9" s="86" t="n">
        <x:v>20.30199686</x:v>
      </x:c>
      <x:c r="M9" s="86" t="n">
        <x:v>0</x:v>
      </x:c>
      <x:c r="N9" s="83" t="n">
        <x:v>0</x:v>
      </x:c>
      <x:c r="O9" s="86" t="n">
        <x:v>44.70580314</x:v>
      </x:c>
      <x:c r="P9" s="86" t="n">
        <x:v>4.06039938</x:v>
      </x:c>
      <x:c r="Q9" s="83" t="n">
        <x:v>30</x:v>
      </x:c>
      <x:c r="R9" s="89" t="n">
        <x:v>48.76620252</x:v>
      </x:c>
      <x:c r="S9" s="68" t="str">
        <x:v>WIN</x:v>
      </x:c>
      <x:c r="T9" s="75" t="str">
        <x:v>EXACT_ZERO_AFTER_COMPLETE_54_EVENT_COVERAGE</x:v>
      </x:c>
      <x:c r="U9" s="75" t="str">
        <x:v>NONE</x:v>
      </x:c>
    </x:row>
    <x:row r="10">
      <x:c r="A10" s="68" t="str">
        <x:v>S05-CYC-c9a0173e58b2f1c71da09b87</x:v>
      </x:c>
      <x:c r="B10" s="68" t="str">
        <x:v>ACTIVE</x:v>
      </x:c>
      <x:c r="C10" s="68" t="str">
        <x:v>K03-ACT-C9A0173E58B2F1C71DA09B87</x:v>
      </x:c>
      <x:c r="D10" s="68" t="str">
        <x:v>T006</x:v>
      </x:c>
      <x:c r="E10" s="68" t="str">
        <x:v>MUUSDT</x:v>
      </x:c>
      <x:c r="F10" s="68" t="str">
        <x:v>SHORT</x:v>
      </x:c>
      <x:c r="G10" s="80" t="n">
        <x:v>46170.13717592593</x:v>
      </x:c>
      <x:c r="H10" s="80" t="n">
        <x:v>46170.150358796294</x:v>
      </x:c>
      <x:c r="I10" s="83" t="n">
        <x:v>16</x:v>
      </x:c>
      <x:c r="J10" s="83" t="n">
        <x:v>28</x:v>
      </x:c>
      <x:c r="K10" s="86" t="n">
        <x:v>100.66009999</x:v>
      </x:c>
      <x:c r="L10" s="86" t="n">
        <x:v>20.37573596</x:v>
      </x:c>
      <x:c r="M10" s="86" t="n">
        <x:v>0</x:v>
      </x:c>
      <x:c r="N10" s="83" t="n">
        <x:v>0</x:v>
      </x:c>
      <x:c r="O10" s="86" t="n">
        <x:v>80.28436403</x:v>
      </x:c>
      <x:c r="P10" s="86" t="n">
        <x:v>4.07514722</x:v>
      </x:c>
      <x:c r="Q10" s="83" t="n">
        <x:v>23</x:v>
      </x:c>
      <x:c r="R10" s="89" t="n">
        <x:v>84.35951125</x:v>
      </x:c>
      <x:c r="S10" s="68" t="str">
        <x:v>WIN</x:v>
      </x:c>
      <x:c r="T10" s="75" t="str">
        <x:v>EXACT_ZERO_AFTER_COMPLETE_54_EVENT_COVERAGE</x:v>
      </x:c>
      <x:c r="U10" s="75" t="str">
        <x:v>NONE</x:v>
      </x:c>
    </x:row>
    <x:row r="11">
      <x:c r="A11" s="68" t="str">
        <x:v>S05-CYC-f03fd7aec304db0c8d57bebd</x:v>
      </x:c>
      <x:c r="B11" s="68" t="str">
        <x:v>ACTIVE</x:v>
      </x:c>
      <x:c r="C11" s="68" t="str">
        <x:v>K03-ACT-F03FD7AEC304DB0C8D57BEBD</x:v>
      </x:c>
      <x:c r="D11" s="68" t="str">
        <x:v>T007</x:v>
      </x:c>
      <x:c r="E11" s="68" t="str">
        <x:v>MUUSDT</x:v>
      </x:c>
      <x:c r="F11" s="68" t="str">
        <x:v>SHORT</x:v>
      </x:c>
      <x:c r="G11" s="80" t="n">
        <x:v>46170.16046296296</x:v>
      </x:c>
      <x:c r="H11" s="80" t="n">
        <x:v>46170.16490740741</x:v>
      </x:c>
      <x:c r="I11" s="83" t="n">
        <x:v>17</x:v>
      </x:c>
      <x:c r="J11" s="83" t="n">
        <x:v>43</x:v>
      </x:c>
      <x:c r="K11" s="86" t="n">
        <x:v>80.31129998</x:v>
      </x:c>
      <x:c r="L11" s="86" t="n">
        <x:v>17.07824426</x:v>
      </x:c>
      <x:c r="M11" s="86" t="n">
        <x:v>0</x:v>
      </x:c>
      <x:c r="N11" s="83" t="n">
        <x:v>0</x:v>
      </x:c>
      <x:c r="O11" s="86" t="n">
        <x:v>63.23305572</x:v>
      </x:c>
      <x:c r="P11" s="86" t="n">
        <x:v>3.41564886</x:v>
      </x:c>
      <x:c r="Q11" s="83" t="n">
        <x:v>42</x:v>
      </x:c>
      <x:c r="R11" s="89" t="n">
        <x:v>66.64870458</x:v>
      </x:c>
      <x:c r="S11" s="68" t="str">
        <x:v>WIN</x:v>
      </x:c>
      <x:c r="T11" s="75" t="str">
        <x:v>EXACT_ZERO_AFTER_COMPLETE_54_EVENT_COVERAGE</x:v>
      </x:c>
      <x:c r="U11" s="75" t="str">
        <x:v>NONE</x:v>
      </x:c>
    </x:row>
    <x:row r="12">
      <x:c r="A12" s="68" t="str">
        <x:v>S05-CYC-4420a38faf94b16c6f6333fb</x:v>
      </x:c>
      <x:c r="B12" s="68" t="str">
        <x:v>ACTIVE</x:v>
      </x:c>
      <x:c r="C12" s="68" t="str">
        <x:v>K03-ACT-4420A38FAF94B16C6F6333FB</x:v>
      </x:c>
      <x:c r="D12" s="68" t="str">
        <x:v>T008</x:v>
      </x:c>
      <x:c r="E12" s="68" t="str">
        <x:v>MUUSDT</x:v>
      </x:c>
      <x:c r="F12" s="68" t="str">
        <x:v>SHORT</x:v>
      </x:c>
      <x:c r="G12" s="80" t="n">
        <x:v>46170.169861111106</x:v>
      </x:c>
      <x:c r="H12" s="80" t="n">
        <x:v>46170.17054398148</x:v>
      </x:c>
      <x:c r="I12" s="83" t="n">
        <x:v>18</x:v>
      </x:c>
      <x:c r="J12" s="83" t="n">
        <x:v>58</x:v>
      </x:c>
      <x:c r="K12" s="86" t="n">
        <x:v>70.51409993</x:v>
      </x:c>
      <x:c r="L12" s="86" t="n">
        <x:v>22.32539435</x:v>
      </x:c>
      <x:c r="M12" s="86" t="n">
        <x:v>0</x:v>
      </x:c>
      <x:c r="N12" s="83" t="n">
        <x:v>0</x:v>
      </x:c>
      <x:c r="O12" s="86" t="n">
        <x:v>48.18870558</x:v>
      </x:c>
      <x:c r="P12" s="86" t="n">
        <x:v>4.4650789</x:v>
      </x:c>
      <x:c r="Q12" s="83" t="n">
        <x:v>56</x:v>
      </x:c>
      <x:c r="R12" s="89" t="n">
        <x:v>52.65378448</x:v>
      </x:c>
      <x:c r="S12" s="68" t="str">
        <x:v>WIN</x:v>
      </x:c>
      <x:c r="T12" s="75" t="str">
        <x:v>EXACT_ZERO_AFTER_COMPLETE_54_EVENT_COVERAGE</x:v>
      </x:c>
      <x:c r="U12" s="75" t="str">
        <x:v>NONE</x:v>
      </x:c>
    </x:row>
    <x:row r="13">
      <x:c r="A13" s="68" t="str">
        <x:v>S05-CYC-a1bd9126b91b97f3c70c7b4a</x:v>
      </x:c>
      <x:c r="B13" s="68" t="str">
        <x:v>ACTIVE</x:v>
      </x:c>
      <x:c r="C13" s="68" t="str">
        <x:v>K03-ACT-A1BD9126B91B97F3C70C7B4A</x:v>
      </x:c>
      <x:c r="D13" s="68" t="str">
        <x:v>T009</x:v>
      </x:c>
      <x:c r="E13" s="68" t="str">
        <x:v>MUUSDT</x:v>
      </x:c>
      <x:c r="F13" s="68" t="str">
        <x:v>SHORT</x:v>
      </x:c>
      <x:c r="G13" s="80" t="n">
        <x:v>46170.22010416667</x:v>
      </x:c>
      <x:c r="H13" s="80" t="n">
        <x:v>46170.225</x:v>
      </x:c>
      <x:c r="I13" s="83" t="n">
        <x:v>19</x:v>
      </x:c>
      <x:c r="J13" s="83" t="n">
        <x:v>59</x:v>
      </x:c>
      <x:c r="K13" s="86" t="n">
        <x:v>33.15189978</x:v>
      </x:c>
      <x:c r="L13" s="86" t="n">
        <x:v>21.36230227</x:v>
      </x:c>
      <x:c r="M13" s="86" t="n">
        <x:v>0</x:v>
      </x:c>
      <x:c r="N13" s="83" t="n">
        <x:v>0</x:v>
      </x:c>
      <x:c r="O13" s="86" t="n">
        <x:v>11.78959751</x:v>
      </x:c>
      <x:c r="P13" s="86" t="n">
        <x:v>4.27246045</x:v>
      </x:c>
      <x:c r="Q13" s="83" t="n">
        <x:v>51</x:v>
      </x:c>
      <x:c r="R13" s="89" t="n">
        <x:v>16.06205796</x:v>
      </x:c>
      <x:c r="S13" s="68" t="str">
        <x:v>WIN</x:v>
      </x:c>
      <x:c r="T13" s="75" t="str">
        <x:v>EXACT_ZERO_AFTER_COMPLETE_54_EVENT_COVERAGE</x:v>
      </x:c>
      <x:c r="U13" s="75" t="str">
        <x:v>NONE</x:v>
      </x:c>
    </x:row>
    <x:row r="14">
      <x:c r="A14" s="68" t="str">
        <x:v>S05-CYC-1576619af5a5c16c7fb9a949</x:v>
      </x:c>
      <x:c r="B14" s="68" t="str">
        <x:v>ACTIVE</x:v>
      </x:c>
      <x:c r="C14" s="68" t="str">
        <x:v>K03-ACT-1576619AF5A5C16C7FB9A949</x:v>
      </x:c>
      <x:c r="D14" s="68" t="str">
        <x:v>T010</x:v>
      </x:c>
      <x:c r="E14" s="68" t="str">
        <x:v>MUUSDT</x:v>
      </x:c>
      <x:c r="F14" s="68" t="str">
        <x:v>SHORT</x:v>
      </x:c>
      <x:c r="G14" s="80" t="n">
        <x:v>46170.23113425926</x:v>
      </x:c>
      <x:c r="H14" s="80" t="n">
        <x:v>46170.23241898148</x:v>
      </x:c>
      <x:c r="I14" s="83" t="n">
        <x:v>20</x:v>
      </x:c>
      <x:c r="J14" s="83" t="n">
        <x:v>19</x:v>
      </x:c>
      <x:c r="K14" s="86" t="n">
        <x:v>77.1267</x:v>
      </x:c>
      <x:c r="L14" s="86" t="n">
        <x:v>0</x:v>
      </x:c>
      <x:c r="M14" s="86" t="n">
        <x:v>0</x:v>
      </x:c>
      <x:c r="N14" s="83" t="n">
        <x:v>0</x:v>
      </x:c>
      <x:c r="O14" s="86" t="n">
        <x:v>77.1267</x:v>
      </x:c>
      <x:c r="P14" s="86" t="n">
        <x:v>0</x:v>
      </x:c>
      <x:c r="Q14" s="83" t="n">
        <x:v>0</x:v>
      </x:c>
      <x:c r="R14" s="89" t="n">
        <x:v>77.1267</x:v>
      </x:c>
      <x:c r="S14" s="68" t="str">
        <x:v>WIN</x:v>
      </x:c>
      <x:c r="T14" s="75" t="str">
        <x:v>EXACT_ZERO_AFTER_COMPLETE_54_EVENT_COVERAGE</x:v>
      </x:c>
      <x:c r="U14" s="75" t="str">
        <x:v>NONE</x:v>
      </x:c>
    </x:row>
    <x:row r="15">
      <x:c r="A15" s="68" t="str">
        <x:v>S05-CYC-fbce86aa4e158049312627e3</x:v>
      </x:c>
      <x:c r="B15" s="68" t="str">
        <x:v>ACTIVE</x:v>
      </x:c>
      <x:c r="C15" s="68" t="str">
        <x:v>K03-ACT-FBCE86AA4E158049312627E3</x:v>
      </x:c>
      <x:c r="D15" s="68" t="str">
        <x:v>T011</x:v>
      </x:c>
      <x:c r="E15" s="68" t="str">
        <x:v>MUUSDT</x:v>
      </x:c>
      <x:c r="F15" s="68" t="str">
        <x:v>SHORT</x:v>
      </x:c>
      <x:c r="G15" s="80" t="n">
        <x:v>46170.68189814815</x:v>
      </x:c>
      <x:c r="H15" s="80" t="n">
        <x:v>46170.69097222222</x:v>
      </x:c>
      <x:c r="I15" s="83" t="n">
        <x:v>21</x:v>
      </x:c>
      <x:c r="J15" s="83" t="n">
        <x:v>137</x:v>
      </x:c>
      <x:c r="K15" s="86" t="n">
        <x:v>76.14899941</x:v>
      </x:c>
      <x:c r="L15" s="86" t="n">
        <x:v>36.69840436</x:v>
      </x:c>
      <x:c r="M15" s="86" t="n">
        <x:v>0</x:v>
      </x:c>
      <x:c r="N15" s="83" t="n">
        <x:v>0</x:v>
      </x:c>
      <x:c r="O15" s="86" t="n">
        <x:v>39.45059505</x:v>
      </x:c>
      <x:c r="P15" s="86" t="n">
        <x:v>7.33968088</x:v>
      </x:c>
      <x:c r="Q15" s="83" t="n">
        <x:v>135</x:v>
      </x:c>
      <x:c r="R15" s="89" t="n">
        <x:v>46.79027593</x:v>
      </x:c>
      <x:c r="S15" s="68" t="str">
        <x:v>WIN</x:v>
      </x:c>
      <x:c r="T15" s="75" t="str">
        <x:v>EXACT_ZERO_AFTER_COMPLETE_54_EVENT_COVERAGE</x:v>
      </x:c>
      <x:c r="U15" s="75" t="str">
        <x:v>NONE</x:v>
      </x:c>
    </x:row>
    <x:row r="16">
      <x:c r="A16" s="68" t="str">
        <x:v>S05-CYC-4bee4257c2b92b9effc945cf</x:v>
      </x:c>
      <x:c r="B16" s="68" t="str">
        <x:v>ACTIVE</x:v>
      </x:c>
      <x:c r="C16" s="68" t="str">
        <x:v>K03-ACT-4BEE4257C2B92B9EFFC945CF</x:v>
      </x:c>
      <x:c r="D16" s="68" t="str">
        <x:v>T012</x:v>
      </x:c>
      <x:c r="E16" s="68" t="str">
        <x:v>MUUSDT</x:v>
      </x:c>
      <x:c r="F16" s="68" t="str">
        <x:v>SHORT</x:v>
      </x:c>
      <x:c r="G16" s="80" t="n">
        <x:v>46170.72236111111</x:v>
      </x:c>
      <x:c r="H16" s="80" t="n">
        <x:v>46170.734930555554</x:v>
      </x:c>
      <x:c r="I16" s="83" t="n">
        <x:v>22</x:v>
      </x:c>
      <x:c r="J16" s="83" t="n">
        <x:v>58</x:v>
      </x:c>
      <x:c r="K16" s="86" t="n">
        <x:v>707.0685</x:v>
      </x:c>
      <x:c r="L16" s="86" t="n">
        <x:v>37.05819656</x:v>
      </x:c>
      <x:c r="M16" s="86" t="n">
        <x:v>0</x:v>
      </x:c>
      <x:c r="N16" s="83" t="n">
        <x:v>0</x:v>
      </x:c>
      <x:c r="O16" s="86" t="n">
        <x:v>670.01030344</x:v>
      </x:c>
      <x:c r="P16" s="86" t="n">
        <x:v>7.41163931</x:v>
      </x:c>
      <x:c r="Q16" s="83" t="n">
        <x:v>56</x:v>
      </x:c>
      <x:c r="R16" s="89" t="n">
        <x:v>677.42194275</x:v>
      </x:c>
      <x:c r="S16" s="68" t="str">
        <x:v>WIN</x:v>
      </x:c>
      <x:c r="T16" s="75" t="str">
        <x:v>EXACT_ZERO_AFTER_COMPLETE_54_EVENT_COVERAGE</x:v>
      </x:c>
      <x:c r="U16" s="75" t="str">
        <x:v>NONE</x:v>
      </x:c>
    </x:row>
    <x:row r="17">
      <x:c r="A17" s="68" t="str">
        <x:v>S05-CYC-693e180e504c6e4e8ae4a213</x:v>
      </x:c>
      <x:c r="B17" s="68" t="str">
        <x:v>ACTIVE</x:v>
      </x:c>
      <x:c r="C17" s="68" t="str">
        <x:v>K03-ACT-693E180E504C6E4E8AE4A213</x:v>
      </x:c>
      <x:c r="D17" s="68" t="str">
        <x:v>T013</x:v>
      </x:c>
      <x:c r="E17" s="68" t="str">
        <x:v>SNDKUSDT</x:v>
      </x:c>
      <x:c r="F17" s="68" t="str">
        <x:v>SHORT</x:v>
      </x:c>
      <x:c r="G17" s="80" t="n">
        <x:v>46170.92118055555</x:v>
      </x:c>
      <x:c r="H17" s="80" t="n">
        <x:v>46171.1365625</x:v>
      </x:c>
      <x:c r="I17" s="83" t="n">
        <x:v>23</x:v>
      </x:c>
      <x:c r="J17" s="83" t="n">
        <x:v>76</x:v>
      </x:c>
      <x:c r="K17" s="86" t="n">
        <x:v>-91.32399991</x:v>
      </x:c>
      <x:c r="L17" s="86" t="n">
        <x:v>13.04216671</x:v>
      </x:c>
      <x:c r="M17" s="86" t="n">
        <x:v>0</x:v>
      </x:c>
      <x:c r="N17" s="83" t="n">
        <x:v>0</x:v>
      </x:c>
      <x:c r="O17" s="86" t="n">
        <x:v>-104.36616662</x:v>
      </x:c>
      <x:c r="P17" s="86" t="n">
        <x:v>2.60843336</x:v>
      </x:c>
      <x:c r="Q17" s="83" t="n">
        <x:v>56</x:v>
      </x:c>
      <x:c r="R17" s="89" t="n">
        <x:v>-101.75773326</x:v>
      </x:c>
      <x:c r="S17" s="68" t="str">
        <x:v>LOSS</x:v>
      </x:c>
      <x:c r="T17" s="75" t="str">
        <x:v>EXACT_ZERO_AFTER_COMPLETE_54_EVENT_COVERAGE</x:v>
      </x:c>
      <x:c r="U17" s="75" t="str">
        <x:v>NONE</x:v>
      </x:c>
    </x:row>
    <x:row r="18">
      <x:c r="A18" s="68" t="str">
        <x:v>S05-CYC-d0f7cc99daeb484095dbeb3f</x:v>
      </x:c>
      <x:c r="B18" s="68" t="str">
        <x:v>ACTIVE</x:v>
      </x:c>
      <x:c r="C18" s="68" t="str">
        <x:v>K03-ACT-D0F7CC99DAEB484095DBEB3F</x:v>
      </x:c>
      <x:c r="D18" s="68" t="str">
        <x:v>T014</x:v>
      </x:c>
      <x:c r="E18" s="68" t="str">
        <x:v>SNDKUSDT</x:v>
      </x:c>
      <x:c r="F18" s="68" t="str">
        <x:v>LONG</x:v>
      </x:c>
      <x:c r="G18" s="80" t="n">
        <x:v>46171.697499999995</x:v>
      </x:c>
      <x:c r="H18" s="80" t="n">
        <x:v>46171.698113425926</x:v>
      </x:c>
      <x:c r="I18" s="83" t="n">
        <x:v>24</x:v>
      </x:c>
      <x:c r="J18" s="83" t="n">
        <x:v>113</x:v>
      </x:c>
      <x:c r="K18" s="86" t="n">
        <x:v>12.41870011</x:v>
      </x:c>
      <x:c r="L18" s="86" t="n">
        <x:v>26.83696739</x:v>
      </x:c>
      <x:c r="M18" s="86" t="n">
        <x:v>0</x:v>
      </x:c>
      <x:c r="N18" s="83" t="n">
        <x:v>0</x:v>
      </x:c>
      <x:c r="O18" s="86" t="n">
        <x:v>-14.41826728</x:v>
      </x:c>
      <x:c r="P18" s="86" t="n">
        <x:v>5.36739347</x:v>
      </x:c>
      <x:c r="Q18" s="83" t="n">
        <x:v>112</x:v>
      </x:c>
      <x:c r="R18" s="89" t="n">
        <x:v>-9.05087381</x:v>
      </x:c>
      <x:c r="S18" s="68" t="str">
        <x:v>LOSS</x:v>
      </x:c>
      <x:c r="T18" s="75" t="str">
        <x:v>EXACT_ZERO_AFTER_COMPLETE_54_EVENT_COVERAGE</x:v>
      </x:c>
      <x:c r="U18" s="75" t="str">
        <x:v>NONE</x:v>
      </x:c>
    </x:row>
    <x:row r="19">
      <x:c r="A19" s="68" t="str">
        <x:v>S05-CYC-594a257cece6cec330fabf68</x:v>
      </x:c>
      <x:c r="B19" s="68" t="str">
        <x:v>ACTIVE</x:v>
      </x:c>
      <x:c r="C19" s="68" t="str">
        <x:v>K03-ACT-594A257CECE6CEC330FABF68</x:v>
      </x:c>
      <x:c r="D19" s="68" t="str">
        <x:v>T015</x:v>
      </x:c>
      <x:c r="E19" s="68" t="str">
        <x:v>MUUSDT</x:v>
      </x:c>
      <x:c r="F19" s="68" t="str">
        <x:v>SHORT</x:v>
      </x:c>
      <x:c r="G19" s="80" t="n">
        <x:v>46171.75226851852</x:v>
      </x:c>
      <x:c r="H19" s="80" t="n">
        <x:v>46171.838796296295</x:v>
      </x:c>
      <x:c r="I19" s="83" t="n">
        <x:v>25</x:v>
      </x:c>
      <x:c r="J19" s="83" t="n">
        <x:v>132</x:v>
      </x:c>
      <x:c r="K19" s="86" t="n">
        <x:v>1334.3295</x:v>
      </x:c>
      <x:c r="L19" s="86" t="n">
        <x:v>38.08564014</x:v>
      </x:c>
      <x:c r="M19" s="86" t="n">
        <x:v>0</x:v>
      </x:c>
      <x:c r="N19" s="83" t="n">
        <x:v>0</x:v>
      </x:c>
      <x:c r="O19" s="86" t="n">
        <x:v>1296.24385986</x:v>
      </x:c>
      <x:c r="P19" s="86" t="n">
        <x:v>7.61712809</x:v>
      </x:c>
      <x:c r="Q19" s="83" t="n">
        <x:v>125</x:v>
      </x:c>
      <x:c r="R19" s="89" t="n">
        <x:v>1303.86098795</x:v>
      </x:c>
      <x:c r="S19" s="68" t="str">
        <x:v>WIN</x:v>
      </x:c>
      <x:c r="T19" s="75" t="str">
        <x:v>EXACT_ZERO_AFTER_COMPLETE_54_EVENT_COVERAGE</x:v>
      </x:c>
      <x:c r="U19" s="75" t="str">
        <x:v>NONE</x:v>
      </x:c>
    </x:row>
    <x:row r="20">
      <x:c r="A20" s="68" t="str">
        <x:v>S05-CYC-f2ca9c3941f0ef7dec47e64f</x:v>
      </x:c>
      <x:c r="B20" s="68" t="str">
        <x:v>ACTIVE</x:v>
      </x:c>
      <x:c r="C20" s="68" t="str">
        <x:v>K03-ACT-F2CA9C3941F0EF7DEC47E64F</x:v>
      </x:c>
      <x:c r="D20" s="68" t="str">
        <x:v>T016</x:v>
      </x:c>
      <x:c r="E20" s="68" t="str">
        <x:v>MUUSDT</x:v>
      </x:c>
      <x:c r="F20" s="68" t="str">
        <x:v>SHORT</x:v>
      </x:c>
      <x:c r="G20" s="80" t="n">
        <x:v>46171.894432870366</x:v>
      </x:c>
      <x:c r="H20" s="80" t="n">
        <x:v>46171.89648148148</x:v>
      </x:c>
      <x:c r="I20" s="83" t="n">
        <x:v>26</x:v>
      </x:c>
      <x:c r="J20" s="83" t="n">
        <x:v>3</x:v>
      </x:c>
      <x:c r="K20" s="86" t="n">
        <x:v>99.99999998</x:v>
      </x:c>
      <x:c r="L20" s="86" t="n">
        <x:v>0</x:v>
      </x:c>
      <x:c r="M20" s="86" t="n">
        <x:v>0</x:v>
      </x:c>
      <x:c r="N20" s="83" t="n">
        <x:v>0</x:v>
      </x:c>
      <x:c r="O20" s="86" t="n">
        <x:v>99.99999998</x:v>
      </x:c>
      <x:c r="P20" s="86" t="n">
        <x:v>0</x:v>
      </x:c>
      <x:c r="Q20" s="83" t="n">
        <x:v>0</x:v>
      </x:c>
      <x:c r="R20" s="89" t="n">
        <x:v>99.99999998</x:v>
      </x:c>
      <x:c r="S20" s="68" t="str">
        <x:v>WIN</x:v>
      </x:c>
      <x:c r="T20" s="75" t="str">
        <x:v>EXACT_ZERO_AFTER_COMPLETE_54_EVENT_COVERAGE</x:v>
      </x:c>
      <x:c r="U20" s="75" t="str">
        <x:v>NONE</x:v>
      </x:c>
    </x:row>
    <x:row r="21">
      <x:c r="A21" s="68" t="str">
        <x:v>S05-CYC-023666cb5a3b11b8cd61518b</x:v>
      </x:c>
      <x:c r="B21" s="68" t="str">
        <x:v>ACTIVE</x:v>
      </x:c>
      <x:c r="C21" s="68" t="str">
        <x:v>K03-ACT-023666CB5A3B11B8CD61518B</x:v>
      </x:c>
      <x:c r="D21" s="68" t="str">
        <x:v>T017</x:v>
      </x:c>
      <x:c r="E21" s="68" t="str">
        <x:v>MUUSDT</x:v>
      </x:c>
      <x:c r="F21" s="68" t="str">
        <x:v>SHORT</x:v>
      </x:c>
      <x:c r="G21" s="80" t="n">
        <x:v>46171.91454861111</x:v>
      </x:c>
      <x:c r="H21" s="80" t="n">
        <x:v>46171.91855324074</x:v>
      </x:c>
      <x:c r="I21" s="83" t="n">
        <x:v>27</x:v>
      </x:c>
      <x:c r="J21" s="83" t="n">
        <x:v>59</x:v>
      </x:c>
      <x:c r="K21" s="86" t="n">
        <x:v>205.04179997</x:v>
      </x:c>
      <x:c r="L21" s="86" t="n">
        <x:v>39.03798325</x:v>
      </x:c>
      <x:c r="M21" s="86" t="n">
        <x:v>0</x:v>
      </x:c>
      <x:c r="N21" s="83" t="n">
        <x:v>0</x:v>
      </x:c>
      <x:c r="O21" s="86" t="n">
        <x:v>166.00381672</x:v>
      </x:c>
      <x:c r="P21" s="86" t="n">
        <x:v>7.80759669</x:v>
      </x:c>
      <x:c r="Q21" s="83" t="n">
        <x:v>52</x:v>
      </x:c>
      <x:c r="R21" s="89" t="n">
        <x:v>173.81141341</x:v>
      </x:c>
      <x:c r="S21" s="68" t="str">
        <x:v>WIN</x:v>
      </x:c>
      <x:c r="T21" s="75" t="str">
        <x:v>EXACT_ZERO_AFTER_COMPLETE_54_EVENT_COVERAGE</x:v>
      </x:c>
      <x:c r="U21" s="75" t="str">
        <x:v>NONE</x:v>
      </x:c>
    </x:row>
    <x:row r="22">
      <x:c r="A22" s="68" t="str">
        <x:v>S05-CYC-8471a84f0b2a90ab7378d630</x:v>
      </x:c>
      <x:c r="B22" s="68" t="str">
        <x:v>ACTIVE</x:v>
      </x:c>
      <x:c r="C22" s="68" t="str">
        <x:v>K03-ACT-8471A84F0B2A90AB7378D630</x:v>
      </x:c>
      <x:c r="D22" s="68" t="str">
        <x:v>T018</x:v>
      </x:c>
      <x:c r="E22" s="68" t="str">
        <x:v>XAUUSDT</x:v>
      </x:c>
      <x:c r="F22" s="68" t="str">
        <x:v>SHORT</x:v>
      </x:c>
      <x:c r="G22" s="80" t="n">
        <x:v>46171.925358796296</x:v>
      </x:c>
      <x:c r="H22" s="80" t="n">
        <x:v>46172.078668981485</x:v>
      </x:c>
      <x:c r="I22" s="83" t="n">
        <x:v>28</x:v>
      </x:c>
      <x:c r="J22" s="83" t="n">
        <x:v>8</x:v>
      </x:c>
      <x:c r="K22" s="86" t="n">
        <x:v>312.79999999</x:v>
      </x:c>
      <x:c r="L22" s="86" t="n">
        <x:v>0</x:v>
      </x:c>
      <x:c r="M22" s="86" t="n">
        <x:v>0</x:v>
      </x:c>
      <x:c r="N22" s="83" t="n">
        <x:v>0</x:v>
      </x:c>
      <x:c r="O22" s="86" t="n">
        <x:v>312.79999999</x:v>
      </x:c>
      <x:c r="P22" s="86" t="n">
        <x:v>0</x:v>
      </x:c>
      <x:c r="Q22" s="83" t="n">
        <x:v>0</x:v>
      </x:c>
      <x:c r="R22" s="89" t="n">
        <x:v>312.79999999</x:v>
      </x:c>
      <x:c r="S22" s="68" t="str">
        <x:v>WIN</x:v>
      </x:c>
      <x:c r="T22" s="75" t="str">
        <x:v>EXACT_ZERO_AFTER_COMPLETE_54_EVENT_COVERAGE</x:v>
      </x:c>
      <x:c r="U22" s="75" t="str">
        <x:v>NONE</x:v>
      </x:c>
    </x:row>
    <x:row r="23">
      <x:c r="A23" s="68" t="str">
        <x:v>S05-CYC-8c2ba13c980e6d1e83d7c32c</x:v>
      </x:c>
      <x:c r="B23" s="68" t="str">
        <x:v>ACTIVE</x:v>
      </x:c>
      <x:c r="C23" s="68" t="str">
        <x:v>K03-ACT-8C2BA13C980E6D1E83D7C32C</x:v>
      </x:c>
      <x:c r="D23" s="68" t="str">
        <x:v>T019</x:v>
      </x:c>
      <x:c r="E23" s="68" t="str">
        <x:v>BTCUSDT</x:v>
      </x:c>
      <x:c r="F23" s="68" t="str">
        <x:v>SHORT</x:v>
      </x:c>
      <x:c r="G23" s="80" t="n">
        <x:v>46170.25135416667</x:v>
      </x:c>
      <x:c r="H23" s="80" t="n">
        <x:v>46172.66890046296</x:v>
      </x:c>
      <x:c r="I23" s="83" t="n">
        <x:v>29</x:v>
      </x:c>
      <x:c r="J23" s="83" t="n">
        <x:v>21</x:v>
      </x:c>
      <x:c r="K23" s="86" t="n">
        <x:v>745.5</x:v>
      </x:c>
      <x:c r="L23" s="86" t="n">
        <x:v>20.73245999</x:v>
      </x:c>
      <x:c r="M23" s="86" t="n">
        <x:v>28.49127996</x:v>
      </x:c>
      <x:c r="N23" s="83" t="n">
        <x:v>8</x:v>
      </x:c>
      <x:c r="O23" s="86" t="n">
        <x:v>753.25881997</x:v>
      </x:c>
      <x:c r="P23" s="86" t="n">
        <x:v>4.146492</x:v>
      </x:c>
      <x:c r="Q23" s="83" t="n">
        <x:v>21</x:v>
      </x:c>
      <x:c r="R23" s="89" t="n">
        <x:v>757.40531197</x:v>
      </x:c>
      <x:c r="S23" s="68" t="str">
        <x:v>WIN</x:v>
      </x:c>
      <x:c r="T23" s="75" t="str">
        <x:v>OBSERVED_EVENT_SUM</x:v>
      </x:c>
      <x:c r="U23" s="75" t="str">
        <x:v>NONE</x:v>
      </x:c>
    </x:row>
    <x:row r="24">
      <x:c r="A24" s="68" t="str">
        <x:v>S05-CYC-023febfa9a0586d6fbd0618d</x:v>
      </x:c>
      <x:c r="B24" s="68" t="str">
        <x:v>ACTIVE</x:v>
      </x:c>
      <x:c r="C24" s="68" t="str">
        <x:v>K03-ACT-023FEBFA9A0586D6FBD0618D</x:v>
      </x:c>
      <x:c r="D24" s="68" t="str">
        <x:v>T020</x:v>
      </x:c>
      <x:c r="E24" s="68" t="str">
        <x:v>MUUSDT</x:v>
      </x:c>
      <x:c r="F24" s="68" t="str">
        <x:v>SHORT</x:v>
      </x:c>
      <x:c r="G24" s="80" t="n">
        <x:v>46172.15079861111</x:v>
      </x:c>
      <x:c r="H24" s="80" t="n">
        <x:v>46173.07609953704</x:v>
      </x:c>
      <x:c r="I24" s="83" t="n">
        <x:v>30</x:v>
      </x:c>
      <x:c r="J24" s="83" t="n">
        <x:v>846</x:v>
      </x:c>
      <x:c r="K24" s="86" t="n">
        <x:v>-4460.64539498</x:v>
      </x:c>
      <x:c r="L24" s="86" t="n">
        <x:v>137.85838841</x:v>
      </x:c>
      <x:c r="M24" s="86" t="n">
        <x:v>47.83234101</x:v>
      </x:c>
      <x:c r="N24" s="83" t="n">
        <x:v>1</x:v>
      </x:c>
      <x:c r="O24" s="86" t="n">
        <x:v>-4550.67144238</x:v>
      </x:c>
      <x:c r="P24" s="86" t="n">
        <x:v>27.57167767</x:v>
      </x:c>
      <x:c r="Q24" s="83" t="n">
        <x:v>822</x:v>
      </x:c>
      <x:c r="R24" s="89" t="n">
        <x:v>-4523.09976471</x:v>
      </x:c>
      <x:c r="S24" s="68" t="str">
        <x:v>LOSS</x:v>
      </x:c>
      <x:c r="T24" s="75" t="str">
        <x:v>OBSERVED_EVENT_SUM</x:v>
      </x:c>
      <x:c r="U24" s="75" t="str">
        <x:v>NONE</x:v>
      </x:c>
    </x:row>
    <x:row r="25">
      <x:c r="A25" s="68" t="str">
        <x:v>S05-CYC-e3da07704ccef18d149f01e2</x:v>
      </x:c>
      <x:c r="B25" s="68" t="str">
        <x:v>ACTIVE</x:v>
      </x:c>
      <x:c r="C25" s="68" t="str">
        <x:v>K03-ACT-E3DA07704CCEF18D149F01E2</x:v>
      </x:c>
      <x:c r="D25" s="68" t="str">
        <x:v>T021</x:v>
      </x:c>
      <x:c r="E25" s="68" t="str">
        <x:v>BNBUSDT</x:v>
      </x:c>
      <x:c r="F25" s="68" t="str">
        <x:v>LONG</x:v>
      </x:c>
      <x:c r="G25" s="80" t="n">
        <x:v>46173.08083333333</x:v>
      </x:c>
      <x:c r="H25" s="80" t="n">
        <x:v>46173.08217592593</x:v>
      </x:c>
      <x:c r="I25" s="83" t="n">
        <x:v>31</x:v>
      </x:c>
      <x:c r="J25" s="83" t="n">
        <x:v>160</x:v>
      </x:c>
      <x:c r="K25" s="86" t="n">
        <x:v>222.11069995</x:v>
      </x:c>
      <x:c r="L25" s="86" t="n">
        <x:v>149.8410553</x:v>
      </x:c>
      <x:c r="M25" s="86" t="n">
        <x:v>0</x:v>
      </x:c>
      <x:c r="N25" s="83" t="n">
        <x:v>0</x:v>
      </x:c>
      <x:c r="O25" s="86" t="n">
        <x:v>72.26964465</x:v>
      </x:c>
      <x:c r="P25" s="86" t="n">
        <x:v>29.96821107</x:v>
      </x:c>
      <x:c r="Q25" s="83" t="n">
        <x:v>160</x:v>
      </x:c>
      <x:c r="R25" s="89" t="n">
        <x:v>102.23785572</x:v>
      </x:c>
      <x:c r="S25" s="68" t="str">
        <x:v>WIN</x:v>
      </x:c>
      <x:c r="T25" s="75" t="str">
        <x:v>EXACT_ZERO_AFTER_COMPLETE_54_EVENT_COVERAGE</x:v>
      </x:c>
      <x:c r="U25" s="75" t="str">
        <x:v>NONE</x:v>
      </x:c>
    </x:row>
    <x:row r="26">
      <x:c r="A26" s="68" t="str">
        <x:v>S05-CYC-5655fe3fffdf1b15d6fceca4</x:v>
      </x:c>
      <x:c r="B26" s="68" t="str">
        <x:v>ACTIVE</x:v>
      </x:c>
      <x:c r="C26" s="68" t="str">
        <x:v>K03-ACT-5655FE3FFFDF1B15D6FCECA4</x:v>
      </x:c>
      <x:c r="D26" s="68" t="str">
        <x:v>T022</x:v>
      </x:c>
      <x:c r="E26" s="68" t="str">
        <x:v>BNBUSDT</x:v>
      </x:c>
      <x:c r="F26" s="68" t="str">
        <x:v>LONG</x:v>
      </x:c>
      <x:c r="G26" s="80" t="n">
        <x:v>46173.13216435185</x:v>
      </x:c>
      <x:c r="H26" s="80" t="n">
        <x:v>46173.136145833334</x:v>
      </x:c>
      <x:c r="I26" s="83" t="n">
        <x:v>32</x:v>
      </x:c>
      <x:c r="J26" s="83" t="n">
        <x:v>226</x:v>
      </x:c>
      <x:c r="K26" s="86" t="n">
        <x:v>359.94339998</x:v>
      </x:c>
      <x:c r="L26" s="86" t="n">
        <x:v>133.30490345</x:v>
      </x:c>
      <x:c r="M26" s="86" t="n">
        <x:v>0</x:v>
      </x:c>
      <x:c r="N26" s="83" t="n">
        <x:v>0</x:v>
      </x:c>
      <x:c r="O26" s="86" t="n">
        <x:v>226.63849653</x:v>
      </x:c>
      <x:c r="P26" s="86" t="n">
        <x:v>26.6609807</x:v>
      </x:c>
      <x:c r="Q26" s="83" t="n">
        <x:v>226</x:v>
      </x:c>
      <x:c r="R26" s="89" t="n">
        <x:v>253.29947723</x:v>
      </x:c>
      <x:c r="S26" s="68" t="str">
        <x:v>WIN</x:v>
      </x:c>
      <x:c r="T26" s="75" t="str">
        <x:v>EXACT_ZERO_AFTER_COMPLETE_54_EVENT_COVERAGE</x:v>
      </x:c>
      <x:c r="U26" s="75" t="str">
        <x:v>NONE</x:v>
      </x:c>
    </x:row>
    <x:row r="27">
      <x:c r="A27" s="68" t="str">
        <x:v>S05-CYC-aa2c4e04216bcc4068ff08e4</x:v>
      </x:c>
      <x:c r="B27" s="68" t="str">
        <x:v>ACTIVE</x:v>
      </x:c>
      <x:c r="C27" s="68" t="str">
        <x:v>K03-ACT-AA2C4E04216BCC4068FF08E4</x:v>
      </x:c>
      <x:c r="D27" s="68" t="str">
        <x:v>T023</x:v>
      </x:c>
      <x:c r="E27" s="68" t="str">
        <x:v>BNBUSDT</x:v>
      </x:c>
      <x:c r="F27" s="68" t="str">
        <x:v>SHORT</x:v>
      </x:c>
      <x:c r="G27" s="80" t="n">
        <x:v>46173.15283564814</x:v>
      </x:c>
      <x:c r="H27" s="80" t="n">
        <x:v>46173.1559837963</x:v>
      </x:c>
      <x:c r="I27" s="83" t="n">
        <x:v>33</x:v>
      </x:c>
      <x:c r="J27" s="83" t="n">
        <x:v>77</x:v>
      </x:c>
      <x:c r="K27" s="86" t="n">
        <x:v>167.87089969</x:v>
      </x:c>
      <x:c r="L27" s="86" t="n">
        <x:v>125.28781453</x:v>
      </x:c>
      <x:c r="M27" s="86" t="n">
        <x:v>0</x:v>
      </x:c>
      <x:c r="N27" s="83" t="n">
        <x:v>0</x:v>
      </x:c>
      <x:c r="O27" s="86" t="n">
        <x:v>42.58308516</x:v>
      </x:c>
      <x:c r="P27" s="86" t="n">
        <x:v>25.05756292</x:v>
      </x:c>
      <x:c r="Q27" s="83" t="n">
        <x:v>77</x:v>
      </x:c>
      <x:c r="R27" s="89" t="n">
        <x:v>67.64064808</x:v>
      </x:c>
      <x:c r="S27" s="68" t="str">
        <x:v>WIN</x:v>
      </x:c>
      <x:c r="T27" s="75" t="str">
        <x:v>EXACT_ZERO_AFTER_COMPLETE_54_EVENT_COVERAGE</x:v>
      </x:c>
      <x:c r="U27" s="75" t="str">
        <x:v>NONE</x:v>
      </x:c>
    </x:row>
    <x:row r="28">
      <x:c r="A28" s="68" t="str">
        <x:v>S05-CYC-4d9ab6c4634c48136bb62e49</x:v>
      </x:c>
      <x:c r="B28" s="68" t="str">
        <x:v>ACTIVE</x:v>
      </x:c>
      <x:c r="C28" s="68" t="str">
        <x:v>K03-ACT-4D9AB6C4634C48136BB62E49</x:v>
      </x:c>
      <x:c r="D28" s="68" t="str">
        <x:v>T024</x:v>
      </x:c>
      <x:c r="E28" s="68" t="str">
        <x:v>BNBUSDT</x:v>
      </x:c>
      <x:c r="F28" s="68" t="str">
        <x:v>SHORT</x:v>
      </x:c>
      <x:c r="G28" s="80" t="n">
        <x:v>46173.15662037037</x:v>
      </x:c>
      <x:c r="H28" s="80" t="n">
        <x:v>46173.16605324074</x:v>
      </x:c>
      <x:c r="I28" s="83" t="n">
        <x:v>34</x:v>
      </x:c>
      <x:c r="J28" s="83" t="n">
        <x:v>80</x:v>
      </x:c>
      <x:c r="K28" s="86" t="n">
        <x:v>58.90429993</x:v>
      </x:c>
      <x:c r="L28" s="86" t="n">
        <x:v>76.37835559</x:v>
      </x:c>
      <x:c r="M28" s="86" t="n">
        <x:v>0</x:v>
      </x:c>
      <x:c r="N28" s="83" t="n">
        <x:v>0</x:v>
      </x:c>
      <x:c r="O28" s="86" t="n">
        <x:v>-17.47405566</x:v>
      </x:c>
      <x:c r="P28" s="86" t="n">
        <x:v>15.27567112</x:v>
      </x:c>
      <x:c r="Q28" s="83" t="n">
        <x:v>80</x:v>
      </x:c>
      <x:c r="R28" s="89" t="n">
        <x:v>-2.19838454</x:v>
      </x:c>
      <x:c r="S28" s="68" t="str">
        <x:v>LOSS</x:v>
      </x:c>
      <x:c r="T28" s="75" t="str">
        <x:v>EXACT_ZERO_AFTER_COMPLETE_54_EVENT_COVERAGE</x:v>
      </x:c>
      <x:c r="U28" s="75" t="str">
        <x:v>NONE</x:v>
      </x:c>
    </x:row>
    <x:row r="29">
      <x:c r="A29" s="68" t="str">
        <x:v>S05-CYC-31a2e6112dd1178733ce9ca3</x:v>
      </x:c>
      <x:c r="B29" s="68" t="str">
        <x:v>ACTIVE</x:v>
      </x:c>
      <x:c r="C29" s="68" t="str">
        <x:v>K03-ACT-31A2E6112DD1178733CE9CA3</x:v>
      </x:c>
      <x:c r="D29" s="68" t="str">
        <x:v>T025</x:v>
      </x:c>
      <x:c r="E29" s="68" t="str">
        <x:v>BNBUSDT</x:v>
      </x:c>
      <x:c r="F29" s="68" t="str">
        <x:v>LONG</x:v>
      </x:c>
      <x:c r="G29" s="80" t="n">
        <x:v>46173.64158564815</x:v>
      </x:c>
      <x:c r="H29" s="80" t="n">
        <x:v>46173.75512731481</x:v>
      </x:c>
      <x:c r="I29" s="83" t="n">
        <x:v>35</x:v>
      </x:c>
      <x:c r="J29" s="83" t="n">
        <x:v>57</x:v>
      </x:c>
      <x:c r="K29" s="86" t="n">
        <x:v>134.9999998</x:v>
      </x:c>
      <x:c r="L29" s="86" t="n">
        <x:v>86.82539998</x:v>
      </x:c>
      <x:c r="M29" s="86" t="n">
        <x:v>0</x:v>
      </x:c>
      <x:c r="N29" s="83" t="n">
        <x:v>0</x:v>
      </x:c>
      <x:c r="O29" s="86" t="n">
        <x:v>48.17459982</x:v>
      </x:c>
      <x:c r="P29" s="86" t="n">
        <x:v>17.36508002</x:v>
      </x:c>
      <x:c r="Q29" s="83" t="n">
        <x:v>57</x:v>
      </x:c>
      <x:c r="R29" s="89" t="n">
        <x:v>65.53967984</x:v>
      </x:c>
      <x:c r="S29" s="68" t="str">
        <x:v>WIN</x:v>
      </x:c>
      <x:c r="T29" s="75" t="str">
        <x:v>EXACT_ZERO_AFTER_COMPLETE_54_EVENT_COVERAGE</x:v>
      </x:c>
      <x:c r="U29" s="75" t="str">
        <x:v>NONE</x:v>
      </x:c>
    </x:row>
    <x:row r="30">
      <x:c r="A30" s="68" t="str">
        <x:v>S05-CYC-72594aa6145dc016ea92f48e</x:v>
      </x:c>
      <x:c r="B30" s="68" t="str">
        <x:v>ACTIVE</x:v>
      </x:c>
      <x:c r="C30" s="68" t="str">
        <x:v>K03-ACT-72594AA6145DC016EA92F48E</x:v>
      </x:c>
      <x:c r="D30" s="68" t="str">
        <x:v>T026</x:v>
      </x:c>
      <x:c r="E30" s="68" t="str">
        <x:v>BTCUSDT</x:v>
      </x:c>
      <x:c r="F30" s="68" t="str">
        <x:v>LONG</x:v>
      </x:c>
      <x:c r="G30" s="80" t="n">
        <x:v>46173.10296296296</x:v>
      </x:c>
      <x:c r="H30" s="80" t="n">
        <x:v>46173.92645833333</x:v>
      </x:c>
      <x:c r="I30" s="83" t="n">
        <x:v>36</x:v>
      </x:c>
      <x:c r="J30" s="83" t="n">
        <x:v>14</x:v>
      </x:c>
      <x:c r="K30" s="86" t="n">
        <x:v>-380.7</x:v>
      </x:c>
      <x:c r="L30" s="86" t="n">
        <x:v>154.92405</x:v>
      </x:c>
      <x:c r="M30" s="86" t="n">
        <x:v>-14.90903516</x:v>
      </x:c>
      <x:c r="N30" s="83" t="n">
        <x:v>2</x:v>
      </x:c>
      <x:c r="O30" s="86" t="n">
        <x:v>-550.53308516</x:v>
      </x:c>
      <x:c r="P30" s="86" t="n">
        <x:v>30.98481</x:v>
      </x:c>
      <x:c r="Q30" s="83" t="n">
        <x:v>14</x:v>
      </x:c>
      <x:c r="R30" s="89" t="n">
        <x:v>-519.54827516</x:v>
      </x:c>
      <x:c r="S30" s="68" t="str">
        <x:v>LOSS</x:v>
      </x:c>
      <x:c r="T30" s="75" t="str">
        <x:v>OBSERVED_EVENT_SUM</x:v>
      </x:c>
      <x:c r="U30" s="75" t="str">
        <x:v>NONE</x:v>
      </x:c>
    </x:row>
    <x:row r="31">
      <x:c r="A31" s="68" t="str">
        <x:v>S05-CYC-14623d98aa55518858554c6f</x:v>
      </x:c>
      <x:c r="B31" s="68" t="str">
        <x:v>ACTIVE</x:v>
      </x:c>
      <x:c r="C31" s="68" t="str">
        <x:v>K03-ACT-14623D98AA55518858554C6F</x:v>
      </x:c>
      <x:c r="D31" s="68" t="str">
        <x:v>T027</x:v>
      </x:c>
      <x:c r="E31" s="68" t="str">
        <x:v>BNBUSDT</x:v>
      </x:c>
      <x:c r="F31" s="68" t="str">
        <x:v>SHORT</x:v>
      </x:c>
      <x:c r="G31" s="80" t="n">
        <x:v>46173.92450231481</x:v>
      </x:c>
      <x:c r="H31" s="80" t="n">
        <x:v>46173.92706018519</x:v>
      </x:c>
      <x:c r="I31" s="83" t="n">
        <x:v>37</x:v>
      </x:c>
      <x:c r="J31" s="83" t="n">
        <x:v>10</x:v>
      </x:c>
      <x:c r="K31" s="86" t="n">
        <x:v>830</x:v>
      </x:c>
      <x:c r="L31" s="86" t="n">
        <x:v>58.18999999</x:v>
      </x:c>
      <x:c r="M31" s="86" t="n">
        <x:v>0</x:v>
      </x:c>
      <x:c r="N31" s="83" t="n">
        <x:v>0</x:v>
      </x:c>
      <x:c r="O31" s="86" t="n">
        <x:v>771.81000001</x:v>
      </x:c>
      <x:c r="P31" s="86" t="n">
        <x:v>11.638</x:v>
      </x:c>
      <x:c r="Q31" s="83" t="n">
        <x:v>10</x:v>
      </x:c>
      <x:c r="R31" s="89" t="n">
        <x:v>783.44800001</x:v>
      </x:c>
      <x:c r="S31" s="68" t="str">
        <x:v>WIN</x:v>
      </x:c>
      <x:c r="T31" s="75" t="str">
        <x:v>EXACT_ZERO_AFTER_COMPLETE_54_EVENT_COVERAGE</x:v>
      </x:c>
      <x:c r="U31" s="75" t="str">
        <x:v>NONE</x:v>
      </x:c>
    </x:row>
    <x:row r="32">
      <x:c r="A32" s="68" t="str">
        <x:v>S05-CYC-6e1f648610e2f270922bd545</x:v>
      </x:c>
      <x:c r="B32" s="68" t="str">
        <x:v>ACTIVE</x:v>
      </x:c>
      <x:c r="C32" s="68" t="str">
        <x:v>K03-ACT-6E1F648610E2F270922BD545</x:v>
      </x:c>
      <x:c r="D32" s="68" t="str">
        <x:v>T028</x:v>
      </x:c>
      <x:c r="E32" s="68" t="str">
        <x:v>BTCUSDT</x:v>
      </x:c>
      <x:c r="F32" s="68" t="str">
        <x:v>SHORT</x:v>
      </x:c>
      <x:c r="G32" s="80" t="n">
        <x:v>46174.02679398148</x:v>
      </x:c>
      <x:c r="H32" s="80" t="n">
        <x:v>46174.25277777778</x:v>
      </x:c>
      <x:c r="I32" s="83" t="n">
        <x:v>38</x:v>
      </x:c>
      <x:c r="J32" s="83" t="n">
        <x:v>19</x:v>
      </x:c>
      <x:c r="K32" s="86" t="n">
        <x:v>249.99999997</x:v>
      </x:c>
      <x:c r="L32" s="86" t="n">
        <x:v>294.69399998</x:v>
      </x:c>
      <x:c r="M32" s="86" t="n">
        <x:v>0</x:v>
      </x:c>
      <x:c r="N32" s="83" t="n">
        <x:v>0</x:v>
      </x:c>
      <x:c r="O32" s="86" t="n">
        <x:v>-44.69400001</x:v>
      </x:c>
      <x:c r="P32" s="86" t="n">
        <x:v>58.9388</x:v>
      </x:c>
      <x:c r="Q32" s="83" t="n">
        <x:v>19</x:v>
      </x:c>
      <x:c r="R32" s="89" t="n">
        <x:v>14.24479999</x:v>
      </x:c>
      <x:c r="S32" s="68" t="str">
        <x:v>WIN</x:v>
      </x:c>
      <x:c r="T32" s="75" t="str">
        <x:v>EXACT_ZERO_AFTER_COMPLETE_54_EVENT_COVERAGE</x:v>
      </x:c>
      <x:c r="U32" s="75" t="str">
        <x:v>NONE</x:v>
      </x:c>
    </x:row>
    <x:row r="33">
      <x:c r="A33" s="68" t="str">
        <x:v>S05-CYC-7f70fdbe0419ceb1dec88602</x:v>
      </x:c>
      <x:c r="B33" s="68" t="str">
        <x:v>ACTIVE</x:v>
      </x:c>
      <x:c r="C33" s="68" t="str">
        <x:v>K03-ACT-7F70FDBE0419CEB1DEC88602</x:v>
      </x:c>
      <x:c r="D33" s="68" t="str">
        <x:v>T029</x:v>
      </x:c>
      <x:c r="E33" s="68" t="str">
        <x:v>BTCUSDT</x:v>
      </x:c>
      <x:c r="F33" s="68" t="str">
        <x:v>SHORT</x:v>
      </x:c>
      <x:c r="G33" s="80" t="n">
        <x:v>46174.29430555555</x:v>
      </x:c>
      <x:c r="H33" s="80" t="n">
        <x:v>46174.396574074075</x:v>
      </x:c>
      <x:c r="I33" s="83" t="n">
        <x:v>39</x:v>
      </x:c>
      <x:c r="J33" s="83" t="n">
        <x:v>3</x:v>
      </x:c>
      <x:c r="K33" s="86" t="n">
        <x:v>555</x:v>
      </x:c>
      <x:c r="L33" s="86" t="n">
        <x:v>29.5334</x:v>
      </x:c>
      <x:c r="M33" s="86" t="n">
        <x:v>4.2004629</x:v>
      </x:c>
      <x:c r="N33" s="83" t="n">
        <x:v>1</x:v>
      </x:c>
      <x:c r="O33" s="86" t="n">
        <x:v>529.6670629</x:v>
      </x:c>
      <x:c r="P33" s="86" t="n">
        <x:v>5.90668</x:v>
      </x:c>
      <x:c r="Q33" s="83" t="n">
        <x:v>3</x:v>
      </x:c>
      <x:c r="R33" s="89" t="n">
        <x:v>535.5737429</x:v>
      </x:c>
      <x:c r="S33" s="68" t="str">
        <x:v>WIN</x:v>
      </x:c>
      <x:c r="T33" s="75" t="str">
        <x:v>OBSERVED_EVENT_SUM</x:v>
      </x:c>
      <x:c r="U33" s="75" t="str">
        <x:v>NONE</x:v>
      </x:c>
    </x:row>
    <x:row r="34">
      <x:c r="A34" s="68" t="str">
        <x:v>S05-CYC-b9396ba9c2cfa9b6f33bcd0e</x:v>
      </x:c>
      <x:c r="B34" s="68" t="str">
        <x:v>ACTIVE</x:v>
      </x:c>
      <x:c r="C34" s="68" t="str">
        <x:v>K03-ACT-B9396BA9C2CFA9B6F33BCD0E</x:v>
      </x:c>
      <x:c r="D34" s="68" t="str">
        <x:v>T030</x:v>
      </x:c>
      <x:c r="E34" s="68" t="str">
        <x:v>BNBUSDT</x:v>
      </x:c>
      <x:c r="F34" s="68" t="str">
        <x:v>LONG</x:v>
      </x:c>
      <x:c r="G34" s="80" t="n">
        <x:v>46174.44678240741</x:v>
      </x:c>
      <x:c r="H34" s="80" t="n">
        <x:v>46174.46078703704</x:v>
      </x:c>
      <x:c r="I34" s="83" t="n">
        <x:v>40</x:v>
      </x:c>
      <x:c r="J34" s="83" t="n">
        <x:v>46</x:v>
      </x:c>
      <x:c r="K34" s="86" t="n">
        <x:v>69.531</x:v>
      </x:c>
      <x:c r="L34" s="86" t="n">
        <x:v>65.66600347</x:v>
      </x:c>
      <x:c r="M34" s="86" t="n">
        <x:v>0</x:v>
      </x:c>
      <x:c r="N34" s="83" t="n">
        <x:v>0</x:v>
      </x:c>
      <x:c r="O34" s="86" t="n">
        <x:v>3.86499653</x:v>
      </x:c>
      <x:c r="P34" s="86" t="n">
        <x:v>13.13320073</x:v>
      </x:c>
      <x:c r="Q34" s="83" t="n">
        <x:v>46</x:v>
      </x:c>
      <x:c r="R34" s="89" t="n">
        <x:v>16.99819726</x:v>
      </x:c>
      <x:c r="S34" s="68" t="str">
        <x:v>WIN</x:v>
      </x:c>
      <x:c r="T34" s="75" t="str">
        <x:v>EXACT_ZERO_AFTER_COMPLETE_54_EVENT_COVERAGE</x:v>
      </x:c>
      <x:c r="U34" s="75" t="str">
        <x:v>NONE</x:v>
      </x:c>
    </x:row>
    <x:row r="35">
      <x:c r="A35" s="68" t="str">
        <x:v>S05-CYC-c2b797a4e1520b3068e904f7</x:v>
      </x:c>
      <x:c r="B35" s="68" t="str">
        <x:v>ACTIVE</x:v>
      </x:c>
      <x:c r="C35" s="68" t="str">
        <x:v>K03-ACT-C2B797A4E1520B3068E904F7</x:v>
      </x:c>
      <x:c r="D35" s="68" t="str">
        <x:v>T031</x:v>
      </x:c>
      <x:c r="E35" s="68" t="str">
        <x:v>INTCUSDT</x:v>
      </x:c>
      <x:c r="F35" s="68" t="str">
        <x:v>SHORT</x:v>
      </x:c>
      <x:c r="G35" s="80" t="n">
        <x:v>46174.470405092594</x:v>
      </x:c>
      <x:c r="H35" s="80" t="n">
        <x:v>46174.47109953704</x:v>
      </x:c>
      <x:c r="I35" s="83" t="n">
        <x:v>41</x:v>
      </x:c>
      <x:c r="J35" s="83" t="n">
        <x:v>2</x:v>
      </x:c>
      <x:c r="K35" s="86" t="n">
        <x:v>2.7888</x:v>
      </x:c>
      <x:c r="L35" s="86" t="n">
        <x:v>0</x:v>
      </x:c>
      <x:c r="M35" s="86" t="n">
        <x:v>0</x:v>
      </x:c>
      <x:c r="N35" s="83" t="n">
        <x:v>0</x:v>
      </x:c>
      <x:c r="O35" s="86" t="n">
        <x:v>2.7888</x:v>
      </x:c>
      <x:c r="P35" s="86" t="n">
        <x:v>0</x:v>
      </x:c>
      <x:c r="Q35" s="83" t="n">
        <x:v>0</x:v>
      </x:c>
      <x:c r="R35" s="89" t="n">
        <x:v>2.7888</x:v>
      </x:c>
      <x:c r="S35" s="68" t="str">
        <x:v>WIN</x:v>
      </x:c>
      <x:c r="T35" s="75" t="str">
        <x:v>EXACT_ZERO_AFTER_COMPLETE_54_EVENT_COVERAGE</x:v>
      </x:c>
      <x:c r="U35" s="75" t="str">
        <x:v>NONE</x:v>
      </x:c>
    </x:row>
    <x:row r="36">
      <x:c r="A36" s="68" t="str">
        <x:v>S05-CYC-ca1e2d378f7d73431e5a1673</x:v>
      </x:c>
      <x:c r="B36" s="68" t="str">
        <x:v>ACTIVE</x:v>
      </x:c>
      <x:c r="C36" s="68" t="str">
        <x:v>K03-ACT-CA1E2D378F7D73431E5A1673</x:v>
      </x:c>
      <x:c r="D36" s="68" t="str">
        <x:v>T032</x:v>
      </x:c>
      <x:c r="E36" s="68" t="str">
        <x:v>MUUSDT</x:v>
      </x:c>
      <x:c r="F36" s="68" t="str">
        <x:v>SHORT</x:v>
      </x:c>
      <x:c r="G36" s="80" t="n">
        <x:v>46174.818449074075</x:v>
      </x:c>
      <x:c r="H36" s="80" t="n">
        <x:v>46174.82193287037</x:v>
      </x:c>
      <x:c r="I36" s="83" t="n">
        <x:v>42</x:v>
      </x:c>
      <x:c r="J36" s="83" t="n">
        <x:v>33</x:v>
      </x:c>
      <x:c r="K36" s="86" t="n">
        <x:v>21.89199999</x:v>
      </x:c>
      <x:c r="L36" s="86" t="n">
        <x:v>6.57413116</x:v>
      </x:c>
      <x:c r="M36" s="86" t="n">
        <x:v>0</x:v>
      </x:c>
      <x:c r="N36" s="83" t="n">
        <x:v>0</x:v>
      </x:c>
      <x:c r="O36" s="86" t="n">
        <x:v>15.31786883</x:v>
      </x:c>
      <x:c r="P36" s="86" t="n">
        <x:v>1.31482625</x:v>
      </x:c>
      <x:c r="Q36" s="83" t="n">
        <x:v>31</x:v>
      </x:c>
      <x:c r="R36" s="89" t="n">
        <x:v>16.63269508</x:v>
      </x:c>
      <x:c r="S36" s="68" t="str">
        <x:v>WIN</x:v>
      </x:c>
      <x:c r="T36" s="75" t="str">
        <x:v>EXACT_ZERO_AFTER_COMPLETE_54_EVENT_COVERAGE</x:v>
      </x:c>
      <x:c r="U36" s="75" t="str">
        <x:v>NONE</x:v>
      </x:c>
    </x:row>
    <x:row r="37">
      <x:c r="A37" s="68" t="str">
        <x:v>S05-CYC-862a69143030ee555082641d</x:v>
      </x:c>
      <x:c r="B37" s="68" t="str">
        <x:v>ACTIVE</x:v>
      </x:c>
      <x:c r="C37" s="68" t="str">
        <x:v>K03-ACT-862A69143030EE555082641D</x:v>
      </x:c>
      <x:c r="D37" s="68" t="str">
        <x:v>T033</x:v>
      </x:c>
      <x:c r="E37" s="68" t="str">
        <x:v>BTCUSDT</x:v>
      </x:c>
      <x:c r="F37" s="68" t="str">
        <x:v>LONG</x:v>
      </x:c>
      <x:c r="G37" s="80" t="n">
        <x:v>46174.83589120371</x:v>
      </x:c>
      <x:c r="H37" s="80" t="n">
        <x:v>46174.83813657408</x:v>
      </x:c>
      <x:c r="I37" s="83" t="n">
        <x:v>43</x:v>
      </x:c>
      <x:c r="J37" s="83" t="n">
        <x:v>37</x:v>
      </x:c>
      <x:c r="K37" s="86" t="n">
        <x:v>281.80079999</x:v>
      </x:c>
      <x:c r="L37" s="86" t="n">
        <x:v>202.36530032</x:v>
      </x:c>
      <x:c r="M37" s="86" t="n">
        <x:v>0</x:v>
      </x:c>
      <x:c r="N37" s="83" t="n">
        <x:v>0</x:v>
      </x:c>
      <x:c r="O37" s="86" t="n">
        <x:v>79.43549967</x:v>
      </x:c>
      <x:c r="P37" s="86" t="n">
        <x:v>40.47306008</x:v>
      </x:c>
      <x:c r="Q37" s="83" t="n">
        <x:v>37</x:v>
      </x:c>
      <x:c r="R37" s="89" t="n">
        <x:v>119.90855975</x:v>
      </x:c>
      <x:c r="S37" s="68" t="str">
        <x:v>WIN</x:v>
      </x:c>
      <x:c r="T37" s="75" t="str">
        <x:v>EXACT_ZERO_AFTER_COMPLETE_54_EVENT_COVERAGE</x:v>
      </x:c>
      <x:c r="U37" s="75" t="str">
        <x:v>NONE</x:v>
      </x:c>
    </x:row>
    <x:row r="38">
      <x:c r="A38" s="68" t="str">
        <x:v>S05-CYC-23d2e923af68247e681e3dc0</x:v>
      </x:c>
      <x:c r="B38" s="68" t="str">
        <x:v>ACTIVE</x:v>
      </x:c>
      <x:c r="C38" s="68" t="str">
        <x:v>K03-ACT-23D2E923AF68247E681E3DC0</x:v>
      </x:c>
      <x:c r="D38" s="68" t="str">
        <x:v>T034</x:v>
      </x:c>
      <x:c r="E38" s="68" t="str">
        <x:v>BTCUSDT</x:v>
      </x:c>
      <x:c r="F38" s="68" t="str">
        <x:v>LONG</x:v>
      </x:c>
      <x:c r="G38" s="80" t="n">
        <x:v>46174.84105324074</x:v>
      </x:c>
      <x:c r="H38" s="80" t="n">
        <x:v>46174.84143518518</x:v>
      </x:c>
      <x:c r="I38" s="83" t="n">
        <x:v>44</x:v>
      </x:c>
      <x:c r="J38" s="83" t="n">
        <x:v>9</x:v>
      </x:c>
      <x:c r="K38" s="86" t="n">
        <x:v>390.4</x:v>
      </x:c>
      <x:c r="L38" s="86" t="n">
        <x:v>201.4844</x:v>
      </x:c>
      <x:c r="M38" s="86" t="n">
        <x:v>0</x:v>
      </x:c>
      <x:c r="N38" s="83" t="n">
        <x:v>0</x:v>
      </x:c>
      <x:c r="O38" s="86" t="n">
        <x:v>188.9156</x:v>
      </x:c>
      <x:c r="P38" s="86" t="n">
        <x:v>40.29688</x:v>
      </x:c>
      <x:c r="Q38" s="83" t="n">
        <x:v>9</x:v>
      </x:c>
      <x:c r="R38" s="89" t="n">
        <x:v>229.21248</x:v>
      </x:c>
      <x:c r="S38" s="68" t="str">
        <x:v>WIN</x:v>
      </x:c>
      <x:c r="T38" s="75" t="str">
        <x:v>EXACT_ZERO_AFTER_COMPLETE_54_EVENT_COVERAGE</x:v>
      </x:c>
      <x:c r="U38" s="75" t="str">
        <x:v>NONE</x:v>
      </x:c>
    </x:row>
    <x:row r="39">
      <x:c r="A39" s="68" t="str">
        <x:v>S05-CYC-e8dd90bf16aa2a8fa6ec5f62</x:v>
      </x:c>
      <x:c r="B39" s="68" t="str">
        <x:v>ACTIVE</x:v>
      </x:c>
      <x:c r="C39" s="68" t="str">
        <x:v>K03-ACT-E8DD90BF16AA2A8FA6EC5F62</x:v>
      </x:c>
      <x:c r="D39" s="68" t="str">
        <x:v>T035</x:v>
      </x:c>
      <x:c r="E39" s="68" t="str">
        <x:v>MUUSDT</x:v>
      </x:c>
      <x:c r="F39" s="68" t="str">
        <x:v>SHORT</x:v>
      </x:c>
      <x:c r="G39" s="80" t="n">
        <x:v>46174.848229166666</x:v>
      </x:c>
      <x:c r="H39" s="80" t="n">
        <x:v>46174.85155092593</x:v>
      </x:c>
      <x:c r="I39" s="83" t="n">
        <x:v>45</x:v>
      </x:c>
      <x:c r="J39" s="83" t="n">
        <x:v>45</x:v>
      </x:c>
      <x:c r="K39" s="86" t="n">
        <x:v>139.99999999</x:v>
      </x:c>
      <x:c r="L39" s="86" t="n">
        <x:v>0</x:v>
      </x:c>
      <x:c r="M39" s="86" t="n">
        <x:v>0</x:v>
      </x:c>
      <x:c r="N39" s="83" t="n">
        <x:v>0</x:v>
      </x:c>
      <x:c r="O39" s="86" t="n">
        <x:v>139.99999999</x:v>
      </x:c>
      <x:c r="P39" s="86" t="n">
        <x:v>0</x:v>
      </x:c>
      <x:c r="Q39" s="83" t="n">
        <x:v>0</x:v>
      </x:c>
      <x:c r="R39" s="89" t="n">
        <x:v>139.99999999</x:v>
      </x:c>
      <x:c r="S39" s="68" t="str">
        <x:v>WIN</x:v>
      </x:c>
      <x:c r="T39" s="75" t="str">
        <x:v>EXACT_ZERO_AFTER_COMPLETE_54_EVENT_COVERAGE</x:v>
      </x:c>
      <x:c r="U39" s="75" t="str">
        <x:v>NONE</x:v>
      </x:c>
    </x:row>
    <x:row r="40">
      <x:c r="A40" s="68" t="str">
        <x:v>S05-CYC-9ba8a80e486253706e3fbf6b</x:v>
      </x:c>
      <x:c r="B40" s="68" t="str">
        <x:v>ACTIVE</x:v>
      </x:c>
      <x:c r="C40" s="68" t="str">
        <x:v>K03-ACT-9BA8A80E486253706E3FBF6B</x:v>
      </x:c>
      <x:c r="D40" s="68" t="str">
        <x:v>T036</x:v>
      </x:c>
      <x:c r="E40" s="68" t="str">
        <x:v>HYPEUSDT</x:v>
      </x:c>
      <x:c r="F40" s="68" t="str">
        <x:v>LONG</x:v>
      </x:c>
      <x:c r="G40" s="80" t="n">
        <x:v>46174.85815972222</x:v>
      </x:c>
      <x:c r="H40" s="80" t="n">
        <x:v>46174.86090277778</x:v>
      </x:c>
      <x:c r="I40" s="83" t="n">
        <x:v>46</x:v>
      </x:c>
      <x:c r="J40" s="83" t="n">
        <x:v>88</x:v>
      </x:c>
      <x:c r="K40" s="86" t="n">
        <x:v>92.83699999</x:v>
      </x:c>
      <x:c r="L40" s="86" t="n">
        <x:v>32.03394626</x:v>
      </x:c>
      <x:c r="M40" s="86" t="n">
        <x:v>0</x:v>
      </x:c>
      <x:c r="N40" s="83" t="n">
        <x:v>0</x:v>
      </x:c>
      <x:c r="O40" s="86" t="n">
        <x:v>60.80305373</x:v>
      </x:c>
      <x:c r="P40" s="86" t="n">
        <x:v>6.40678927</x:v>
      </x:c>
      <x:c r="Q40" s="83" t="n">
        <x:v>88</x:v>
      </x:c>
      <x:c r="R40" s="89" t="n">
        <x:v>67.209843</x:v>
      </x:c>
      <x:c r="S40" s="68" t="str">
        <x:v>WIN</x:v>
      </x:c>
      <x:c r="T40" s="75" t="str">
        <x:v>EXACT_ZERO_AFTER_COMPLETE_54_EVENT_COVERAGE</x:v>
      </x:c>
      <x:c r="U40" s="75" t="str">
        <x:v>NONE</x:v>
      </x:c>
    </x:row>
    <x:row r="41">
      <x:c r="A41" s="68" t="str">
        <x:v>S05-CYC-8520c2914c37f3d47bbe4312</x:v>
      </x:c>
      <x:c r="B41" s="68" t="str">
        <x:v>ACTIVE</x:v>
      </x:c>
      <x:c r="C41" s="68" t="str">
        <x:v>K03-ACT-8520C2914C37F3D47BBE4312</x:v>
      </x:c>
      <x:c r="D41" s="68" t="str">
        <x:v>T037</x:v>
      </x:c>
      <x:c r="E41" s="68" t="str">
        <x:v>BNBUSDT</x:v>
      </x:c>
      <x:c r="F41" s="68" t="str">
        <x:v>SHORT</x:v>
      </x:c>
      <x:c r="G41" s="80" t="n">
        <x:v>46174.87783564815</x:v>
      </x:c>
      <x:c r="H41" s="80" t="n">
        <x:v>46174.88665509259</x:v>
      </x:c>
      <x:c r="I41" s="83" t="n">
        <x:v>47</x:v>
      </x:c>
      <x:c r="J41" s="83" t="n">
        <x:v>4</x:v>
      </x:c>
      <x:c r="K41" s="86" t="n">
        <x:v>1.3624</x:v>
      </x:c>
      <x:c r="L41" s="86" t="n">
        <x:v>0.5032768</x:v>
      </x:c>
      <x:c r="M41" s="86" t="n">
        <x:v>0</x:v>
      </x:c>
      <x:c r="N41" s="83" t="n">
        <x:v>0</x:v>
      </x:c>
      <x:c r="O41" s="86" t="n">
        <x:v>0.8591232</x:v>
      </x:c>
      <x:c r="P41" s="86" t="n">
        <x:v>0.10065536</x:v>
      </x:c>
      <x:c r="Q41" s="83" t="n">
        <x:v>4</x:v>
      </x:c>
      <x:c r="R41" s="89" t="n">
        <x:v>0.95977856</x:v>
      </x:c>
      <x:c r="S41" s="68" t="str">
        <x:v>WIN</x:v>
      </x:c>
      <x:c r="T41" s="75" t="str">
        <x:v>EXACT_ZERO_AFTER_COMPLETE_54_EVENT_COVERAGE</x:v>
      </x:c>
      <x:c r="U41" s="75" t="str">
        <x:v>NONE</x:v>
      </x:c>
    </x:row>
    <x:row r="42">
      <x:c r="A42" s="68" t="str">
        <x:v>S05-CYC-71a5ec1acc6b9c53a65ca599</x:v>
      </x:c>
      <x:c r="B42" s="68" t="str">
        <x:v>ACTIVE</x:v>
      </x:c>
      <x:c r="C42" s="68" t="str">
        <x:v>K03-ACT-71A5EC1ACC6B9C53A65CA599</x:v>
      </x:c>
      <x:c r="D42" s="68" t="str">
        <x:v>T038</x:v>
      </x:c>
      <x:c r="E42" s="68" t="str">
        <x:v>MUUSDT</x:v>
      </x:c>
      <x:c r="F42" s="68" t="str">
        <x:v>SHORT</x:v>
      </x:c>
      <x:c r="G42" s="80" t="n">
        <x:v>46174.89586805555</x:v>
      </x:c>
      <x:c r="H42" s="80" t="n">
        <x:v>46174.91473379629</x:v>
      </x:c>
      <x:c r="I42" s="83" t="n">
        <x:v>48</x:v>
      </x:c>
      <x:c r="J42" s="83" t="n">
        <x:v>14</x:v>
      </x:c>
      <x:c r="K42" s="86" t="n">
        <x:v>59.99999991</x:v>
      </x:c>
      <x:c r="L42" s="86" t="n">
        <x:v>0</x:v>
      </x:c>
      <x:c r="M42" s="86" t="n">
        <x:v>0</x:v>
      </x:c>
      <x:c r="N42" s="83" t="n">
        <x:v>0</x:v>
      </x:c>
      <x:c r="O42" s="86" t="n">
        <x:v>59.99999991</x:v>
      </x:c>
      <x:c r="P42" s="86" t="n">
        <x:v>0</x:v>
      </x:c>
      <x:c r="Q42" s="83" t="n">
        <x:v>0</x:v>
      </x:c>
      <x:c r="R42" s="89" t="n">
        <x:v>59.99999991</x:v>
      </x:c>
      <x:c r="S42" s="68" t="str">
        <x:v>WIN</x:v>
      </x:c>
      <x:c r="T42" s="75" t="str">
        <x:v>EXACT_ZERO_AFTER_COMPLETE_54_EVENT_COVERAGE</x:v>
      </x:c>
      <x:c r="U42" s="75" t="str">
        <x:v>NONE</x:v>
      </x:c>
    </x:row>
    <x:row r="43">
      <x:c r="A43" s="68" t="str">
        <x:v>S05-CYC-0d8159f930d3170344cc44f2</x:v>
      </x:c>
      <x:c r="B43" s="68" t="str">
        <x:v>ACTIVE</x:v>
      </x:c>
      <x:c r="C43" s="68" t="str">
        <x:v>K03-ACT-0D8159F930D3170344CC44F2</x:v>
      </x:c>
      <x:c r="D43" s="68" t="str">
        <x:v>T039</x:v>
      </x:c>
      <x:c r="E43" s="68" t="str">
        <x:v>BTCUSDT</x:v>
      </x:c>
      <x:c r="F43" s="68" t="str">
        <x:v>LONG</x:v>
      </x:c>
      <x:c r="G43" s="80" t="n">
        <x:v>46174.92445601852</x:v>
      </x:c>
      <x:c r="H43" s="80" t="n">
        <x:v>46174.929768518516</x:v>
      </x:c>
      <x:c r="I43" s="83" t="n">
        <x:v>49</x:v>
      </x:c>
      <x:c r="J43" s="83" t="n">
        <x:v>11</x:v>
      </x:c>
      <x:c r="K43" s="86" t="n">
        <x:v>104.544</x:v>
      </x:c>
      <x:c r="L43" s="86" t="n">
        <x:v>88.22404799</x:v>
      </x:c>
      <x:c r="M43" s="86" t="n">
        <x:v>0</x:v>
      </x:c>
      <x:c r="N43" s="83" t="n">
        <x:v>0</x:v>
      </x:c>
      <x:c r="O43" s="86" t="n">
        <x:v>16.31995201</x:v>
      </x:c>
      <x:c r="P43" s="86" t="n">
        <x:v>17.6448096</x:v>
      </x:c>
      <x:c r="Q43" s="83" t="n">
        <x:v>11</x:v>
      </x:c>
      <x:c r="R43" s="89" t="n">
        <x:v>33.96476161</x:v>
      </x:c>
      <x:c r="S43" s="68" t="str">
        <x:v>WIN</x:v>
      </x:c>
      <x:c r="T43" s="75" t="str">
        <x:v>EXACT_ZERO_AFTER_COMPLETE_54_EVENT_COVERAGE</x:v>
      </x:c>
      <x:c r="U43" s="75" t="str">
        <x:v>NONE</x:v>
      </x:c>
    </x:row>
    <x:row r="44">
      <x:c r="A44" s="68" t="str">
        <x:v>S05-CYC-2c2575784b61b8d761307369</x:v>
      </x:c>
      <x:c r="B44" s="68" t="str">
        <x:v>ACTIVE</x:v>
      </x:c>
      <x:c r="C44" s="68" t="str">
        <x:v>K03-ACT-2C2575784B61B8D761307369</x:v>
      </x:c>
      <x:c r="D44" s="68" t="str">
        <x:v>T040</x:v>
      </x:c>
      <x:c r="E44" s="68" t="str">
        <x:v>BTCUSDT</x:v>
      </x:c>
      <x:c r="F44" s="68" t="str">
        <x:v>LONG</x:v>
      </x:c>
      <x:c r="G44" s="80" t="n">
        <x:v>46174.978472222225</x:v>
      </x:c>
      <x:c r="H44" s="80" t="n">
        <x:v>46174.99070601852</x:v>
      </x:c>
      <x:c r="I44" s="83" t="n">
        <x:v>50</x:v>
      </x:c>
      <x:c r="J44" s="83" t="n">
        <x:v>32</x:v>
      </x:c>
      <x:c r="K44" s="86" t="n">
        <x:v>362.99999987</x:v>
      </x:c>
      <x:c r="L44" s="86" t="n">
        <x:v>149.46839998</x:v>
      </x:c>
      <x:c r="M44" s="86" t="n">
        <x:v>0</x:v>
      </x:c>
      <x:c r="N44" s="83" t="n">
        <x:v>0</x:v>
      </x:c>
      <x:c r="O44" s="86" t="n">
        <x:v>213.53159989</x:v>
      </x:c>
      <x:c r="P44" s="86" t="n">
        <x:v>29.89368</x:v>
      </x:c>
      <x:c r="Q44" s="83" t="n">
        <x:v>32</x:v>
      </x:c>
      <x:c r="R44" s="89" t="n">
        <x:v>243.42527989</x:v>
      </x:c>
      <x:c r="S44" s="68" t="str">
        <x:v>WIN</x:v>
      </x:c>
      <x:c r="T44" s="75" t="str">
        <x:v>EXACT_ZERO_AFTER_COMPLETE_54_EVENT_COVERAGE</x:v>
      </x:c>
      <x:c r="U44" s="75" t="str">
        <x:v>NONE</x:v>
      </x:c>
    </x:row>
    <x:row r="45">
      <x:c r="A45" s="68" t="str">
        <x:v>S05-CYC-3485b7116b913dde742f634d</x:v>
      </x:c>
      <x:c r="B45" s="68" t="str">
        <x:v>ACTIVE</x:v>
      </x:c>
      <x:c r="C45" s="68" t="str">
        <x:v>K03-ACT-3485B7116B913DDE742F634D</x:v>
      </x:c>
      <x:c r="D45" s="68" t="str">
        <x:v>T041</x:v>
      </x:c>
      <x:c r="E45" s="68" t="str">
        <x:v>BTCUSDT</x:v>
      </x:c>
      <x:c r="F45" s="68" t="str">
        <x:v>LONG</x:v>
      </x:c>
      <x:c r="G45" s="80" t="n">
        <x:v>46175.00769675926</x:v>
      </x:c>
      <x:c r="H45" s="80" t="n">
        <x:v>46175.010243055556</x:v>
      </x:c>
      <x:c r="I45" s="83" t="n">
        <x:v>51</x:v>
      </x:c>
      <x:c r="J45" s="83" t="n">
        <x:v>15</x:v>
      </x:c>
      <x:c r="K45" s="86" t="n">
        <x:v>357.6</x:v>
      </x:c>
      <x:c r="L45" s="86" t="n">
        <x:v>148.7286</x:v>
      </x:c>
      <x:c r="M45" s="86" t="n">
        <x:v>0</x:v>
      </x:c>
      <x:c r="N45" s="83" t="n">
        <x:v>0</x:v>
      </x:c>
      <x:c r="O45" s="86" t="n">
        <x:v>208.8714</x:v>
      </x:c>
      <x:c r="P45" s="86" t="n">
        <x:v>29.74572</x:v>
      </x:c>
      <x:c r="Q45" s="83" t="n">
        <x:v>15</x:v>
      </x:c>
      <x:c r="R45" s="89" t="n">
        <x:v>238.61712</x:v>
      </x:c>
      <x:c r="S45" s="68" t="str">
        <x:v>WIN</x:v>
      </x:c>
      <x:c r="T45" s="75" t="str">
        <x:v>EXACT_ZERO_AFTER_COMPLETE_54_EVENT_COVERAGE</x:v>
      </x:c>
      <x:c r="U45" s="75" t="str">
        <x:v>NONE</x:v>
      </x:c>
    </x:row>
    <x:row r="46">
      <x:c r="A46" s="68" t="str">
        <x:v>S05-CYC-b541fff209e03a34af57dec9</x:v>
      </x:c>
      <x:c r="B46" s="68" t="str">
        <x:v>ACTIVE</x:v>
      </x:c>
      <x:c r="C46" s="68" t="str">
        <x:v>K03-ACT-B541FFF209E03A34AF57DEC9</x:v>
      </x:c>
      <x:c r="D46" s="68" t="str">
        <x:v>T042</x:v>
      </x:c>
      <x:c r="E46" s="68" t="str">
        <x:v>BTCUSDT</x:v>
      </x:c>
      <x:c r="F46" s="68" t="str">
        <x:v>SHORT</x:v>
      </x:c>
      <x:c r="G46" s="80" t="n">
        <x:v>46175.018425925926</x:v>
      </x:c>
      <x:c r="H46" s="80" t="n">
        <x:v>46175.101493055554</x:v>
      </x:c>
      <x:c r="I46" s="83" t="n">
        <x:v>52</x:v>
      </x:c>
      <x:c r="J46" s="83" t="n">
        <x:v>24</x:v>
      </x:c>
      <x:c r="K46" s="86" t="n">
        <x:v>-1192.8</x:v>
      </x:c>
      <x:c r="L46" s="86" t="n">
        <x:v>399.70279997</x:v>
      </x:c>
      <x:c r="M46" s="86" t="n">
        <x:v>0</x:v>
      </x:c>
      <x:c r="N46" s="83" t="n">
        <x:v>0</x:v>
      </x:c>
      <x:c r="O46" s="86" t="n">
        <x:v>-1592.50279997</x:v>
      </x:c>
      <x:c r="P46" s="86" t="n">
        <x:v>79.94056</x:v>
      </x:c>
      <x:c r="Q46" s="83" t="n">
        <x:v>24</x:v>
      </x:c>
      <x:c r="R46" s="89" t="n">
        <x:v>-1512.56223997</x:v>
      </x:c>
      <x:c r="S46" s="68" t="str">
        <x:v>LOSS</x:v>
      </x:c>
      <x:c r="T46" s="75" t="str">
        <x:v>EXACT_ZERO_AFTER_COMPLETE_54_EVENT_COVERAGE</x:v>
      </x:c>
      <x:c r="U46" s="75" t="str">
        <x:v>NONE</x:v>
      </x:c>
    </x:row>
    <x:row r="47">
      <x:c r="A47" s="68" t="str">
        <x:v>S05-CYC-40e975bc35f3cd3599d73bb4</x:v>
      </x:c>
      <x:c r="B47" s="68" t="str">
        <x:v>ACTIVE</x:v>
      </x:c>
      <x:c r="C47" s="68" t="str">
        <x:v>K03-ACT-40E975BC35F3CD3599D73BB4</x:v>
      </x:c>
      <x:c r="D47" s="68" t="str">
        <x:v>T043</x:v>
      </x:c>
      <x:c r="E47" s="68" t="str">
        <x:v>BTCUSDT</x:v>
      </x:c>
      <x:c r="F47" s="68" t="str">
        <x:v>LONG</x:v>
      </x:c>
      <x:c r="G47" s="80" t="n">
        <x:v>46175.101493055554</x:v>
      </x:c>
      <x:c r="H47" s="80" t="n">
        <x:v>46175.10158564815</x:v>
      </x:c>
      <x:c r="I47" s="83" t="n">
        <x:v>53</x:v>
      </x:c>
      <x:c r="J47" s="83" t="n">
        <x:v>258</x:v>
      </x:c>
      <x:c r="K47" s="86" t="n">
        <x:v>-25.28449957</x:v>
      </x:c>
      <x:c r="L47" s="86" t="n">
        <x:v>571.33215743</x:v>
      </x:c>
      <x:c r="M47" s="86" t="n">
        <x:v>0</x:v>
      </x:c>
      <x:c r="N47" s="83" t="n">
        <x:v>0</x:v>
      </x:c>
      <x:c r="O47" s="86" t="n">
        <x:v>-596.616657</x:v>
      </x:c>
      <x:c r="P47" s="86" t="n">
        <x:v>114.26643155</x:v>
      </x:c>
      <x:c r="Q47" s="83" t="n">
        <x:v>258</x:v>
      </x:c>
      <x:c r="R47" s="89" t="n">
        <x:v>-482.35022545</x:v>
      </x:c>
      <x:c r="S47" s="68" t="str">
        <x:v>LOSS</x:v>
      </x:c>
      <x:c r="T47" s="75" t="str">
        <x:v>EXACT_ZERO_AFTER_COMPLETE_54_EVENT_COVERAGE</x:v>
      </x:c>
      <x:c r="U47" s="75" t="str">
        <x:v>NONE</x:v>
      </x:c>
    </x:row>
    <x:row r="48">
      <x:c r="A48" s="68" t="str">
        <x:v>S05-CYC-a9611f518f4df9ec37dbfefc</x:v>
      </x:c>
      <x:c r="B48" s="68" t="str">
        <x:v>ACTIVE</x:v>
      </x:c>
      <x:c r="C48" s="68" t="str">
        <x:v>K03-ACT-A9611F518F4DF9EC37DBFEFC</x:v>
      </x:c>
      <x:c r="D48" s="68" t="str">
        <x:v>T044</x:v>
      </x:c>
      <x:c r="E48" s="68" t="str">
        <x:v>BTCUSDT</x:v>
      </x:c>
      <x:c r="F48" s="68" t="str">
        <x:v>SHORT</x:v>
      </x:c>
      <x:c r="G48" s="80" t="n">
        <x:v>46175.10561342593</x:v>
      </x:c>
      <x:c r="H48" s="80" t="n">
        <x:v>46175.2178587963</x:v>
      </x:c>
      <x:c r="I48" s="83" t="n">
        <x:v>54</x:v>
      </x:c>
      <x:c r="J48" s="83" t="n">
        <x:v>9</x:v>
      </x:c>
      <x:c r="K48" s="86" t="n">
        <x:v>2015</x:v>
      </x:c>
      <x:c r="L48" s="86" t="n">
        <x:v>142.70899999</x:v>
      </x:c>
      <x:c r="M48" s="86" t="n">
        <x:v>0</x:v>
      </x:c>
      <x:c r="N48" s="83" t="n">
        <x:v>0</x:v>
      </x:c>
      <x:c r="O48" s="86" t="n">
        <x:v>1872.29100001</x:v>
      </x:c>
      <x:c r="P48" s="86" t="n">
        <x:v>28.5418</x:v>
      </x:c>
      <x:c r="Q48" s="83" t="n">
        <x:v>9</x:v>
      </x:c>
      <x:c r="R48" s="89" t="n">
        <x:v>1900.83280001</x:v>
      </x:c>
      <x:c r="S48" s="68" t="str">
        <x:v>WIN</x:v>
      </x:c>
      <x:c r="T48" s="75" t="str">
        <x:v>EXACT_ZERO_AFTER_COMPLETE_54_EVENT_COVERAGE</x:v>
      </x:c>
      <x:c r="U48" s="75" t="str">
        <x:v>NONE</x:v>
      </x:c>
    </x:row>
    <x:row r="49">
      <x:c r="A49" s="68" t="str">
        <x:v>S05-CYC-943ea8cd172635a48239cc38</x:v>
      </x:c>
      <x:c r="B49" s="68" t="str">
        <x:v>ACTIVE</x:v>
      </x:c>
      <x:c r="C49" s="68" t="str">
        <x:v>K03-ACT-943EA8CD172635A48239CC38</x:v>
      </x:c>
      <x:c r="D49" s="68" t="str">
        <x:v>T045</x:v>
      </x:c>
      <x:c r="E49" s="68" t="str">
        <x:v>BNBUSDT</x:v>
      </x:c>
      <x:c r="F49" s="68" t="str">
        <x:v>SHORT</x:v>
      </x:c>
      <x:c r="G49" s="80" t="n">
        <x:v>46175.22209490741</x:v>
      </x:c>
      <x:c r="H49" s="80" t="n">
        <x:v>46175.229675925926</x:v>
      </x:c>
      <x:c r="I49" s="83" t="n">
        <x:v>55</x:v>
      </x:c>
      <x:c r="J49" s="83" t="n">
        <x:v>28</x:v>
      </x:c>
      <x:c r="K49" s="86" t="n">
        <x:v>64</x:v>
      </x:c>
      <x:c r="L49" s="86" t="n">
        <x:v>55.3631999</x:v>
      </x:c>
      <x:c r="M49" s="86" t="n">
        <x:v>0</x:v>
      </x:c>
      <x:c r="N49" s="83" t="n">
        <x:v>0</x:v>
      </x:c>
      <x:c r="O49" s="86" t="n">
        <x:v>8.6368001</x:v>
      </x:c>
      <x:c r="P49" s="86" t="n">
        <x:v>11.07264</x:v>
      </x:c>
      <x:c r="Q49" s="83" t="n">
        <x:v>28</x:v>
      </x:c>
      <x:c r="R49" s="89" t="n">
        <x:v>19.7094401</x:v>
      </x:c>
      <x:c r="S49" s="68" t="str">
        <x:v>WIN</x:v>
      </x:c>
      <x:c r="T49" s="75" t="str">
        <x:v>EXACT_ZERO_AFTER_COMPLETE_54_EVENT_COVERAGE</x:v>
      </x:c>
      <x:c r="U49" s="75" t="str">
        <x:v>NONE</x:v>
      </x:c>
    </x:row>
    <x:row r="50">
      <x:c r="A50" s="68" t="str">
        <x:v>S05-CYC-3b096fcedd9b8f809e721fbc</x:v>
      </x:c>
      <x:c r="B50" s="68" t="str">
        <x:v>ACTIVE</x:v>
      </x:c>
      <x:c r="C50" s="68" t="str">
        <x:v>K03-ACT-3B096FCEDD9B8F809E721FBC</x:v>
      </x:c>
      <x:c r="D50" s="68" t="str">
        <x:v>T046</x:v>
      </x:c>
      <x:c r="E50" s="68" t="str">
        <x:v>BTCUSDT</x:v>
      </x:c>
      <x:c r="F50" s="68" t="str">
        <x:v>LONG</x:v>
      </x:c>
      <x:c r="G50" s="80" t="n">
        <x:v>46175.25523148148</x:v>
      </x:c>
      <x:c r="H50" s="80" t="n">
        <x:v>46175.256574074076</x:v>
      </x:c>
      <x:c r="I50" s="83" t="n">
        <x:v>56</x:v>
      </x:c>
      <x:c r="J50" s="83" t="n">
        <x:v>13</x:v>
      </x:c>
      <x:c r="K50" s="86" t="n">
        <x:v>97</x:v>
      </x:c>
      <x:c r="L50" s="86" t="n">
        <x:v>99.15549999</x:v>
      </x:c>
      <x:c r="M50" s="86" t="n">
        <x:v>0</x:v>
      </x:c>
      <x:c r="N50" s="83" t="n">
        <x:v>0</x:v>
      </x:c>
      <x:c r="O50" s="86" t="n">
        <x:v>-2.15549999</x:v>
      </x:c>
      <x:c r="P50" s="86" t="n">
        <x:v>19.8311</x:v>
      </x:c>
      <x:c r="Q50" s="83" t="n">
        <x:v>13</x:v>
      </x:c>
      <x:c r="R50" s="89" t="n">
        <x:v>17.67560001</x:v>
      </x:c>
      <x:c r="S50" s="68" t="str">
        <x:v>WIN</x:v>
      </x:c>
      <x:c r="T50" s="75" t="str">
        <x:v>EXACT_ZERO_AFTER_COMPLETE_54_EVENT_COVERAGE</x:v>
      </x:c>
      <x:c r="U50" s="75" t="str">
        <x:v>NONE</x:v>
      </x:c>
    </x:row>
    <x:row r="51">
      <x:c r="A51" s="68" t="str">
        <x:v>S05-CYC-da92dcbc930d26d102695776</x:v>
      </x:c>
      <x:c r="B51" s="68" t="str">
        <x:v>ACTIVE</x:v>
      </x:c>
      <x:c r="C51" s="68" t="str">
        <x:v>K03-ACT-DA92DCBC930D26D102695776</x:v>
      </x:c>
      <x:c r="D51" s="68" t="str">
        <x:v>T047</x:v>
      </x:c>
      <x:c r="E51" s="68" t="str">
        <x:v>BTCUSDT</x:v>
      </x:c>
      <x:c r="F51" s="68" t="str">
        <x:v>LONG</x:v>
      </x:c>
      <x:c r="G51" s="80" t="n">
        <x:v>46175.72858796296</x:v>
      </x:c>
      <x:c r="H51" s="80" t="n">
        <x:v>46175.75225694444</x:v>
      </x:c>
      <x:c r="I51" s="83" t="n">
        <x:v>57</x:v>
      </x:c>
      <x:c r="J51" s="83" t="n">
        <x:v>2</x:v>
      </x:c>
      <x:c r="K51" s="86" t="n">
        <x:v>92.08559999</x:v>
      </x:c>
      <x:c r="L51" s="86" t="n">
        <x:v>40.61988047</x:v>
      </x:c>
      <x:c r="M51" s="86" t="n">
        <x:v>0</x:v>
      </x:c>
      <x:c r="N51" s="83" t="n">
        <x:v>0</x:v>
      </x:c>
      <x:c r="O51" s="86" t="n">
        <x:v>51.46571952</x:v>
      </x:c>
      <x:c r="P51" s="86" t="n">
        <x:v>8.12397609</x:v>
      </x:c>
      <x:c r="Q51" s="83" t="n">
        <x:v>2</x:v>
      </x:c>
      <x:c r="R51" s="89" t="n">
        <x:v>59.58969561</x:v>
      </x:c>
      <x:c r="S51" s="68" t="str">
        <x:v>WIN</x:v>
      </x:c>
      <x:c r="T51" s="75" t="str">
        <x:v>EXACT_ZERO_AFTER_COMPLETE_54_EVENT_COVERAGE</x:v>
      </x:c>
      <x:c r="U51" s="75" t="str">
        <x:v>NONE</x:v>
      </x:c>
    </x:row>
    <x:row r="52">
      <x:c r="A52" s="68" t="str">
        <x:v>S05-CYC-39a1d336a0cfe73511b0ac5d</x:v>
      </x:c>
      <x:c r="B52" s="68" t="str">
        <x:v>ACTIVE</x:v>
      </x:c>
      <x:c r="C52" s="68" t="str">
        <x:v>K03-ACT-39A1D336A0CFE73511B0AC5D</x:v>
      </x:c>
      <x:c r="D52" s="68" t="str">
        <x:v>T048</x:v>
      </x:c>
      <x:c r="E52" s="68" t="str">
        <x:v>BTCUSDT</x:v>
      </x:c>
      <x:c r="F52" s="68" t="str">
        <x:v>SHORT</x:v>
      </x:c>
      <x:c r="G52" s="80" t="n">
        <x:v>46175.75939814815</x:v>
      </x:c>
      <x:c r="H52" s="80" t="n">
        <x:v>46175.76572916667</x:v>
      </x:c>
      <x:c r="I52" s="83" t="n">
        <x:v>58</x:v>
      </x:c>
      <x:c r="J52" s="83" t="n">
        <x:v>8</x:v>
      </x:c>
      <x:c r="K52" s="86" t="n">
        <x:v>136.444</x:v>
      </x:c>
      <x:c r="L52" s="86" t="n">
        <x:v>24.66730317</x:v>
      </x:c>
      <x:c r="M52" s="86" t="n">
        <x:v>0</x:v>
      </x:c>
      <x:c r="N52" s="83" t="n">
        <x:v>0</x:v>
      </x:c>
      <x:c r="O52" s="86" t="n">
        <x:v>111.77669683</x:v>
      </x:c>
      <x:c r="P52" s="86" t="n">
        <x:v>4.93346064</x:v>
      </x:c>
      <x:c r="Q52" s="83" t="n">
        <x:v>8</x:v>
      </x:c>
      <x:c r="R52" s="89" t="n">
        <x:v>116.71015747</x:v>
      </x:c>
      <x:c r="S52" s="68" t="str">
        <x:v>WIN</x:v>
      </x:c>
      <x:c r="T52" s="75" t="str">
        <x:v>EXACT_ZERO_AFTER_COMPLETE_54_EVENT_COVERAGE</x:v>
      </x:c>
      <x:c r="U52" s="75" t="str">
        <x:v>NONE</x:v>
      </x:c>
    </x:row>
    <x:row r="53">
      <x:c r="A53" s="68" t="str">
        <x:v>S05-CYC-07ffc3c4649cbef037d324d6</x:v>
      </x:c>
      <x:c r="B53" s="68" t="str">
        <x:v>ACTIVE</x:v>
      </x:c>
      <x:c r="C53" s="68" t="str">
        <x:v>K03-ACT-07FFC3C4649CBEF037D324D6</x:v>
      </x:c>
      <x:c r="D53" s="68" t="str">
        <x:v>T049</x:v>
      </x:c>
      <x:c r="E53" s="68" t="str">
        <x:v>BTCUSDT</x:v>
      </x:c>
      <x:c r="F53" s="68" t="str">
        <x:v>LONG</x:v>
      </x:c>
      <x:c r="G53" s="80" t="n">
        <x:v>46175.79677083333</x:v>
      </x:c>
      <x:c r="H53" s="80" t="n">
        <x:v>46176.148240740746</x:v>
      </x:c>
      <x:c r="I53" s="83" t="n">
        <x:v>59</x:v>
      </x:c>
      <x:c r="J53" s="83" t="n">
        <x:v>162</x:v>
      </x:c>
      <x:c r="K53" s="86" t="n">
        <x:v>-36690.80369957</x:v>
      </x:c>
      <x:c r="L53" s="86" t="n">
        <x:v>1411.82434834</x:v>
      </x:c>
      <x:c r="M53" s="86" t="n">
        <x:v>-39.29930331</x:v>
      </x:c>
      <x:c r="N53" s="83" t="n">
        <x:v>1</x:v>
      </x:c>
      <x:c r="O53" s="86" t="n">
        <x:v>-38141.92735122</x:v>
      </x:c>
      <x:c r="P53" s="86" t="n">
        <x:v>282.36486971</x:v>
      </x:c>
      <x:c r="Q53" s="83" t="n">
        <x:v>162</x:v>
      </x:c>
      <x:c r="R53" s="89" t="n">
        <x:v>-37859.56248151</x:v>
      </x:c>
      <x:c r="S53" s="68" t="str">
        <x:v>LOSS</x:v>
      </x:c>
      <x:c r="T53" s="75" t="str">
        <x:v>OBSERVED_EVENT_SUM</x:v>
      </x:c>
      <x:c r="U53" s="75" t="str">
        <x:v>NONE</x:v>
      </x:c>
    </x:row>
    <x:row r="54">
      <x:c r="A54" s="68" t="str">
        <x:v>S05-CYC-d0b035181cc102fa14fcad88</x:v>
      </x:c>
      <x:c r="B54" s="68" t="str">
        <x:v>ACTIVE</x:v>
      </x:c>
      <x:c r="C54" s="68" t="str">
        <x:v>K03-ACT-D0B035181CC102FA14FCAD88</x:v>
      </x:c>
      <x:c r="D54" s="68" t="str">
        <x:v>T050</x:v>
      </x:c>
      <x:c r="E54" s="68" t="str">
        <x:v>BTCUSDT</x:v>
      </x:c>
      <x:c r="F54" s="68" t="str">
        <x:v>SHORT</x:v>
      </x:c>
      <x:c r="G54" s="80" t="n">
        <x:v>46176.15039351852</x:v>
      </x:c>
      <x:c r="H54" s="80" t="n">
        <x:v>46176.16111111111</x:v>
      </x:c>
      <x:c r="I54" s="83" t="n">
        <x:v>60</x:v>
      </x:c>
      <x:c r="J54" s="83" t="n">
        <x:v>28</x:v>
      </x:c>
      <x:c r="K54" s="86" t="n">
        <x:v>-5331.1378</x:v>
      </x:c>
      <x:c r="L54" s="86" t="n">
        <x:v>364.4024136</x:v>
      </x:c>
      <x:c r="M54" s="86" t="n">
        <x:v>0</x:v>
      </x:c>
      <x:c r="N54" s="83" t="n">
        <x:v>0</x:v>
      </x:c>
      <x:c r="O54" s="86" t="n">
        <x:v>-5695.5402136</x:v>
      </x:c>
      <x:c r="P54" s="86" t="n">
        <x:v>72.88048272</x:v>
      </x:c>
      <x:c r="Q54" s="83" t="n">
        <x:v>28</x:v>
      </x:c>
      <x:c r="R54" s="89" t="n">
        <x:v>-5622.65973088</x:v>
      </x:c>
      <x:c r="S54" s="68" t="str">
        <x:v>LOSS</x:v>
      </x:c>
      <x:c r="T54" s="75" t="str">
        <x:v>EXACT_ZERO_AFTER_COMPLETE_54_EVENT_COVERAGE</x:v>
      </x:c>
      <x:c r="U54" s="75" t="str">
        <x:v>NONE</x:v>
      </x:c>
    </x:row>
    <x:row r="55">
      <x:c r="A55" s="68" t="str">
        <x:v>S05-CYC-ebb507e87d13faef0a9bd0f9</x:v>
      </x:c>
      <x:c r="B55" s="68" t="str">
        <x:v>ACTIVE</x:v>
      </x:c>
      <x:c r="C55" s="68" t="str">
        <x:v>K03-ACT-EBB507E87D13FAEF0A9BD0F9</x:v>
      </x:c>
      <x:c r="D55" s="68" t="str">
        <x:v>T051</x:v>
      </x:c>
      <x:c r="E55" s="68" t="str">
        <x:v>BTCUSDT</x:v>
      </x:c>
      <x:c r="F55" s="68" t="str">
        <x:v>SHORT</x:v>
      </x:c>
      <x:c r="G55" s="80" t="n">
        <x:v>46176.16180555556</x:v>
      </x:c>
      <x:c r="H55" s="80" t="n">
        <x:v>46176.16805555555</x:v>
      </x:c>
      <x:c r="I55" s="83" t="n">
        <x:v>61</x:v>
      </x:c>
      <x:c r="J55" s="83" t="n">
        <x:v>27</x:v>
      </x:c>
      <x:c r="K55" s="86" t="n">
        <x:v>586.476</x:v>
      </x:c>
      <x:c r="L55" s="86" t="n">
        <x:v>79.671876</x:v>
      </x:c>
      <x:c r="M55" s="86" t="n">
        <x:v>0</x:v>
      </x:c>
      <x:c r="N55" s="83" t="n">
        <x:v>0</x:v>
      </x:c>
      <x:c r="O55" s="86" t="n">
        <x:v>506.804124</x:v>
      </x:c>
      <x:c r="P55" s="86" t="n">
        <x:v>15.9343752</x:v>
      </x:c>
      <x:c r="Q55" s="83" t="n">
        <x:v>27</x:v>
      </x:c>
      <x:c r="R55" s="89" t="n">
        <x:v>522.7384992</x:v>
      </x:c>
      <x:c r="S55" s="68" t="str">
        <x:v>WIN</x:v>
      </x:c>
      <x:c r="T55" s="75" t="str">
        <x:v>EXACT_ZERO_AFTER_COMPLETE_54_EVENT_COVERAGE</x:v>
      </x:c>
      <x:c r="U55" s="75" t="str">
        <x:v>NONE</x:v>
      </x:c>
    </x:row>
    <x:row r="56">
      <x:c r="A56" s="68" t="str">
        <x:v>S05-CYC-a8016bc892b3da8122bb90b9</x:v>
      </x:c>
      <x:c r="B56" s="68" t="str">
        <x:v>ACTIVE</x:v>
      </x:c>
      <x:c r="C56" s="68" t="str">
        <x:v>K03-ACT-A8016BC892B3DA8122BB90B9</x:v>
      </x:c>
      <x:c r="D56" s="68" t="str">
        <x:v>T052</x:v>
      </x:c>
      <x:c r="E56" s="68" t="str">
        <x:v>BTCUSDT</x:v>
      </x:c>
      <x:c r="F56" s="68" t="str">
        <x:v>LONG</x:v>
      </x:c>
      <x:c r="G56" s="80" t="n">
        <x:v>46176.180706018524</x:v>
      </x:c>
      <x:c r="H56" s="80" t="n">
        <x:v>46176.18849537037</x:v>
      </x:c>
      <x:c r="I56" s="83" t="n">
        <x:v>62</x:v>
      </x:c>
      <x:c r="J56" s="83" t="n">
        <x:v>16</x:v>
      </x:c>
      <x:c r="K56" s="86" t="n">
        <x:v>274.68</x:v>
      </x:c>
      <x:c r="L56" s="86" t="n">
        <x:v>75.16426397</x:v>
      </x:c>
      <x:c r="M56" s="86" t="n">
        <x:v>0</x:v>
      </x:c>
      <x:c r="N56" s="83" t="n">
        <x:v>0</x:v>
      </x:c>
      <x:c r="O56" s="86" t="n">
        <x:v>199.51573603</x:v>
      </x:c>
      <x:c r="P56" s="86" t="n">
        <x:v>15.03285282</x:v>
      </x:c>
      <x:c r="Q56" s="83" t="n">
        <x:v>16</x:v>
      </x:c>
      <x:c r="R56" s="89" t="n">
        <x:v>214.54858885</x:v>
      </x:c>
      <x:c r="S56" s="68" t="str">
        <x:v>WIN</x:v>
      </x:c>
      <x:c r="T56" s="75" t="str">
        <x:v>EXACT_ZERO_AFTER_COMPLETE_54_EVENT_COVERAGE</x:v>
      </x:c>
      <x:c r="U56" s="75" t="str">
        <x:v>NONE</x:v>
      </x:c>
    </x:row>
    <x:row r="57">
      <x:c r="A57" s="68" t="str">
        <x:v>S05-CYC-b2a3bf9502d2d2f99708905e</x:v>
      </x:c>
      <x:c r="B57" s="68" t="str">
        <x:v>ACTIVE</x:v>
      </x:c>
      <x:c r="C57" s="68" t="str">
        <x:v>K03-ACT-B2A3BF9502D2D2F99708905E</x:v>
      </x:c>
      <x:c r="D57" s="68" t="str">
        <x:v>T053</x:v>
      </x:c>
      <x:c r="E57" s="68" t="str">
        <x:v>BTCUSDT</x:v>
      </x:c>
      <x:c r="F57" s="68" t="str">
        <x:v>SHORT</x:v>
      </x:c>
      <x:c r="G57" s="80" t="n">
        <x:v>46176.2119212963</x:v>
      </x:c>
      <x:c r="H57" s="80" t="n">
        <x:v>46176.216736111106</x:v>
      </x:c>
      <x:c r="I57" s="83" t="n">
        <x:v>63</x:v>
      </x:c>
      <x:c r="J57" s="83" t="n">
        <x:v>6</x:v>
      </x:c>
      <x:c r="K57" s="86" t="n">
        <x:v>338.548</x:v>
      </x:c>
      <x:c r="L57" s="86" t="n">
        <x:v>80.918964</x:v>
      </x:c>
      <x:c r="M57" s="86" t="n">
        <x:v>0</x:v>
      </x:c>
      <x:c r="N57" s="83" t="n">
        <x:v>0</x:v>
      </x:c>
      <x:c r="O57" s="86" t="n">
        <x:v>257.629036</x:v>
      </x:c>
      <x:c r="P57" s="86" t="n">
        <x:v>16.1837928</x:v>
      </x:c>
      <x:c r="Q57" s="83" t="n">
        <x:v>6</x:v>
      </x:c>
      <x:c r="R57" s="89" t="n">
        <x:v>273.8128288</x:v>
      </x:c>
      <x:c r="S57" s="68" t="str">
        <x:v>WIN</x:v>
      </x:c>
      <x:c r="T57" s="75" t="str">
        <x:v>EXACT_ZERO_AFTER_COMPLETE_54_EVENT_COVERAGE</x:v>
      </x:c>
      <x:c r="U57" s="75" t="str">
        <x:v>NONE</x:v>
      </x:c>
    </x:row>
    <x:row r="58">
      <x:c r="A58" s="68" t="str">
        <x:v>S05-CYC-41953eb91423fdc479e19793</x:v>
      </x:c>
      <x:c r="B58" s="68" t="str">
        <x:v>ACTIVE</x:v>
      </x:c>
      <x:c r="C58" s="68" t="str">
        <x:v>K03-ACT-41953EB91423FDC479E19793</x:v>
      </x:c>
      <x:c r="D58" s="68" t="str">
        <x:v>T054</x:v>
      </x:c>
      <x:c r="E58" s="68" t="str">
        <x:v>BTCUSDT</x:v>
      </x:c>
      <x:c r="F58" s="68" t="str">
        <x:v>LONG</x:v>
      </x:c>
      <x:c r="G58" s="80" t="n">
        <x:v>46176.25239583333</x:v>
      </x:c>
      <x:c r="H58" s="80" t="n">
        <x:v>46176.26621527778</x:v>
      </x:c>
      <x:c r="I58" s="83" t="n">
        <x:v>64</x:v>
      </x:c>
      <x:c r="J58" s="83" t="n">
        <x:v>11</x:v>
      </x:c>
      <x:c r="K58" s="86" t="n">
        <x:v>65.04189995</x:v>
      </x:c>
      <x:c r="L58" s="86" t="n">
        <x:v>63.48635842</x:v>
      </x:c>
      <x:c r="M58" s="86" t="n">
        <x:v>0</x:v>
      </x:c>
      <x:c r="N58" s="83" t="n">
        <x:v>0</x:v>
      </x:c>
      <x:c r="O58" s="86" t="n">
        <x:v>1.55554153</x:v>
      </x:c>
      <x:c r="P58" s="86" t="n">
        <x:v>12.69727168</x:v>
      </x:c>
      <x:c r="Q58" s="83" t="n">
        <x:v>11</x:v>
      </x:c>
      <x:c r="R58" s="89" t="n">
        <x:v>14.25281321</x:v>
      </x:c>
      <x:c r="S58" s="68" t="str">
        <x:v>WIN</x:v>
      </x:c>
      <x:c r="T58" s="75" t="str">
        <x:v>EXACT_ZERO_AFTER_COMPLETE_54_EVENT_COVERAGE</x:v>
      </x:c>
      <x:c r="U58" s="75" t="str">
        <x:v>NONE</x:v>
      </x:c>
    </x:row>
    <x:row r="59">
      <x:c r="A59" s="68" t="str">
        <x:v>S05-CYC-64e86f51a492fa303a0a70b1</x:v>
      </x:c>
      <x:c r="B59" s="68" t="str">
        <x:v>ACTIVE</x:v>
      </x:c>
      <x:c r="C59" s="68" t="str">
        <x:v>K03-ACT-64E86F51A492FA303A0A70B1</x:v>
      </x:c>
      <x:c r="D59" s="68" t="str">
        <x:v>T055</x:v>
      </x:c>
      <x:c r="E59" s="68" t="str">
        <x:v>BTCUSDT</x:v>
      </x:c>
      <x:c r="F59" s="68" t="str">
        <x:v>SHORT</x:v>
      </x:c>
      <x:c r="G59" s="80" t="n">
        <x:v>46176.29513888889</x:v>
      </x:c>
      <x:c r="H59" s="80" t="n">
        <x:v>46176.3094675926</x:v>
      </x:c>
      <x:c r="I59" s="83" t="n">
        <x:v>65</x:v>
      </x:c>
      <x:c r="J59" s="83" t="n">
        <x:v>20</x:v>
      </x:c>
      <x:c r="K59" s="86" t="n">
        <x:v>221.86899995</x:v>
      </x:c>
      <x:c r="L59" s="86" t="n">
        <x:v>78.7715654</x:v>
      </x:c>
      <x:c r="M59" s="86" t="n">
        <x:v>0</x:v>
      </x:c>
      <x:c r="N59" s="83" t="n">
        <x:v>0</x:v>
      </x:c>
      <x:c r="O59" s="86" t="n">
        <x:v>143.09743455</x:v>
      </x:c>
      <x:c r="P59" s="86" t="n">
        <x:v>15.75431308</x:v>
      </x:c>
      <x:c r="Q59" s="83" t="n">
        <x:v>20</x:v>
      </x:c>
      <x:c r="R59" s="89" t="n">
        <x:v>158.85174763</x:v>
      </x:c>
      <x:c r="S59" s="68" t="str">
        <x:v>WIN</x:v>
      </x:c>
      <x:c r="T59" s="75" t="str">
        <x:v>EXACT_ZERO_AFTER_COMPLETE_54_EVENT_COVERAGE</x:v>
      </x:c>
      <x:c r="U59" s="75" t="str">
        <x:v>NONE</x:v>
      </x:c>
    </x:row>
    <x:row r="60">
      <x:c r="A60" s="68" t="str">
        <x:v>S05-CYC-c064f0ea3faa7c576562e3e2</x:v>
      </x:c>
      <x:c r="B60" s="68" t="str">
        <x:v>ACTIVE</x:v>
      </x:c>
      <x:c r="C60" s="68" t="str">
        <x:v>K03-ACT-C064F0EA3FAA7C576562E3E2</x:v>
      </x:c>
      <x:c r="D60" s="68" t="str">
        <x:v>T056</x:v>
      </x:c>
      <x:c r="E60" s="68" t="str">
        <x:v>BTCUSDT</x:v>
      </x:c>
      <x:c r="F60" s="68" t="str">
        <x:v>SHORT</x:v>
      </x:c>
      <x:c r="G60" s="80" t="n">
        <x:v>46176.31831018519</x:v>
      </x:c>
      <x:c r="H60" s="80" t="n">
        <x:v>46176.40167824074</x:v>
      </x:c>
      <x:c r="I60" s="83" t="n">
        <x:v>66</x:v>
      </x:c>
      <x:c r="J60" s="83" t="n">
        <x:v>20</x:v>
      </x:c>
      <x:c r="K60" s="86" t="n">
        <x:v>122.99999999</x:v>
      </x:c>
      <x:c r="L60" s="86" t="n">
        <x:v>66.6506</x:v>
      </x:c>
      <x:c r="M60" s="86" t="n">
        <x:v>7.17196196</x:v>
      </x:c>
      <x:c r="N60" s="83" t="n">
        <x:v>1</x:v>
      </x:c>
      <x:c r="O60" s="86" t="n">
        <x:v>63.52136195</x:v>
      </x:c>
      <x:c r="P60" s="86" t="n">
        <x:v>13.33012</x:v>
      </x:c>
      <x:c r="Q60" s="83" t="n">
        <x:v>20</x:v>
      </x:c>
      <x:c r="R60" s="89" t="n">
        <x:v>76.85148195</x:v>
      </x:c>
      <x:c r="S60" s="68" t="str">
        <x:v>WIN</x:v>
      </x:c>
      <x:c r="T60" s="75" t="str">
        <x:v>OBSERVED_EVENT_SUM</x:v>
      </x:c>
      <x:c r="U60" s="75" t="str">
        <x:v>NONE</x:v>
      </x:c>
    </x:row>
    <x:row r="61">
      <x:c r="A61" s="68" t="str">
        <x:v>S05-CYC-22b0baad4580d14dc809c716</x:v>
      </x:c>
      <x:c r="B61" s="68" t="str">
        <x:v>ACTIVE</x:v>
      </x:c>
      <x:c r="C61" s="68" t="str">
        <x:v>K03-ACT-22B0BAAD4580D14DC809C716</x:v>
      </x:c>
      <x:c r="D61" s="68" t="str">
        <x:v>T057</x:v>
      </x:c>
      <x:c r="E61" s="68" t="str">
        <x:v>MRVLUSDT</x:v>
      </x:c>
      <x:c r="F61" s="68" t="str">
        <x:v>LONG</x:v>
      </x:c>
      <x:c r="G61" s="80" t="n">
        <x:v>46176.41576388889</x:v>
      </x:c>
      <x:c r="H61" s="80" t="n">
        <x:v>46176.429502314815</x:v>
      </x:c>
      <x:c r="I61" s="83" t="n">
        <x:v>67</x:v>
      </x:c>
      <x:c r="J61" s="83" t="n">
        <x:v>58</x:v>
      </x:c>
      <x:c r="K61" s="86" t="n">
        <x:v>70.32919986</x:v>
      </x:c>
      <x:c r="L61" s="86" t="n">
        <x:v>14.85190063</x:v>
      </x:c>
      <x:c r="M61" s="86" t="n">
        <x:v>0</x:v>
      </x:c>
      <x:c r="N61" s="83" t="n">
        <x:v>0</x:v>
      </x:c>
      <x:c r="O61" s="86" t="n">
        <x:v>55.47729923</x:v>
      </x:c>
      <x:c r="P61" s="86" t="n">
        <x:v>2.97038013</x:v>
      </x:c>
      <x:c r="Q61" s="83" t="n">
        <x:v>31</x:v>
      </x:c>
      <x:c r="R61" s="89" t="n">
        <x:v>58.44767936</x:v>
      </x:c>
      <x:c r="S61" s="68" t="str">
        <x:v>WIN</x:v>
      </x:c>
      <x:c r="T61" s="75" t="str">
        <x:v>EXACT_ZERO_AFTER_COMPLETE_54_EVENT_COVERAGE</x:v>
      </x:c>
      <x:c r="U61" s="75" t="str">
        <x:v>NONE</x:v>
      </x:c>
    </x:row>
    <x:row r="62">
      <x:c r="A62" s="68" t="str">
        <x:v>S05-CYC-06054d5fd9c4ac58473cba53</x:v>
      </x:c>
      <x:c r="B62" s="68" t="str">
        <x:v>ACTIVE</x:v>
      </x:c>
      <x:c r="C62" s="68" t="str">
        <x:v>K03-ACT-06054D5FD9C4AC58473CBA53</x:v>
      </x:c>
      <x:c r="D62" s="68" t="str">
        <x:v>T058</x:v>
      </x:c>
      <x:c r="E62" s="68" t="str">
        <x:v>MUUSDT</x:v>
      </x:c>
      <x:c r="F62" s="68" t="str">
        <x:v>LONG</x:v>
      </x:c>
      <x:c r="G62" s="80" t="n">
        <x:v>46176.69479166667</x:v>
      </x:c>
      <x:c r="H62" s="80" t="n">
        <x:v>46176.7753125</x:v>
      </x:c>
      <x:c r="I62" s="83" t="n">
        <x:v>69</x:v>
      </x:c>
      <x:c r="J62" s="83" t="n">
        <x:v>502</x:v>
      </x:c>
      <x:c r="K62" s="86" t="n">
        <x:v>434.80619805</x:v>
      </x:c>
      <x:c r="L62" s="86" t="n">
        <x:v>99.87856321</x:v>
      </x:c>
      <x:c r="M62" s="86" t="n">
        <x:v>0</x:v>
      </x:c>
      <x:c r="N62" s="83" t="n">
        <x:v>0</x:v>
      </x:c>
      <x:c r="O62" s="86" t="n">
        <x:v>334.92763484</x:v>
      </x:c>
      <x:c r="P62" s="86" t="n">
        <x:v>19.97571281</x:v>
      </x:c>
      <x:c r="Q62" s="83" t="n">
        <x:v>463</x:v>
      </x:c>
      <x:c r="R62" s="89" t="n">
        <x:v>354.90334765</x:v>
      </x:c>
      <x:c r="S62" s="68" t="str">
        <x:v>WIN</x:v>
      </x:c>
      <x:c r="T62" s="75" t="str">
        <x:v>EXACT_ZERO_AFTER_COMPLETE_54_EVENT_COVERAGE</x:v>
      </x:c>
      <x:c r="U62" s="75" t="str">
        <x:v>NONE</x:v>
      </x:c>
    </x:row>
    <x:row r="63">
      <x:c r="A63" s="68" t="str">
        <x:v>S05-CYC-906d828e86add31dd43f2c2d</x:v>
      </x:c>
      <x:c r="B63" s="68" t="str">
        <x:v>ACTIVE</x:v>
      </x:c>
      <x:c r="C63" s="68" t="str">
        <x:v>K03-ACT-906D828E86ADD31DD43F2C2D</x:v>
      </x:c>
      <x:c r="D63" s="68" t="str">
        <x:v>T059</x:v>
      </x:c>
      <x:c r="E63" s="68" t="str">
        <x:v>XRPUSDT</x:v>
      </x:c>
      <x:c r="F63" s="68" t="str">
        <x:v>SHORT</x:v>
      </x:c>
      <x:c r="G63" s="80" t="n">
        <x:v>46176.74276620371</x:v>
      </x:c>
      <x:c r="H63" s="80" t="n">
        <x:v>46176.748252314814</x:v>
      </x:c>
      <x:c r="I63" s="83" t="n">
        <x:v>68</x:v>
      </x:c>
      <x:c r="J63" s="83" t="n">
        <x:v>28</x:v>
      </x:c>
      <x:c r="K63" s="86" t="n">
        <x:v>-199.7006</x:v>
      </x:c>
      <x:c r="L63" s="86" t="n">
        <x:v>49.48580866</x:v>
      </x:c>
      <x:c r="M63" s="86" t="n">
        <x:v>0</x:v>
      </x:c>
      <x:c r="N63" s="83" t="n">
        <x:v>0</x:v>
      </x:c>
      <x:c r="O63" s="86" t="n">
        <x:v>-249.18640866</x:v>
      </x:c>
      <x:c r="P63" s="86" t="n">
        <x:v>9.89716173</x:v>
      </x:c>
      <x:c r="Q63" s="83" t="n">
        <x:v>28</x:v>
      </x:c>
      <x:c r="R63" s="89" t="n">
        <x:v>-239.28924693</x:v>
      </x:c>
      <x:c r="S63" s="68" t="str">
        <x:v>LOSS</x:v>
      </x:c>
      <x:c r="T63" s="75" t="str">
        <x:v>EXACT_ZERO_AFTER_COMPLETE_54_EVENT_COVERAGE</x:v>
      </x:c>
      <x:c r="U63" s="75" t="str">
        <x:v>NONE</x:v>
      </x:c>
    </x:row>
    <x:row r="64">
      <x:c r="A64" s="68" t="str">
        <x:v>S05-CYC-15638d957932b74cf836eb18</x:v>
      </x:c>
      <x:c r="B64" s="68" t="str">
        <x:v>ACTIVE</x:v>
      </x:c>
      <x:c r="C64" s="68" t="str">
        <x:v>K03-ACT-15638D957932B74CF836EB18</x:v>
      </x:c>
      <x:c r="D64" s="68" t="str">
        <x:v>T060</x:v>
      </x:c>
      <x:c r="E64" s="68" t="str">
        <x:v>MUUSDT</x:v>
      </x:c>
      <x:c r="F64" s="68" t="str">
        <x:v>SHORT</x:v>
      </x:c>
      <x:c r="G64" s="80" t="n">
        <x:v>46176.77753472222</x:v>
      </x:c>
      <x:c r="H64" s="80" t="n">
        <x:v>46176.7803587963</x:v>
      </x:c>
      <x:c r="I64" s="83" t="n">
        <x:v>70</x:v>
      </x:c>
      <x:c r="J64" s="83" t="n">
        <x:v>236</x:v>
      </x:c>
      <x:c r="K64" s="86" t="n">
        <x:v>94.98659873</x:v>
      </x:c>
      <x:c r="L64" s="86" t="n">
        <x:v>99.8175332</x:v>
      </x:c>
      <x:c r="M64" s="86" t="n">
        <x:v>0</x:v>
      </x:c>
      <x:c r="N64" s="83" t="n">
        <x:v>0</x:v>
      </x:c>
      <x:c r="O64" s="86" t="n">
        <x:v>-4.83093447</x:v>
      </x:c>
      <x:c r="P64" s="86" t="n">
        <x:v>19.96350659</x:v>
      </x:c>
      <x:c r="Q64" s="83" t="n">
        <x:v>204</x:v>
      </x:c>
      <x:c r="R64" s="89" t="n">
        <x:v>15.13257212</x:v>
      </x:c>
      <x:c r="S64" s="68" t="str">
        <x:v>WIN</x:v>
      </x:c>
      <x:c r="T64" s="75" t="str">
        <x:v>EXACT_ZERO_AFTER_COMPLETE_54_EVENT_COVERAGE</x:v>
      </x:c>
      <x:c r="U64" s="75" t="str">
        <x:v>NONE</x:v>
      </x:c>
    </x:row>
    <x:row r="65">
      <x:c r="A65" s="68" t="str">
        <x:v>S05-CYC-0660484953fdb0da3991c0bf</x:v>
      </x:c>
      <x:c r="B65" s="68" t="str">
        <x:v>ACTIVE</x:v>
      </x:c>
      <x:c r="C65" s="68" t="str">
        <x:v>K03-ACT-0660484953FDB0DA3991C0BF</x:v>
      </x:c>
      <x:c r="D65" s="68" t="str">
        <x:v>T061</x:v>
      </x:c>
      <x:c r="E65" s="68" t="str">
        <x:v>MRVLUSDT</x:v>
      </x:c>
      <x:c r="F65" s="68" t="str">
        <x:v>LONG</x:v>
      </x:c>
      <x:c r="G65" s="80" t="n">
        <x:v>46176.78611111111</x:v>
      </x:c>
      <x:c r="H65" s="80" t="n">
        <x:v>46176.78964120371</x:v>
      </x:c>
      <x:c r="I65" s="83" t="n">
        <x:v>71</x:v>
      </x:c>
      <x:c r="J65" s="83" t="n">
        <x:v>517</x:v>
      </x:c>
      <x:c r="K65" s="86" t="n">
        <x:v>-763.74009796</x:v>
      </x:c>
      <x:c r="L65" s="86" t="n">
        <x:v>82.16361992</x:v>
      </x:c>
      <x:c r="M65" s="86" t="n">
        <x:v>0</x:v>
      </x:c>
      <x:c r="N65" s="83" t="n">
        <x:v>0</x:v>
      </x:c>
      <x:c r="O65" s="86" t="n">
        <x:v>-845.90371788</x:v>
      </x:c>
      <x:c r="P65" s="86" t="n">
        <x:v>16.432724</x:v>
      </x:c>
      <x:c r="Q65" s="83" t="n">
        <x:v>442</x:v>
      </x:c>
      <x:c r="R65" s="89" t="n">
        <x:v>-829.47099388</x:v>
      </x:c>
      <x:c r="S65" s="68" t="str">
        <x:v>LOSS</x:v>
      </x:c>
      <x:c r="T65" s="75" t="str">
        <x:v>EXACT_ZERO_AFTER_COMPLETE_54_EVENT_COVERAGE</x:v>
      </x:c>
      <x:c r="U65" s="75" t="str">
        <x:v>NONE</x:v>
      </x:c>
    </x:row>
    <x:row r="66">
      <x:c r="A66" s="68" t="str">
        <x:v>S05-CYC-373be682c586b5b7506ea34f</x:v>
      </x:c>
      <x:c r="B66" s="68" t="str">
        <x:v>ACTIVE</x:v>
      </x:c>
      <x:c r="C66" s="68" t="str">
        <x:v>K03-ACT-373BE682C586B5B7506EA34F</x:v>
      </x:c>
      <x:c r="D66" s="68" t="str">
        <x:v>T062</x:v>
      </x:c>
      <x:c r="E66" s="68" t="str">
        <x:v>MRVLUSDT</x:v>
      </x:c>
      <x:c r="F66" s="68" t="str">
        <x:v>SHORT</x:v>
      </x:c>
      <x:c r="G66" s="80" t="n">
        <x:v>46176.79166666667</x:v>
      </x:c>
      <x:c r="H66" s="80" t="n">
        <x:v>46176.810949074075</x:v>
      </x:c>
      <x:c r="I66" s="83" t="n">
        <x:v>72</x:v>
      </x:c>
      <x:c r="J66" s="83" t="n">
        <x:v>239</x:v>
      </x:c>
      <x:c r="K66" s="86" t="n">
        <x:v>-415.629</x:v>
      </x:c>
      <x:c r="L66" s="86" t="n">
        <x:v>91.91665141</x:v>
      </x:c>
      <x:c r="M66" s="86" t="n">
        <x:v>0</x:v>
      </x:c>
      <x:c r="N66" s="83" t="n">
        <x:v>0</x:v>
      </x:c>
      <x:c r="O66" s="86" t="n">
        <x:v>-507.54565141</x:v>
      </x:c>
      <x:c r="P66" s="86" t="n">
        <x:v>18.38333026</x:v>
      </x:c>
      <x:c r="Q66" s="83" t="n">
        <x:v>211</x:v>
      </x:c>
      <x:c r="R66" s="89" t="n">
        <x:v>-489.16232115</x:v>
      </x:c>
      <x:c r="S66" s="68" t="str">
        <x:v>LOSS</x:v>
      </x:c>
      <x:c r="T66" s="75" t="str">
        <x:v>EXACT_ZERO_AFTER_COMPLETE_54_EVENT_COVERAGE</x:v>
      </x:c>
      <x:c r="U66" s="75" t="str">
        <x:v>NONE</x:v>
      </x:c>
    </x:row>
    <x:row r="67">
      <x:c r="A67" s="68" t="str">
        <x:v>S05-CYC-fe12de957417c16ff3536c81</x:v>
      </x:c>
      <x:c r="B67" s="68" t="str">
        <x:v>ACTIVE</x:v>
      </x:c>
      <x:c r="C67" s="68" t="str">
        <x:v>K03-ACT-FE12DE957417C16FF3536C81</x:v>
      </x:c>
      <x:c r="D67" s="68" t="str">
        <x:v>T063</x:v>
      </x:c>
      <x:c r="E67" s="68" t="str">
        <x:v>MUUSDT</x:v>
      </x:c>
      <x:c r="F67" s="68" t="str">
        <x:v>SHORT</x:v>
      </x:c>
      <x:c r="G67" s="80" t="n">
        <x:v>46176.827152777776</x:v>
      </x:c>
      <x:c r="H67" s="80" t="n">
        <x:v>46176.86177083333</x:v>
      </x:c>
      <x:c r="I67" s="83" t="n">
        <x:v>73</x:v>
      </x:c>
      <x:c r="J67" s="83" t="n">
        <x:v>237</x:v>
      </x:c>
      <x:c r="K67" s="86" t="n">
        <x:v>218.94129931</x:v>
      </x:c>
      <x:c r="L67" s="86" t="n">
        <x:v>86.06762326</x:v>
      </x:c>
      <x:c r="M67" s="86" t="n">
        <x:v>0</x:v>
      </x:c>
      <x:c r="N67" s="83" t="n">
        <x:v>0</x:v>
      </x:c>
      <x:c r="O67" s="86" t="n">
        <x:v>132.87367605</x:v>
      </x:c>
      <x:c r="P67" s="86" t="n">
        <x:v>17.21352463</x:v>
      </x:c>
      <x:c r="Q67" s="83" t="n">
        <x:v>204</x:v>
      </x:c>
      <x:c r="R67" s="89" t="n">
        <x:v>150.08720068</x:v>
      </x:c>
      <x:c r="S67" s="68" t="str">
        <x:v>WIN</x:v>
      </x:c>
      <x:c r="T67" s="75" t="str">
        <x:v>EXACT_ZERO_AFTER_COMPLETE_54_EVENT_COVERAGE</x:v>
      </x:c>
      <x:c r="U67" s="75" t="str">
        <x:v>NONE</x:v>
      </x:c>
    </x:row>
    <x:row r="68">
      <x:c r="A68" s="68" t="str">
        <x:v>S05-CYC-1b2b05ba8b97c24a45dc4da4</x:v>
      </x:c>
      <x:c r="B68" s="68" t="str">
        <x:v>ACTIVE</x:v>
      </x:c>
      <x:c r="C68" s="68" t="str">
        <x:v>K03-ACT-1B2B05BA8B97C24A45DC4DA4</x:v>
      </x:c>
      <x:c r="D68" s="68" t="str">
        <x:v>T064</x:v>
      </x:c>
      <x:c r="E68" s="68" t="str">
        <x:v>MRVLUSDT</x:v>
      </x:c>
      <x:c r="F68" s="68" t="str">
        <x:v>LONG</x:v>
      </x:c>
      <x:c r="G68" s="80" t="n">
        <x:v>46176.91275462963</x:v>
      </x:c>
      <x:c r="H68" s="80" t="n">
        <x:v>46176.91792824074</x:v>
      </x:c>
      <x:c r="I68" s="83" t="n">
        <x:v>74</x:v>
      </x:c>
      <x:c r="J68" s="83" t="n">
        <x:v>6</x:v>
      </x:c>
      <x:c r="K68" s="86" t="n">
        <x:v>60</x:v>
      </x:c>
      <x:c r="L68" s="86" t="n">
        <x:v>0</x:v>
      </x:c>
      <x:c r="M68" s="86" t="n">
        <x:v>0</x:v>
      </x:c>
      <x:c r="N68" s="83" t="n">
        <x:v>0</x:v>
      </x:c>
      <x:c r="O68" s="86" t="n">
        <x:v>60</x:v>
      </x:c>
      <x:c r="P68" s="86" t="n">
        <x:v>0</x:v>
      </x:c>
      <x:c r="Q68" s="83" t="n">
        <x:v>0</x:v>
      </x:c>
      <x:c r="R68" s="89" t="n">
        <x:v>60</x:v>
      </x:c>
      <x:c r="S68" s="68" t="str">
        <x:v>WIN</x:v>
      </x:c>
      <x:c r="T68" s="75" t="str">
        <x:v>EXACT_ZERO_AFTER_COMPLETE_54_EVENT_COVERAGE</x:v>
      </x:c>
      <x:c r="U68" s="75" t="str">
        <x:v>NONE</x:v>
      </x:c>
    </x:row>
    <x:row r="69">
      <x:c r="A69" s="68" t="str">
        <x:v>S05-CYC-97cd0966f2e3daf4c2608d5a</x:v>
      </x:c>
      <x:c r="B69" s="68" t="str">
        <x:v>ACTIVE</x:v>
      </x:c>
      <x:c r="C69" s="68" t="str">
        <x:v>K03-ACT-97CD0966F2E3DAF4C2608D5A</x:v>
      </x:c>
      <x:c r="D69" s="68" t="str">
        <x:v>T065</x:v>
      </x:c>
      <x:c r="E69" s="68" t="str">
        <x:v>SNDKUSDT</x:v>
      </x:c>
      <x:c r="F69" s="68" t="str">
        <x:v>SHORT</x:v>
      </x:c>
      <x:c r="G69" s="80" t="n">
        <x:v>46176.93383101852</x:v>
      </x:c>
      <x:c r="H69" s="80" t="n">
        <x:v>46176.934317129635</x:v>
      </x:c>
      <x:c r="I69" s="83" t="n">
        <x:v>75</x:v>
      </x:c>
      <x:c r="J69" s="83" t="n">
        <x:v>70</x:v>
      </x:c>
      <x:c r="K69" s="86" t="n">
        <x:v>858.8215</x:v>
      </x:c>
      <x:c r="L69" s="86" t="n">
        <x:v>69.8564714</x:v>
      </x:c>
      <x:c r="M69" s="86" t="n">
        <x:v>0</x:v>
      </x:c>
      <x:c r="N69" s="83" t="n">
        <x:v>0</x:v>
      </x:c>
      <x:c r="O69" s="86" t="n">
        <x:v>788.9650286</x:v>
      </x:c>
      <x:c r="P69" s="86" t="n">
        <x:v>13.97129427</x:v>
      </x:c>
      <x:c r="Q69" s="83" t="n">
        <x:v>40</x:v>
      </x:c>
      <x:c r="R69" s="89" t="n">
        <x:v>802.93632287</x:v>
      </x:c>
      <x:c r="S69" s="68" t="str">
        <x:v>WIN</x:v>
      </x:c>
      <x:c r="T69" s="75" t="str">
        <x:v>EXACT_ZERO_AFTER_COMPLETE_54_EVENT_COVERAGE</x:v>
      </x:c>
      <x:c r="U69" s="75" t="str">
        <x:v>NONE</x:v>
      </x:c>
    </x:row>
    <x:row r="70">
      <x:c r="A70" s="68" t="str">
        <x:v>S05-CYC-799e597fad8848d062da0444</x:v>
      </x:c>
      <x:c r="B70" s="68" t="str">
        <x:v>ACTIVE</x:v>
      </x:c>
      <x:c r="C70" s="68" t="str">
        <x:v>K03-ACT-799E597FAD8848D062DA0444</x:v>
      </x:c>
      <x:c r="D70" s="68" t="str">
        <x:v>T066</x:v>
      </x:c>
      <x:c r="E70" s="68" t="str">
        <x:v>SNDKUSDT</x:v>
      </x:c>
      <x:c r="F70" s="68" t="str">
        <x:v>SHORT</x:v>
      </x:c>
      <x:c r="G70" s="80" t="n">
        <x:v>46176.96105324074</x:v>
      </x:c>
      <x:c r="H70" s="80" t="n">
        <x:v>46176.97371527778</x:v>
      </x:c>
      <x:c r="I70" s="83" t="n">
        <x:v>76</x:v>
      </x:c>
      <x:c r="J70" s="83" t="n">
        <x:v>116</x:v>
      </x:c>
      <x:c r="K70" s="86" t="n">
        <x:v>269.36000024</x:v>
      </x:c>
      <x:c r="L70" s="86" t="n">
        <x:v>0</x:v>
      </x:c>
      <x:c r="M70" s="86" t="n">
        <x:v>0</x:v>
      </x:c>
      <x:c r="N70" s="83" t="n">
        <x:v>0</x:v>
      </x:c>
      <x:c r="O70" s="86" t="n">
        <x:v>269.36000024</x:v>
      </x:c>
      <x:c r="P70" s="86" t="n">
        <x:v>0</x:v>
      </x:c>
      <x:c r="Q70" s="83" t="n">
        <x:v>0</x:v>
      </x:c>
      <x:c r="R70" s="89" t="n">
        <x:v>269.36000024</x:v>
      </x:c>
      <x:c r="S70" s="68" t="str">
        <x:v>WIN</x:v>
      </x:c>
      <x:c r="T70" s="75" t="str">
        <x:v>EXACT_ZERO_AFTER_COMPLETE_54_EVENT_COVERAGE</x:v>
      </x:c>
      <x:c r="U70" s="75" t="str">
        <x:v>NONE</x:v>
      </x:c>
    </x:row>
    <x:row r="71">
      <x:c r="A71" s="68" t="str">
        <x:v>S05-CYC-f1f55b43aed245c3def6086b</x:v>
      </x:c>
      <x:c r="B71" s="68" t="str">
        <x:v>ACTIVE</x:v>
      </x:c>
      <x:c r="C71" s="68" t="str">
        <x:v>K03-ACT-F1F55B43AED245C3DEF6086B</x:v>
      </x:c>
      <x:c r="D71" s="68" t="str">
        <x:v>T067</x:v>
      </x:c>
      <x:c r="E71" s="68" t="str">
        <x:v>BTCUSDT</x:v>
      </x:c>
      <x:c r="F71" s="68" t="str">
        <x:v>LONG</x:v>
      </x:c>
      <x:c r="G71" s="80" t="n">
        <x:v>46177.015706018516</x:v>
      </x:c>
      <x:c r="H71" s="80" t="n">
        <x:v>46177.02349537037</x:v>
      </x:c>
      <x:c r="I71" s="83" t="n">
        <x:v>77</x:v>
      </x:c>
      <x:c r="J71" s="83" t="n">
        <x:v>3</x:v>
      </x:c>
      <x:c r="K71" s="86" t="n">
        <x:v>-145.7</x:v>
      </x:c>
      <x:c r="L71" s="86" t="n">
        <x:v>26.28234</x:v>
      </x:c>
      <x:c r="M71" s="86" t="n">
        <x:v>0</x:v>
      </x:c>
      <x:c r="N71" s="83" t="n">
        <x:v>0</x:v>
      </x:c>
      <x:c r="O71" s="86" t="n">
        <x:v>-171.98234</x:v>
      </x:c>
      <x:c r="P71" s="86" t="n">
        <x:v>5.256468</x:v>
      </x:c>
      <x:c r="Q71" s="83" t="n">
        <x:v>3</x:v>
      </x:c>
      <x:c r="R71" s="89" t="n">
        <x:v>-166.725872</x:v>
      </x:c>
      <x:c r="S71" s="68" t="str">
        <x:v>LOSS</x:v>
      </x:c>
      <x:c r="T71" s="75" t="str">
        <x:v>EXACT_ZERO_AFTER_COMPLETE_54_EVENT_COVERAGE</x:v>
      </x:c>
      <x:c r="U71" s="75" t="str">
        <x:v>NONE</x:v>
      </x:c>
    </x:row>
    <x:row r="72">
      <x:c r="A72" s="68" t="str">
        <x:v>S05-CYC-023fefe9172c781d2d998241</x:v>
      </x:c>
      <x:c r="B72" s="68" t="str">
        <x:v>ACTIVE</x:v>
      </x:c>
      <x:c r="C72" s="68" t="str">
        <x:v>K03-ACT-023FEFE9172C781D2D998241</x:v>
      </x:c>
      <x:c r="D72" s="68" t="str">
        <x:v>T068</x:v>
      </x:c>
      <x:c r="E72" s="68" t="str">
        <x:v>BTCUSDT</x:v>
      </x:c>
      <x:c r="F72" s="68" t="str">
        <x:v>SHORT</x:v>
      </x:c>
      <x:c r="G72" s="80" t="n">
        <x:v>46177.054930555554</x:v>
      </x:c>
      <x:c r="H72" s="80" t="n">
        <x:v>46177.078784722224</x:v>
      </x:c>
      <x:c r="I72" s="83" t="n">
        <x:v>78</x:v>
      </x:c>
      <x:c r="J72" s="83" t="n">
        <x:v>39</x:v>
      </x:c>
      <x:c r="K72" s="86" t="n">
        <x:v>345</x:v>
      </x:c>
      <x:c r="L72" s="86" t="n">
        <x:v>131.69099994</x:v>
      </x:c>
      <x:c r="M72" s="86" t="n">
        <x:v>0</x:v>
      </x:c>
      <x:c r="N72" s="83" t="n">
        <x:v>0</x:v>
      </x:c>
      <x:c r="O72" s="86" t="n">
        <x:v>213.30900006</x:v>
      </x:c>
      <x:c r="P72" s="86" t="n">
        <x:v>26.3382</x:v>
      </x:c>
      <x:c r="Q72" s="83" t="n">
        <x:v>39</x:v>
      </x:c>
      <x:c r="R72" s="89" t="n">
        <x:v>239.64720006</x:v>
      </x:c>
      <x:c r="S72" s="68" t="str">
        <x:v>WIN</x:v>
      </x:c>
      <x:c r="T72" s="75" t="str">
        <x:v>EXACT_ZERO_AFTER_COMPLETE_54_EVENT_COVERAGE</x:v>
      </x:c>
      <x:c r="U72" s="75" t="str">
        <x:v>NONE</x:v>
      </x:c>
    </x:row>
    <x:row r="73">
      <x:c r="A73" s="68" t="str">
        <x:v>S05-CYC-7ec9f9da6cbd79d13f79b2f9</x:v>
      </x:c>
      <x:c r="B73" s="68" t="str">
        <x:v>ACTIVE</x:v>
      </x:c>
      <x:c r="C73" s="68" t="str">
        <x:v>K03-ACT-7EC9F9DA6CBD79D13F79B2F9</x:v>
      </x:c>
      <x:c r="D73" s="68" t="str">
        <x:v>T069</x:v>
      </x:c>
      <x:c r="E73" s="68" t="str">
        <x:v>BTCUSDT</x:v>
      </x:c>
      <x:c r="F73" s="68" t="str">
        <x:v>SHORT</x:v>
      </x:c>
      <x:c r="G73" s="80" t="n">
        <x:v>46177.13005787037</x:v>
      </x:c>
      <x:c r="H73" s="80" t="n">
        <x:v>46177.25003472222</x:v>
      </x:c>
      <x:c r="I73" s="83" t="n">
        <x:v>79</x:v>
      </x:c>
      <x:c r="J73" s="83" t="n">
        <x:v>27</x:v>
      </x:c>
      <x:c r="K73" s="86" t="n">
        <x:v>1318.99999986</x:v>
      </x:c>
      <x:c r="L73" s="86" t="n">
        <x:v>210.52299999</x:v>
      </x:c>
      <x:c r="M73" s="86" t="n">
        <x:v>0</x:v>
      </x:c>
      <x:c r="N73" s="83" t="n">
        <x:v>0</x:v>
      </x:c>
      <x:c r="O73" s="86" t="n">
        <x:v>1108.47699987</x:v>
      </x:c>
      <x:c r="P73" s="86" t="n">
        <x:v>42.1046</x:v>
      </x:c>
      <x:c r="Q73" s="83" t="n">
        <x:v>27</x:v>
      </x:c>
      <x:c r="R73" s="89" t="n">
        <x:v>1150.58159987</x:v>
      </x:c>
      <x:c r="S73" s="68" t="str">
        <x:v>WIN</x:v>
      </x:c>
      <x:c r="T73" s="75" t="str">
        <x:v>EXACT_ZERO_AFTER_COMPLETE_54_EVENT_COVERAGE</x:v>
      </x:c>
      <x:c r="U73" s="75" t="str">
        <x:v>NONE</x:v>
      </x:c>
    </x:row>
    <x:row r="74">
      <x:c r="A74" s="68" t="str">
        <x:v>S05-CYC-43ba437c79a5ddadcaf72a37</x:v>
      </x:c>
      <x:c r="B74" s="68" t="str">
        <x:v>ACTIVE</x:v>
      </x:c>
      <x:c r="C74" s="68" t="str">
        <x:v>K03-ACT-43BA437C79A5DDADCAF72A37</x:v>
      </x:c>
      <x:c r="D74" s="68" t="str">
        <x:v>T070</x:v>
      </x:c>
      <x:c r="E74" s="68" t="str">
        <x:v>BTCUSDT</x:v>
      </x:c>
      <x:c r="F74" s="68" t="str">
        <x:v>LONG</x:v>
      </x:c>
      <x:c r="G74" s="80" t="n">
        <x:v>46177.29290509259</x:v>
      </x:c>
      <x:c r="H74" s="80" t="n">
        <x:v>46177.374560185184</x:v>
      </x:c>
      <x:c r="I74" s="83" t="n">
        <x:v>80</x:v>
      </x:c>
      <x:c r="J74" s="83" t="n">
        <x:v>14</x:v>
      </x:c>
      <x:c r="K74" s="86" t="n">
        <x:v>15.93999999</x:v>
      </x:c>
      <x:c r="L74" s="86" t="n">
        <x:v>6.07265197</x:v>
      </x:c>
      <x:c r="M74" s="86" t="n">
        <x:v>-0.01734381</x:v>
      </x:c>
      <x:c r="N74" s="83" t="n">
        <x:v>1</x:v>
      </x:c>
      <x:c r="O74" s="86" t="n">
        <x:v>9.85000421</x:v>
      </x:c>
      <x:c r="P74" s="86" t="n">
        <x:v>1.2145304</x:v>
      </x:c>
      <x:c r="Q74" s="83" t="n">
        <x:v>14</x:v>
      </x:c>
      <x:c r="R74" s="89" t="n">
        <x:v>11.06453461</x:v>
      </x:c>
      <x:c r="S74" s="68" t="str">
        <x:v>WIN</x:v>
      </x:c>
      <x:c r="T74" s="75" t="str">
        <x:v>OBSERVED_EVENT_SUM</x:v>
      </x:c>
      <x:c r="U74" s="75" t="str">
        <x:v>NONE</x:v>
      </x:c>
    </x:row>
    <x:row r="75">
      <x:c r="A75" s="68" t="str">
        <x:v>S05-CYC-ba05a9b546e533d95d07c8c5</x:v>
      </x:c>
      <x:c r="B75" s="68" t="str">
        <x:v>ACTIVE</x:v>
      </x:c>
      <x:c r="C75" s="68" t="str">
        <x:v>K03-ACT-BA05A9B546E533D95D07C8C5</x:v>
      </x:c>
      <x:c r="D75" s="68" t="str">
        <x:v>T071</x:v>
      </x:c>
      <x:c r="E75" s="68" t="str">
        <x:v>BTCUSDT</x:v>
      </x:c>
      <x:c r="F75" s="68" t="str">
        <x:v>SHORT</x:v>
      </x:c>
      <x:c r="G75" s="80" t="n">
        <x:v>46177.38652777778</x:v>
      </x:c>
      <x:c r="H75" s="80" t="n">
        <x:v>46177.38893518518</x:v>
      </x:c>
      <x:c r="I75" s="83" t="n">
        <x:v>81</x:v>
      </x:c>
      <x:c r="J75" s="83" t="n">
        <x:v>17</x:v>
      </x:c>
      <x:c r="K75" s="86" t="n">
        <x:v>248.5</x:v>
      </x:c>
      <x:c r="L75" s="86" t="n">
        <x:v>110.18349998</x:v>
      </x:c>
      <x:c r="M75" s="86" t="n">
        <x:v>0</x:v>
      </x:c>
      <x:c r="N75" s="83" t="n">
        <x:v>0</x:v>
      </x:c>
      <x:c r="O75" s="86" t="n">
        <x:v>138.31650002</x:v>
      </x:c>
      <x:c r="P75" s="86" t="n">
        <x:v>22.0367</x:v>
      </x:c>
      <x:c r="Q75" s="83" t="n">
        <x:v>17</x:v>
      </x:c>
      <x:c r="R75" s="89" t="n">
        <x:v>160.35320002</x:v>
      </x:c>
      <x:c r="S75" s="68" t="str">
        <x:v>WIN</x:v>
      </x:c>
      <x:c r="T75" s="75" t="str">
        <x:v>EXACT_ZERO_AFTER_COMPLETE_54_EVENT_COVERAGE</x:v>
      </x:c>
      <x:c r="U75" s="75" t="str">
        <x:v>NONE</x:v>
      </x:c>
    </x:row>
    <x:row r="76">
      <x:c r="A76" s="68" t="str">
        <x:v>S05-CYC-32856ed4c7c4a053598df536</x:v>
      </x:c>
      <x:c r="B76" s="68" t="str">
        <x:v>ACTIVE</x:v>
      </x:c>
      <x:c r="C76" s="68" t="str">
        <x:v>K03-ACT-32856ED4C7C4A053598DF536</x:v>
      </x:c>
      <x:c r="D76" s="68" t="str">
        <x:v>T072</x:v>
      </x:c>
      <x:c r="E76" s="68" t="str">
        <x:v>BTCUSDT</x:v>
      </x:c>
      <x:c r="F76" s="68" t="str">
        <x:v>SHORT</x:v>
      </x:c>
      <x:c r="G76" s="80" t="n">
        <x:v>46177.399560185186</x:v>
      </x:c>
      <x:c r="H76" s="80" t="n">
        <x:v>46177.41883101852</x:v>
      </x:c>
      <x:c r="I76" s="83" t="n">
        <x:v>82</x:v>
      </x:c>
      <x:c r="J76" s="83" t="n">
        <x:v>9</x:v>
      </x:c>
      <x:c r="K76" s="86" t="n">
        <x:v>2902.6</x:v>
      </x:c>
      <x:c r="L76" s="86" t="n">
        <x:v>86.85649999</x:v>
      </x:c>
      <x:c r="M76" s="86" t="n">
        <x:v>0</x:v>
      </x:c>
      <x:c r="N76" s="83" t="n">
        <x:v>0</x:v>
      </x:c>
      <x:c r="O76" s="86" t="n">
        <x:v>2815.74350001</x:v>
      </x:c>
      <x:c r="P76" s="86" t="n">
        <x:v>17.3713</x:v>
      </x:c>
      <x:c r="Q76" s="83" t="n">
        <x:v>9</x:v>
      </x:c>
      <x:c r="R76" s="89" t="n">
        <x:v>2833.11480001</x:v>
      </x:c>
      <x:c r="S76" s="68" t="str">
        <x:v>WIN</x:v>
      </x:c>
      <x:c r="T76" s="75" t="str">
        <x:v>EXACT_ZERO_AFTER_COMPLETE_54_EVENT_COVERAGE</x:v>
      </x:c>
      <x:c r="U76" s="75" t="str">
        <x:v>NONE</x:v>
      </x:c>
    </x:row>
    <x:row r="77">
      <x:c r="A77" s="68" t="str">
        <x:v>S05-CYC-0c19689738e86138a23c3b08</x:v>
      </x:c>
      <x:c r="B77" s="68" t="str">
        <x:v>ACTIVE</x:v>
      </x:c>
      <x:c r="C77" s="68" t="str">
        <x:v>K03-ACT-0C19689738E86138A23C3B08</x:v>
      </x:c>
      <x:c r="D77" s="68" t="str">
        <x:v>T073</x:v>
      </x:c>
      <x:c r="E77" s="68" t="str">
        <x:v>WLDUSDT</x:v>
      </x:c>
      <x:c r="F77" s="68" t="str">
        <x:v>LONG</x:v>
      </x:c>
      <x:c r="G77" s="80" t="n">
        <x:v>46177.46591435185</x:v>
      </x:c>
      <x:c r="H77" s="80" t="n">
        <x:v>46177.46979166666</x:v>
      </x:c>
      <x:c r="I77" s="83" t="n">
        <x:v>83</x:v>
      </x:c>
      <x:c r="J77" s="83" t="n">
        <x:v>4</x:v>
      </x:c>
      <x:c r="K77" s="86" t="n">
        <x:v>35.714</x:v>
      </x:c>
      <x:c r="L77" s="86" t="n">
        <x:v>4.0071108</x:v>
      </x:c>
      <x:c r="M77" s="86" t="n">
        <x:v>0</x:v>
      </x:c>
      <x:c r="N77" s="83" t="n">
        <x:v>0</x:v>
      </x:c>
      <x:c r="O77" s="86" t="n">
        <x:v>31.7068892</x:v>
      </x:c>
      <x:c r="P77" s="86" t="n">
        <x:v>0.80142216</x:v>
      </x:c>
      <x:c r="Q77" s="83" t="n">
        <x:v>4</x:v>
      </x:c>
      <x:c r="R77" s="89" t="n">
        <x:v>32.50831136</x:v>
      </x:c>
      <x:c r="S77" s="68" t="str">
        <x:v>WIN</x:v>
      </x:c>
      <x:c r="T77" s="75" t="str">
        <x:v>EXACT_ZERO_AFTER_COMPLETE_54_EVENT_COVERAGE</x:v>
      </x:c>
      <x:c r="U77" s="75" t="str">
        <x:v>NONE</x:v>
      </x:c>
    </x:row>
    <x:row r="78">
      <x:c r="A78" s="68" t="str">
        <x:v>S05-CYC-c0d29e5b0407acbe287144dd</x:v>
      </x:c>
      <x:c r="B78" s="68" t="str">
        <x:v>ACTIVE</x:v>
      </x:c>
      <x:c r="C78" s="68" t="str">
        <x:v>K03-ACT-C0D29E5B0407ACBE287144DD</x:v>
      </x:c>
      <x:c r="D78" s="68" t="str">
        <x:v>T074</x:v>
      </x:c>
      <x:c r="E78" s="68" t="str">
        <x:v>BTCUSDT</x:v>
      </x:c>
      <x:c r="F78" s="68" t="str">
        <x:v>SHORT</x:v>
      </x:c>
      <x:c r="G78" s="80" t="n">
        <x:v>46177.784537037034</x:v>
      </x:c>
      <x:c r="H78" s="80" t="n">
        <x:v>46177.78591435185</x:v>
      </x:c>
      <x:c r="I78" s="83" t="n">
        <x:v>84</x:v>
      </x:c>
      <x:c r="J78" s="83" t="n">
        <x:v>3</x:v>
      </x:c>
      <x:c r="K78" s="86" t="n">
        <x:v>91.3</x:v>
      </x:c>
      <x:c r="L78" s="86" t="n">
        <x:v>43.66685</x:v>
      </x:c>
      <x:c r="M78" s="86" t="n">
        <x:v>0</x:v>
      </x:c>
      <x:c r="N78" s="83" t="n">
        <x:v>0</x:v>
      </x:c>
      <x:c r="O78" s="86" t="n">
        <x:v>47.63315</x:v>
      </x:c>
      <x:c r="P78" s="86" t="n">
        <x:v>8.73337</x:v>
      </x:c>
      <x:c r="Q78" s="83" t="n">
        <x:v>3</x:v>
      </x:c>
      <x:c r="R78" s="89" t="n">
        <x:v>56.36652</x:v>
      </x:c>
      <x:c r="S78" s="68" t="str">
        <x:v>WIN</x:v>
      </x:c>
      <x:c r="T78" s="75" t="str">
        <x:v>EXACT_ZERO_AFTER_COMPLETE_54_EVENT_COVERAGE</x:v>
      </x:c>
      <x:c r="U78" s="75" t="str">
        <x:v>NONE</x:v>
      </x:c>
    </x:row>
    <x:row r="79">
      <x:c r="A79" s="68" t="str">
        <x:v>S05-CYC-7851224042e2f2bfe2d36ee0</x:v>
      </x:c>
      <x:c r="B79" s="68" t="str">
        <x:v>ACTIVE</x:v>
      </x:c>
      <x:c r="C79" s="68" t="str">
        <x:v>K03-ACT-7851224042E2F2BFE2D36EE0</x:v>
      </x:c>
      <x:c r="D79" s="68" t="str">
        <x:v>T075</x:v>
      </x:c>
      <x:c r="E79" s="68" t="str">
        <x:v>BTCUSDT</x:v>
      </x:c>
      <x:c r="F79" s="68" t="str">
        <x:v>SHORT</x:v>
      </x:c>
      <x:c r="G79" s="80" t="n">
        <x:v>46177.82424768519</x:v>
      </x:c>
      <x:c r="H79" s="80" t="n">
        <x:v>46177.83482638889</x:v>
      </x:c>
      <x:c r="I79" s="83" t="n">
        <x:v>85</x:v>
      </x:c>
      <x:c r="J79" s="83" t="n">
        <x:v>59</x:v>
      </x:c>
      <x:c r="K79" s="86" t="n">
        <x:v>-239.55250001</x:v>
      </x:c>
      <x:c r="L79" s="86" t="n">
        <x:v>86.35304324</x:v>
      </x:c>
      <x:c r="M79" s="86" t="n">
        <x:v>0</x:v>
      </x:c>
      <x:c r="N79" s="83" t="n">
        <x:v>0</x:v>
      </x:c>
      <x:c r="O79" s="86" t="n">
        <x:v>-325.90554325</x:v>
      </x:c>
      <x:c r="P79" s="86" t="n">
        <x:v>17.27060864</x:v>
      </x:c>
      <x:c r="Q79" s="83" t="n">
        <x:v>59</x:v>
      </x:c>
      <x:c r="R79" s="89" t="n">
        <x:v>-308.63493461</x:v>
      </x:c>
      <x:c r="S79" s="68" t="str">
        <x:v>LOSS</x:v>
      </x:c>
      <x:c r="T79" s="75" t="str">
        <x:v>EXACT_ZERO_AFTER_COMPLETE_54_EVENT_COVERAGE</x:v>
      </x:c>
      <x:c r="U79" s="75" t="str">
        <x:v>NONE</x:v>
      </x:c>
    </x:row>
    <x:row r="80">
      <x:c r="A80" s="68" t="str">
        <x:v>S05-CYC-56e4a3fdc5ed4bcd52db4869</x:v>
      </x:c>
      <x:c r="B80" s="68" t="str">
        <x:v>ACTIVE</x:v>
      </x:c>
      <x:c r="C80" s="68" t="str">
        <x:v>K03-ACT-56E4A3FDC5ED4BCD52DB4869</x:v>
      </x:c>
      <x:c r="D80" s="68" t="str">
        <x:v>T076</x:v>
      </x:c>
      <x:c r="E80" s="68" t="str">
        <x:v>BTCUSDT</x:v>
      </x:c>
      <x:c r="F80" s="68" t="str">
        <x:v>LONG</x:v>
      </x:c>
      <x:c r="G80" s="80" t="n">
        <x:v>46177.45479166666</x:v>
      </x:c>
      <x:c r="H80" s="80" t="n">
        <x:v>46177.84442129629</x:v>
      </x:c>
      <x:c r="I80" s="83" t="n">
        <x:v>86</x:v>
      </x:c>
      <x:c r="J80" s="83" t="n">
        <x:v>18</x:v>
      </x:c>
      <x:c r="K80" s="86" t="n">
        <x:v>34.49419999</x:v>
      </x:c>
      <x:c r="L80" s="86" t="n">
        <x:v>21.95400529</x:v>
      </x:c>
      <x:c r="M80" s="86" t="n">
        <x:v>-0.00096562</x:v>
      </x:c>
      <x:c r="N80" s="83" t="n">
        <x:v>1</x:v>
      </x:c>
      <x:c r="O80" s="86" t="n">
        <x:v>12.53922908</x:v>
      </x:c>
      <x:c r="P80" s="86" t="n">
        <x:v>4.39080106</x:v>
      </x:c>
      <x:c r="Q80" s="83" t="n">
        <x:v>18</x:v>
      </x:c>
      <x:c r="R80" s="89" t="n">
        <x:v>16.93003014</x:v>
      </x:c>
      <x:c r="S80" s="68" t="str">
        <x:v>WIN</x:v>
      </x:c>
      <x:c r="T80" s="75" t="str">
        <x:v>OBSERVED_EVENT_SUM</x:v>
      </x:c>
      <x:c r="U80" s="75" t="str">
        <x:v>NONE</x:v>
      </x:c>
    </x:row>
    <x:row r="81">
      <x:c r="A81" s="68" t="str">
        <x:v>S05-CYC-e594febe06ac051ad4c55e1a</x:v>
      </x:c>
      <x:c r="B81" s="68" t="str">
        <x:v>ACTIVE</x:v>
      </x:c>
      <x:c r="C81" s="68" t="str">
        <x:v>K03-ACT-E594FEBE06AC051AD4C55E1A</x:v>
      </x:c>
      <x:c r="D81" s="68" t="str">
        <x:v>T077</x:v>
      </x:c>
      <x:c r="E81" s="68" t="str">
        <x:v>BTCUSDT</x:v>
      </x:c>
      <x:c r="F81" s="68" t="str">
        <x:v>LONG</x:v>
      </x:c>
      <x:c r="G81" s="80" t="n">
        <x:v>46177.8878587963</x:v>
      </x:c>
      <x:c r="H81" s="80" t="n">
        <x:v>46177.89655092593</x:v>
      </x:c>
      <x:c r="I81" s="83" t="n">
        <x:v>87</x:v>
      </x:c>
      <x:c r="J81" s="83" t="n">
        <x:v>36</x:v>
      </x:c>
      <x:c r="K81" s="86" t="n">
        <x:v>65.09699993</x:v>
      </x:c>
      <x:c r="L81" s="86" t="n">
        <x:v>183.39850139</x:v>
      </x:c>
      <x:c r="M81" s="86" t="n">
        <x:v>0</x:v>
      </x:c>
      <x:c r="N81" s="83" t="n">
        <x:v>0</x:v>
      </x:c>
      <x:c r="O81" s="86" t="n">
        <x:v>-118.30150146</x:v>
      </x:c>
      <x:c r="P81" s="86" t="n">
        <x:v>36.67970028</x:v>
      </x:c>
      <x:c r="Q81" s="83" t="n">
        <x:v>36</x:v>
      </x:c>
      <x:c r="R81" s="89" t="n">
        <x:v>-81.62180118</x:v>
      </x:c>
      <x:c r="S81" s="68" t="str">
        <x:v>LOSS</x:v>
      </x:c>
      <x:c r="T81" s="75" t="str">
        <x:v>EXACT_ZERO_AFTER_COMPLETE_54_EVENT_COVERAGE</x:v>
      </x:c>
      <x:c r="U81" s="75" t="str">
        <x:v>NONE</x:v>
      </x:c>
    </x:row>
    <x:row r="82">
      <x:c r="A82" s="68" t="str">
        <x:v>S05-CYC-0450aff851b87f72156b3eb2</x:v>
      </x:c>
      <x:c r="B82" s="68" t="str">
        <x:v>ACTIVE</x:v>
      </x:c>
      <x:c r="C82" s="68" t="str">
        <x:v>K03-ACT-0450AFF851B87F72156B3EB2</x:v>
      </x:c>
      <x:c r="D82" s="68" t="str">
        <x:v>T078</x:v>
      </x:c>
      <x:c r="E82" s="68" t="str">
        <x:v>BTCUSDT</x:v>
      </x:c>
      <x:c r="F82" s="68" t="str">
        <x:v>SHORT</x:v>
      </x:c>
      <x:c r="G82" s="80" t="n">
        <x:v>46177.93167824074</x:v>
      </x:c>
      <x:c r="H82" s="80" t="n">
        <x:v>46177.94248842592</x:v>
      </x:c>
      <x:c r="I82" s="83" t="n">
        <x:v>88</x:v>
      </x:c>
      <x:c r="J82" s="83" t="n">
        <x:v>14</x:v>
      </x:c>
      <x:c r="K82" s="86" t="n">
        <x:v>942</x:v>
      </x:c>
      <x:c r="L82" s="86" t="n">
        <x:v>76.788</x:v>
      </x:c>
      <x:c r="M82" s="86" t="n">
        <x:v>0</x:v>
      </x:c>
      <x:c r="N82" s="83" t="n">
        <x:v>0</x:v>
      </x:c>
      <x:c r="O82" s="86" t="n">
        <x:v>865.212</x:v>
      </x:c>
      <x:c r="P82" s="86" t="n">
        <x:v>15.3576</x:v>
      </x:c>
      <x:c r="Q82" s="83" t="n">
        <x:v>14</x:v>
      </x:c>
      <x:c r="R82" s="89" t="n">
        <x:v>880.5696</x:v>
      </x:c>
      <x:c r="S82" s="68" t="str">
        <x:v>WIN</x:v>
      </x:c>
      <x:c r="T82" s="75" t="str">
        <x:v>EXACT_ZERO_AFTER_COMPLETE_54_EVENT_COVERAGE</x:v>
      </x:c>
      <x:c r="U82" s="75" t="str">
        <x:v>NONE</x:v>
      </x:c>
    </x:row>
    <x:row r="83">
      <x:c r="A83" s="68" t="str">
        <x:v>S05-CYC-a014a64aa4296f3d87be45fd</x:v>
      </x:c>
      <x:c r="B83" s="68" t="str">
        <x:v>ACTIVE</x:v>
      </x:c>
      <x:c r="C83" s="68" t="str">
        <x:v>K03-ACT-A014A64AA4296F3D87BE45FD</x:v>
      </x:c>
      <x:c r="D83" s="68" t="str">
        <x:v>T079</x:v>
      </x:c>
      <x:c r="E83" s="68" t="str">
        <x:v>XAUUSDT</x:v>
      </x:c>
      <x:c r="F83" s="68" t="str">
        <x:v>SHORT</x:v>
      </x:c>
      <x:c r="G83" s="80" t="n">
        <x:v>46177.9585300926</x:v>
      </x:c>
      <x:c r="H83" s="80" t="n">
        <x:v>46177.95930555556</x:v>
      </x:c>
      <x:c r="I83" s="83" t="n">
        <x:v>89</x:v>
      </x:c>
      <x:c r="J83" s="83" t="n">
        <x:v>43</x:v>
      </x:c>
      <x:c r="K83" s="86" t="n">
        <x:v>79.73256994</x:v>
      </x:c>
      <x:c r="L83" s="86" t="n">
        <x:v>89.38810685</x:v>
      </x:c>
      <x:c r="M83" s="86" t="n">
        <x:v>0</x:v>
      </x:c>
      <x:c r="N83" s="83" t="n">
        <x:v>0</x:v>
      </x:c>
      <x:c r="O83" s="86" t="n">
        <x:v>-9.65553691</x:v>
      </x:c>
      <x:c r="P83" s="86" t="n">
        <x:v>17.87762139</x:v>
      </x:c>
      <x:c r="Q83" s="83" t="n">
        <x:v>33</x:v>
      </x:c>
      <x:c r="R83" s="89" t="n">
        <x:v>8.22208448</x:v>
      </x:c>
      <x:c r="S83" s="68" t="str">
        <x:v>WIN</x:v>
      </x:c>
      <x:c r="T83" s="75" t="str">
        <x:v>EXACT_ZERO_AFTER_COMPLETE_54_EVENT_COVERAGE</x:v>
      </x:c>
      <x:c r="U83" s="75" t="str">
        <x:v>NONE</x:v>
      </x:c>
    </x:row>
    <x:row r="84">
      <x:c r="A84" s="68" t="str">
        <x:v>S05-CYC-def0a4639af3a855a4798d64</x:v>
      </x:c>
      <x:c r="B84" s="68" t="str">
        <x:v>ACTIVE</x:v>
      </x:c>
      <x:c r="C84" s="68" t="str">
        <x:v>K03-ACT-DEF0A4639AF3A855A4798D64</x:v>
      </x:c>
      <x:c r="D84" s="68" t="str">
        <x:v>T080</x:v>
      </x:c>
      <x:c r="E84" s="68" t="str">
        <x:v>BTCUSDT</x:v>
      </x:c>
      <x:c r="F84" s="68" t="str">
        <x:v>SHORT</x:v>
      </x:c>
      <x:c r="G84" s="80" t="n">
        <x:v>46178.00528935185</x:v>
      </x:c>
      <x:c r="H84" s="80" t="n">
        <x:v>46178.07135416666</x:v>
      </x:c>
      <x:c r="I84" s="83" t="n">
        <x:v>90</x:v>
      </x:c>
      <x:c r="J84" s="83" t="n">
        <x:v>12</x:v>
      </x:c>
      <x:c r="K84" s="86" t="n">
        <x:v>860.3</x:v>
      </x:c>
      <x:c r="L84" s="86" t="n">
        <x:v>25.35446</x:v>
      </x:c>
      <x:c r="M84" s="86" t="n">
        <x:v>0</x:v>
      </x:c>
      <x:c r="N84" s="83" t="n">
        <x:v>0</x:v>
      </x:c>
      <x:c r="O84" s="86" t="n">
        <x:v>834.94554</x:v>
      </x:c>
      <x:c r="P84" s="86" t="n">
        <x:v>5.07089199</x:v>
      </x:c>
      <x:c r="Q84" s="83" t="n">
        <x:v>12</x:v>
      </x:c>
      <x:c r="R84" s="89" t="n">
        <x:v>840.01643199</x:v>
      </x:c>
      <x:c r="S84" s="68" t="str">
        <x:v>WIN</x:v>
      </x:c>
      <x:c r="T84" s="75" t="str">
        <x:v>EXACT_ZERO_AFTER_COMPLETE_54_EVENT_COVERAGE</x:v>
      </x:c>
      <x:c r="U84" s="75" t="str">
        <x:v>NONE</x:v>
      </x:c>
    </x:row>
    <x:row r="85">
      <x:c r="A85" s="68" t="str">
        <x:v>S05-CYC-cb5c85b209b0c3e0af44c3c4</x:v>
      </x:c>
      <x:c r="B85" s="68" t="str">
        <x:v>ACTIVE</x:v>
      </x:c>
      <x:c r="C85" s="68" t="str">
        <x:v>K03-ACT-CB5C85B209B0C3E0AF44C3C4</x:v>
      </x:c>
      <x:c r="D85" s="68" t="str">
        <x:v>T081</x:v>
      </x:c>
      <x:c r="E85" s="68" t="str">
        <x:v>BTCUSDT</x:v>
      </x:c>
      <x:c r="F85" s="68" t="str">
        <x:v>SHORT</x:v>
      </x:c>
      <x:c r="G85" s="80" t="n">
        <x:v>46178.60704861111</x:v>
      </x:c>
      <x:c r="H85" s="80" t="n">
        <x:v>46178.60841435185</x:v>
      </x:c>
      <x:c r="I85" s="83" t="n">
        <x:v>91</x:v>
      </x:c>
      <x:c r="J85" s="83" t="n">
        <x:v>99</x:v>
      </x:c>
      <x:c r="K85" s="86" t="n">
        <x:v>144.6666</x:v>
      </x:c>
      <x:c r="L85" s="86" t="n">
        <x:v>95.29447668</x:v>
      </x:c>
      <x:c r="M85" s="86" t="n">
        <x:v>0</x:v>
      </x:c>
      <x:c r="N85" s="83" t="n">
        <x:v>0</x:v>
      </x:c>
      <x:c r="O85" s="86" t="n">
        <x:v>49.37212332</x:v>
      </x:c>
      <x:c r="P85" s="86" t="n">
        <x:v>19.05889534</x:v>
      </x:c>
      <x:c r="Q85" s="83" t="n">
        <x:v>99</x:v>
      </x:c>
      <x:c r="R85" s="89" t="n">
        <x:v>68.43101866</x:v>
      </x:c>
      <x:c r="S85" s="68" t="str">
        <x:v>WIN</x:v>
      </x:c>
      <x:c r="T85" s="75" t="str">
        <x:v>EXACT_ZERO_AFTER_COMPLETE_54_EVENT_COVERAGE</x:v>
      </x:c>
      <x:c r="U85" s="75" t="str">
        <x:v>NONE</x:v>
      </x:c>
    </x:row>
    <x:row r="86">
      <x:c r="A86" s="68" t="str">
        <x:v>S05-CYC-cb3d18d098437140d64b18ba</x:v>
      </x:c>
      <x:c r="B86" s="68" t="str">
        <x:v>ACTIVE</x:v>
      </x:c>
      <x:c r="C86" s="68" t="str">
        <x:v>K03-ACT-CB3D18D098437140D64B18BA</x:v>
      </x:c>
      <x:c r="D86" s="68" t="str">
        <x:v>T082</x:v>
      </x:c>
      <x:c r="E86" s="68" t="str">
        <x:v>BTCUSDT</x:v>
      </x:c>
      <x:c r="F86" s="68" t="str">
        <x:v>SHORT</x:v>
      </x:c>
      <x:c r="G86" s="80" t="n">
        <x:v>46178.65133101852</x:v>
      </x:c>
      <x:c r="H86" s="80" t="n">
        <x:v>46178.65770833333</x:v>
      </x:c>
      <x:c r="I86" s="83" t="n">
        <x:v>92</x:v>
      </x:c>
      <x:c r="J86" s="83" t="n">
        <x:v>23</x:v>
      </x:c>
      <x:c r="K86" s="86" t="n">
        <x:v>97.5</x:v>
      </x:c>
      <x:c r="L86" s="86" t="n">
        <x:v>37.6461</x:v>
      </x:c>
      <x:c r="M86" s="86" t="n">
        <x:v>0</x:v>
      </x:c>
      <x:c r="N86" s="83" t="n">
        <x:v>0</x:v>
      </x:c>
      <x:c r="O86" s="86" t="n">
        <x:v>59.8539</x:v>
      </x:c>
      <x:c r="P86" s="86" t="n">
        <x:v>7.52922</x:v>
      </x:c>
      <x:c r="Q86" s="83" t="n">
        <x:v>23</x:v>
      </x:c>
      <x:c r="R86" s="89" t="n">
        <x:v>67.38312</x:v>
      </x:c>
      <x:c r="S86" s="68" t="str">
        <x:v>WIN</x:v>
      </x:c>
      <x:c r="T86" s="75" t="str">
        <x:v>EXACT_ZERO_AFTER_COMPLETE_54_EVENT_COVERAGE</x:v>
      </x:c>
      <x:c r="U86" s="75" t="str">
        <x:v>NONE</x:v>
      </x:c>
    </x:row>
    <x:row r="87">
      <x:c r="A87" s="68" t="str">
        <x:v>S05-CYC-92ec04682276f3bc090c4c4d</x:v>
      </x:c>
      <x:c r="B87" s="68" t="str">
        <x:v>ACTIVE</x:v>
      </x:c>
      <x:c r="C87" s="68" t="str">
        <x:v>K03-ACT-92EC04682276F3BC090C4C4D</x:v>
      </x:c>
      <x:c r="D87" s="68" t="str">
        <x:v>T083</x:v>
      </x:c>
      <x:c r="E87" s="68" t="str">
        <x:v>ZECUSDT</x:v>
      </x:c>
      <x:c r="F87" s="68" t="str">
        <x:v>SHORT</x:v>
      </x:c>
      <x:c r="G87" s="80" t="n">
        <x:v>46178.66982638889</x:v>
      </x:c>
      <x:c r="H87" s="80" t="n">
        <x:v>46178.67064814815</x:v>
      </x:c>
      <x:c r="I87" s="83" t="n">
        <x:v>93</x:v>
      </x:c>
      <x:c r="J87" s="83" t="n">
        <x:v>96</x:v>
      </x:c>
      <x:c r="K87" s="86" t="n">
        <x:v>183.08875</x:v>
      </x:c>
      <x:c r="L87" s="86" t="n">
        <x:v>22.16845548</x:v>
      </x:c>
      <x:c r="M87" s="86" t="n">
        <x:v>0</x:v>
      </x:c>
      <x:c r="N87" s="83" t="n">
        <x:v>0</x:v>
      </x:c>
      <x:c r="O87" s="86" t="n">
        <x:v>160.92029452</x:v>
      </x:c>
      <x:c r="P87" s="86" t="n">
        <x:v>4.43369108</x:v>
      </x:c>
      <x:c r="Q87" s="83" t="n">
        <x:v>96</x:v>
      </x:c>
      <x:c r="R87" s="89" t="n">
        <x:v>165.3539856</x:v>
      </x:c>
      <x:c r="S87" s="68" t="str">
        <x:v>WIN</x:v>
      </x:c>
      <x:c r="T87" s="75" t="str">
        <x:v>EXACT_ZERO_AFTER_COMPLETE_54_EVENT_COVERAGE</x:v>
      </x:c>
      <x:c r="U87" s="75" t="str">
        <x:v>NONE</x:v>
      </x:c>
    </x:row>
    <x:row r="88">
      <x:c r="A88" s="68" t="str">
        <x:v>S05-CYC-4d929968568f8d7a5da7fbe0</x:v>
      </x:c>
      <x:c r="B88" s="68" t="str">
        <x:v>ACTIVE</x:v>
      </x:c>
      <x:c r="C88" s="68" t="str">
        <x:v>K03-ACT-4D929968568F8D7A5DA7FBE0</x:v>
      </x:c>
      <x:c r="D88" s="68" t="str">
        <x:v>T084</x:v>
      </x:c>
      <x:c r="E88" s="68" t="str">
        <x:v>BTCUSDT</x:v>
      </x:c>
      <x:c r="F88" s="68" t="str">
        <x:v>SHORT</x:v>
      </x:c>
      <x:c r="G88" s="80" t="n">
        <x:v>46178.67126157407</x:v>
      </x:c>
      <x:c r="H88" s="80" t="n">
        <x:v>46178.67209490741</x:v>
      </x:c>
      <x:c r="I88" s="83" t="n">
        <x:v>94</x:v>
      </x:c>
      <x:c r="J88" s="83" t="n">
        <x:v>45</x:v>
      </x:c>
      <x:c r="K88" s="86" t="n">
        <x:v>167.499</x:v>
      </x:c>
      <x:c r="L88" s="86" t="n">
        <x:v>66.00535042</x:v>
      </x:c>
      <x:c r="M88" s="86" t="n">
        <x:v>0</x:v>
      </x:c>
      <x:c r="N88" s="83" t="n">
        <x:v>0</x:v>
      </x:c>
      <x:c r="O88" s="86" t="n">
        <x:v>101.49364958</x:v>
      </x:c>
      <x:c r="P88" s="86" t="n">
        <x:v>13.2010701</x:v>
      </x:c>
      <x:c r="Q88" s="83" t="n">
        <x:v>45</x:v>
      </x:c>
      <x:c r="R88" s="89" t="n">
        <x:v>114.69471968</x:v>
      </x:c>
      <x:c r="S88" s="68" t="str">
        <x:v>WIN</x:v>
      </x:c>
      <x:c r="T88" s="75" t="str">
        <x:v>EXACT_ZERO_AFTER_COMPLETE_54_EVENT_COVERAGE</x:v>
      </x:c>
      <x:c r="U88" s="75" t="str">
        <x:v>NONE</x:v>
      </x:c>
    </x:row>
    <x:row r="89">
      <x:c r="A89" s="68" t="str">
        <x:v>S05-CYC-74c3b8196ed93547c70ddde4</x:v>
      </x:c>
      <x:c r="B89" s="68" t="str">
        <x:v>ACTIVE</x:v>
      </x:c>
      <x:c r="C89" s="68" t="str">
        <x:v>K03-ACT-74C3B8196ED93547C70DDDE4</x:v>
      </x:c>
      <x:c r="D89" s="68" t="str">
        <x:v>T085</x:v>
      </x:c>
      <x:c r="E89" s="68" t="str">
        <x:v>ZECUSDT</x:v>
      </x:c>
      <x:c r="F89" s="68" t="str">
        <x:v>SHORT</x:v>
      </x:c>
      <x:c r="G89" s="80" t="n">
        <x:v>46178.6805787037</x:v>
      </x:c>
      <x:c r="H89" s="80" t="n">
        <x:v>46178.69630787037</x:v>
      </x:c>
      <x:c r="I89" s="83" t="n">
        <x:v>95</x:v>
      </x:c>
      <x:c r="J89" s="83" t="n">
        <x:v>49</x:v>
      </x:c>
      <x:c r="K89" s="86" t="n">
        <x:v>114</x:v>
      </x:c>
      <x:c r="L89" s="86" t="n">
        <x:v>24.95079982</x:v>
      </x:c>
      <x:c r="M89" s="86" t="n">
        <x:v>0</x:v>
      </x:c>
      <x:c r="N89" s="83" t="n">
        <x:v>0</x:v>
      </x:c>
      <x:c r="O89" s="86" t="n">
        <x:v>89.04920018</x:v>
      </x:c>
      <x:c r="P89" s="86" t="n">
        <x:v>4.99015994</x:v>
      </x:c>
      <x:c r="Q89" s="83" t="n">
        <x:v>49</x:v>
      </x:c>
      <x:c r="R89" s="89" t="n">
        <x:v>94.03936012</x:v>
      </x:c>
      <x:c r="S89" s="68" t="str">
        <x:v>WIN</x:v>
      </x:c>
      <x:c r="T89" s="75" t="str">
        <x:v>EXACT_ZERO_AFTER_COMPLETE_54_EVENT_COVERAGE</x:v>
      </x:c>
      <x:c r="U89" s="75" t="str">
        <x:v>NONE</x:v>
      </x:c>
    </x:row>
    <x:row r="90">
      <x:c r="A90" s="68" t="str">
        <x:v>S05-CYC-7d8a1009c35864be2cf86099</x:v>
      </x:c>
      <x:c r="B90" s="68" t="str">
        <x:v>ACTIVE</x:v>
      </x:c>
      <x:c r="C90" s="68" t="str">
        <x:v>K03-ACT-7D8A1009C35864BE2CF86099</x:v>
      </x:c>
      <x:c r="D90" s="68" t="str">
        <x:v>T086</x:v>
      </x:c>
      <x:c r="E90" s="68" t="str">
        <x:v>ZECUSDT</x:v>
      </x:c>
      <x:c r="F90" s="68" t="str">
        <x:v>LONG</x:v>
      </x:c>
      <x:c r="G90" s="80" t="n">
        <x:v>46178.64422453704</x:v>
      </x:c>
      <x:c r="H90" s="80" t="n">
        <x:v>46178.81872685185</x:v>
      </x:c>
      <x:c r="I90" s="83" t="n">
        <x:v>96</x:v>
      </x:c>
      <x:c r="J90" s="83" t="n">
        <x:v>2</x:v>
      </x:c>
      <x:c r="K90" s="86" t="n">
        <x:v>0.3008</x:v>
      </x:c>
      <x:c r="L90" s="86" t="n">
        <x:v>0.00427983</x:v>
      </x:c>
      <x:c r="M90" s="86" t="n">
        <x:v>-0.00061749</x:v>
      </x:c>
      <x:c r="N90" s="83" t="n">
        <x:v>1</x:v>
      </x:c>
      <x:c r="O90" s="86" t="n">
        <x:v>0.29590268</x:v>
      </x:c>
      <x:c r="P90" s="86" t="n">
        <x:v>0.00085597</x:v>
      </x:c>
      <x:c r="Q90" s="83" t="n">
        <x:v>2</x:v>
      </x:c>
      <x:c r="R90" s="89" t="n">
        <x:v>0.29675865</x:v>
      </x:c>
      <x:c r="S90" s="68" t="str">
        <x:v>WIN</x:v>
      </x:c>
      <x:c r="T90" s="75" t="str">
        <x:v>OBSERVED_EVENT_SUM</x:v>
      </x:c>
      <x:c r="U90" s="75" t="str">
        <x:v>NONE</x:v>
      </x:c>
    </x:row>
    <x:row r="91">
      <x:c r="A91" s="68" t="str">
        <x:v>S05-CYC-3574c78ed72a77a420720e67</x:v>
      </x:c>
      <x:c r="B91" s="68" t="str">
        <x:v>ACTIVE</x:v>
      </x:c>
      <x:c r="C91" s="68" t="str">
        <x:v>K03-ACT-3574C78ED72A77A420720E67</x:v>
      </x:c>
      <x:c r="D91" s="68" t="str">
        <x:v>T087</x:v>
      </x:c>
      <x:c r="E91" s="68" t="str">
        <x:v>BTCUSDT</x:v>
      </x:c>
      <x:c r="F91" s="68" t="str">
        <x:v>LONG</x:v>
      </x:c>
      <x:c r="G91" s="80" t="n">
        <x:v>46178.91421296296</x:v>
      </x:c>
      <x:c r="H91" s="80" t="n">
        <x:v>46178.955138888894</x:v>
      </x:c>
      <x:c r="I91" s="83" t="n">
        <x:v>97</x:v>
      </x:c>
      <x:c r="J91" s="83" t="n">
        <x:v>7</x:v>
      </x:c>
      <x:c r="K91" s="86" t="n">
        <x:v>78.09999999</x:v>
      </x:c>
      <x:c r="L91" s="86" t="n">
        <x:v>17.61436</x:v>
      </x:c>
      <x:c r="M91" s="86" t="n">
        <x:v>0</x:v>
      </x:c>
      <x:c r="N91" s="83" t="n">
        <x:v>0</x:v>
      </x:c>
      <x:c r="O91" s="86" t="n">
        <x:v>60.48563999</x:v>
      </x:c>
      <x:c r="P91" s="86" t="n">
        <x:v>3.522872</x:v>
      </x:c>
      <x:c r="Q91" s="83" t="n">
        <x:v>7</x:v>
      </x:c>
      <x:c r="R91" s="89" t="n">
        <x:v>64.00851199</x:v>
      </x:c>
      <x:c r="S91" s="68" t="str">
        <x:v>WIN</x:v>
      </x:c>
      <x:c r="T91" s="75" t="str">
        <x:v>EXACT_ZERO_AFTER_COMPLETE_54_EVENT_COVERAGE</x:v>
      </x:c>
      <x:c r="U91" s="75" t="str">
        <x:v>NONE</x:v>
      </x:c>
    </x:row>
    <x:row r="92">
      <x:c r="A92" s="68" t="str">
        <x:v>S05-CYC-ef23022a5cc1fac81e556a78</x:v>
      </x:c>
      <x:c r="B92" s="68" t="str">
        <x:v>ACTIVE</x:v>
      </x:c>
      <x:c r="C92" s="68" t="str">
        <x:v>K03-ACT-EF23022A5CC1FAC81E556A78</x:v>
      </x:c>
      <x:c r="D92" s="68" t="str">
        <x:v>T088</x:v>
      </x:c>
      <x:c r="E92" s="68" t="str">
        <x:v>BTCUSDT</x:v>
      </x:c>
      <x:c r="F92" s="68" t="str">
        <x:v>LONG</x:v>
      </x:c>
      <x:c r="G92" s="80" t="n">
        <x:v>46179.008356481485</x:v>
      </x:c>
      <x:c r="H92" s="80" t="n">
        <x:v>46179.11363425926</x:v>
      </x:c>
      <x:c r="I92" s="83" t="n">
        <x:v>98</x:v>
      </x:c>
      <x:c r="J92" s="83" t="n">
        <x:v>3</x:v>
      </x:c>
      <x:c r="K92" s="86" t="n">
        <x:v>0.78069999</x:v>
      </x:c>
      <x:c r="L92" s="86" t="n">
        <x:v>0.46103305</x:v>
      </x:c>
      <x:c r="M92" s="86" t="n">
        <x:v>0</x:v>
      </x:c>
      <x:c r="N92" s="83" t="n">
        <x:v>0</x:v>
      </x:c>
      <x:c r="O92" s="86" t="n">
        <x:v>0.31966694</x:v>
      </x:c>
      <x:c r="P92" s="86" t="n">
        <x:v>0.09220661</x:v>
      </x:c>
      <x:c r="Q92" s="83" t="n">
        <x:v>3</x:v>
      </x:c>
      <x:c r="R92" s="89" t="n">
        <x:v>0.41187355</x:v>
      </x:c>
      <x:c r="S92" s="68" t="str">
        <x:v>WIN</x:v>
      </x:c>
      <x:c r="T92" s="75" t="str">
        <x:v>EXACT_ZERO_AFTER_COMPLETE_54_EVENT_COVERAGE</x:v>
      </x:c>
      <x:c r="U92" s="75" t="str">
        <x:v>NONE</x:v>
      </x:c>
    </x:row>
    <x:row r="93">
      <x:c r="A93" s="68" t="str">
        <x:v>S05-CYC-f06d73fd2c81d4b1b3c751f0</x:v>
      </x:c>
      <x:c r="B93" s="68" t="str">
        <x:v>ACTIVE</x:v>
      </x:c>
      <x:c r="C93" s="68" t="str">
        <x:v>K03-ACT-F06D73FD2C81D4B1B3C751F0</x:v>
      </x:c>
      <x:c r="D93" s="68" t="str">
        <x:v>T089</x:v>
      </x:c>
      <x:c r="E93" s="68" t="str">
        <x:v>BTCUSDT</x:v>
      </x:c>
      <x:c r="F93" s="68" t="str">
        <x:v>SHORT</x:v>
      </x:c>
      <x:c r="G93" s="80" t="n">
        <x:v>46179.3107175926</x:v>
      </x:c>
      <x:c r="H93" s="80" t="n">
        <x:v>46179.31309027778</x:v>
      </x:c>
      <x:c r="I93" s="83" t="n">
        <x:v>99</x:v>
      </x:c>
      <x:c r="J93" s="83" t="n">
        <x:v>6</x:v>
      </x:c>
      <x:c r="K93" s="86" t="n">
        <x:v>210.519</x:v>
      </x:c>
      <x:c r="L93" s="86" t="n">
        <x:v>63.2269126</x:v>
      </x:c>
      <x:c r="M93" s="86" t="n">
        <x:v>0</x:v>
      </x:c>
      <x:c r="N93" s="83" t="n">
        <x:v>0</x:v>
      </x:c>
      <x:c r="O93" s="86" t="n">
        <x:v>147.2920874</x:v>
      </x:c>
      <x:c r="P93" s="86" t="n">
        <x:v>12.64538252</x:v>
      </x:c>
      <x:c r="Q93" s="83" t="n">
        <x:v>6</x:v>
      </x:c>
      <x:c r="R93" s="89" t="n">
        <x:v>159.93746992</x:v>
      </x:c>
      <x:c r="S93" s="68" t="str">
        <x:v>WIN</x:v>
      </x:c>
      <x:c r="T93" s="75" t="str">
        <x:v>EXACT_ZERO_AFTER_COMPLETE_54_EVENT_COVERAGE</x:v>
      </x:c>
      <x:c r="U93" s="75" t="str">
        <x:v>NONE</x:v>
      </x:c>
    </x:row>
    <x:row r="94">
      <x:c r="A94" s="68" t="str">
        <x:v>S05-CYC-6b22a40f1191d6c913b4d7c9</x:v>
      </x:c>
      <x:c r="B94" s="68" t="str">
        <x:v>ACTIVE</x:v>
      </x:c>
      <x:c r="C94" s="68" t="str">
        <x:v>K03-ACT-6B22A40F1191D6C913B4D7C9</x:v>
      </x:c>
      <x:c r="D94" s="68" t="str">
        <x:v>T090</x:v>
      </x:c>
      <x:c r="E94" s="68" t="str">
        <x:v>BTCUSDT</x:v>
      </x:c>
      <x:c r="F94" s="68" t="str">
        <x:v>SHORT</x:v>
      </x:c>
      <x:c r="G94" s="80" t="n">
        <x:v>46179.33891203704</x:v>
      </x:c>
      <x:c r="H94" s="80" t="n">
        <x:v>46179.346296296295</x:v>
      </x:c>
      <x:c r="I94" s="83" t="n">
        <x:v>100</x:v>
      </x:c>
      <x:c r="J94" s="83" t="n">
        <x:v>3</x:v>
      </x:c>
      <x:c r="K94" s="86" t="n">
        <x:v>130</x:v>
      </x:c>
      <x:c r="L94" s="86" t="n">
        <x:v>61.352</x:v>
      </x:c>
      <x:c r="M94" s="86" t="n">
        <x:v>0</x:v>
      </x:c>
      <x:c r="N94" s="83" t="n">
        <x:v>0</x:v>
      </x:c>
      <x:c r="O94" s="86" t="n">
        <x:v>68.648</x:v>
      </x:c>
      <x:c r="P94" s="86" t="n">
        <x:v>12.2704</x:v>
      </x:c>
      <x:c r="Q94" s="83" t="n">
        <x:v>3</x:v>
      </x:c>
      <x:c r="R94" s="89" t="n">
        <x:v>80.9184</x:v>
      </x:c>
      <x:c r="S94" s="68" t="str">
        <x:v>WIN</x:v>
      </x:c>
      <x:c r="T94" s="75" t="str">
        <x:v>EXACT_ZERO_AFTER_COMPLETE_54_EVENT_COVERAGE</x:v>
      </x:c>
      <x:c r="U94" s="75" t="str">
        <x:v>NONE</x:v>
      </x:c>
    </x:row>
    <x:row r="95">
      <x:c r="A95" s="68" t="str">
        <x:v>S05-CYC-729785e055ddf16119a17180</x:v>
      </x:c>
      <x:c r="B95" s="68" t="str">
        <x:v>ACTIVE</x:v>
      </x:c>
      <x:c r="C95" s="68" t="str">
        <x:v>K03-ACT-729785E055DDF16119A17180</x:v>
      </x:c>
      <x:c r="D95" s="68" t="str">
        <x:v>T091</x:v>
      </x:c>
      <x:c r="E95" s="68" t="str">
        <x:v>BTCUSDT</x:v>
      </x:c>
      <x:c r="F95" s="68" t="str">
        <x:v>SHORT</x:v>
      </x:c>
      <x:c r="G95" s="80" t="n">
        <x:v>46179.97039351852</x:v>
      </x:c>
      <x:c r="H95" s="80" t="n">
        <x:v>46179.973287037035</x:v>
      </x:c>
      <x:c r="I95" s="83" t="n">
        <x:v>101</x:v>
      </x:c>
      <x:c r="J95" s="83" t="n">
        <x:v>11</x:v>
      </x:c>
      <x:c r="K95" s="86" t="n">
        <x:v>56</x:v>
      </x:c>
      <x:c r="L95" s="86" t="n">
        <x:v>42.42839999</x:v>
      </x:c>
      <x:c r="M95" s="86" t="n">
        <x:v>0</x:v>
      </x:c>
      <x:c r="N95" s="83" t="n">
        <x:v>0</x:v>
      </x:c>
      <x:c r="O95" s="86" t="n">
        <x:v>13.57160001</x:v>
      </x:c>
      <x:c r="P95" s="86" t="n">
        <x:v>8.48568</x:v>
      </x:c>
      <x:c r="Q95" s="83" t="n">
        <x:v>11</x:v>
      </x:c>
      <x:c r="R95" s="89" t="n">
        <x:v>22.05728001</x:v>
      </x:c>
      <x:c r="S95" s="68" t="str">
        <x:v>WIN</x:v>
      </x:c>
      <x:c r="T95" s="75" t="str">
        <x:v>EXACT_ZERO_AFTER_COMPLETE_54_EVENT_COVERAGE</x:v>
      </x:c>
      <x:c r="U95" s="75" t="str">
        <x:v>NONE</x:v>
      </x:c>
    </x:row>
    <x:row r="96">
      <x:c r="A96" s="68" t="str">
        <x:v>S05-CYC-e5592b319cada20d738a1f45</x:v>
      </x:c>
      <x:c r="B96" s="68" t="str">
        <x:v>ACTIVE</x:v>
      </x:c>
      <x:c r="C96" s="68" t="str">
        <x:v>K03-ACT-E5592B319CADA20D738A1F45</x:v>
      </x:c>
      <x:c r="D96" s="68" t="str">
        <x:v>T092</x:v>
      </x:c>
      <x:c r="E96" s="68" t="str">
        <x:v>BTCUSDT</x:v>
      </x:c>
      <x:c r="F96" s="68" t="str">
        <x:v>LONG</x:v>
      </x:c>
      <x:c r="G96" s="80" t="n">
        <x:v>46180.44133101852</x:v>
      </x:c>
      <x:c r="H96" s="80" t="n">
        <x:v>46180.69766203704</x:v>
      </x:c>
      <x:c r="I96" s="83" t="n">
        <x:v>102</x:v>
      </x:c>
      <x:c r="J96" s="83" t="n">
        <x:v>22</x:v>
      </x:c>
      <x:c r="K96" s="86" t="n">
        <x:v>3110.137</x:v>
      </x:c>
      <x:c r="L96" s="86" t="n">
        <x:v>60.5745062</x:v>
      </x:c>
      <x:c r="M96" s="86" t="n">
        <x:v>-0.62114158</x:v>
      </x:c>
      <x:c r="N96" s="83" t="n">
        <x:v>1</x:v>
      </x:c>
      <x:c r="O96" s="86" t="n">
        <x:v>3048.94135222</x:v>
      </x:c>
      <x:c r="P96" s="86" t="n">
        <x:v>12.11490124</x:v>
      </x:c>
      <x:c r="Q96" s="83" t="n">
        <x:v>22</x:v>
      </x:c>
      <x:c r="R96" s="89" t="n">
        <x:v>3061.05625346</x:v>
      </x:c>
      <x:c r="S96" s="68" t="str">
        <x:v>WIN</x:v>
      </x:c>
      <x:c r="T96" s="75" t="str">
        <x:v>OBSERVED_EVENT_SUM</x:v>
      </x:c>
      <x:c r="U96" s="75" t="str">
        <x:v>NONE</x:v>
      </x:c>
    </x:row>
    <x:row r="97">
      <x:c r="A97" s="68" t="str">
        <x:v>S05-CYC-f28a06fe41aebbe99aeef388</x:v>
      </x:c>
      <x:c r="B97" s="68" t="str">
        <x:v>ACTIVE</x:v>
      </x:c>
      <x:c r="C97" s="68" t="str">
        <x:v>K03-ACT-F28A06FE41AEBBE99AEEF388</x:v>
      </x:c>
      <x:c r="D97" s="68" t="str">
        <x:v>T093</x:v>
      </x:c>
      <x:c r="E97" s="68" t="str">
        <x:v>BTCUSDT</x:v>
      </x:c>
      <x:c r="F97" s="68" t="str">
        <x:v>LONG</x:v>
      </x:c>
      <x:c r="G97" s="80" t="n">
        <x:v>46181.38716435185</x:v>
      </x:c>
      <x:c r="H97" s="80" t="n">
        <x:v>46181.38892361111</x:v>
      </x:c>
      <x:c r="I97" s="83" t="n">
        <x:v>103</x:v>
      </x:c>
      <x:c r="J97" s="83" t="n">
        <x:v>217</x:v>
      </x:c>
      <x:c r="K97" s="86" t="n">
        <x:v>264.22689987</x:v>
      </x:c>
      <x:c r="L97" s="86" t="n">
        <x:v>232.50589898</x:v>
      </x:c>
      <x:c r="M97" s="86" t="n">
        <x:v>0</x:v>
      </x:c>
      <x:c r="N97" s="83" t="n">
        <x:v>0</x:v>
      </x:c>
      <x:c r="O97" s="86" t="n">
        <x:v>31.72100089</x:v>
      </x:c>
      <x:c r="P97" s="86" t="n">
        <x:v>46.50117986</x:v>
      </x:c>
      <x:c r="Q97" s="83" t="n">
        <x:v>217</x:v>
      </x:c>
      <x:c r="R97" s="89" t="n">
        <x:v>78.22218075</x:v>
      </x:c>
      <x:c r="S97" s="68" t="str">
        <x:v>WIN</x:v>
      </x:c>
      <x:c r="T97" s="75" t="str">
        <x:v>EXACT_ZERO_AFTER_COMPLETE_54_EVENT_COVERAGE</x:v>
      </x:c>
      <x:c r="U97" s="75" t="str">
        <x:v>NONE</x:v>
      </x:c>
    </x:row>
    <x:row r="98">
      <x:c r="A98" s="68" t="str">
        <x:v>S05-CYC-1013a12fbd46d49965dd8efc</x:v>
      </x:c>
      <x:c r="B98" s="68" t="str">
        <x:v>ACTIVE</x:v>
      </x:c>
      <x:c r="C98" s="68" t="str">
        <x:v>K03-ACT-1013A12FBD46D49965DD8EFC</x:v>
      </x:c>
      <x:c r="D98" s="68" t="str">
        <x:v>T094</x:v>
      </x:c>
      <x:c r="E98" s="68" t="str">
        <x:v>BTCUSDT</x:v>
      </x:c>
      <x:c r="F98" s="68" t="str">
        <x:v>SHORT</x:v>
      </x:c>
      <x:c r="G98" s="80" t="n">
        <x:v>46181.4028587963</x:v>
      </x:c>
      <x:c r="H98" s="80" t="n">
        <x:v>46181.40998842593</x:v>
      </x:c>
      <x:c r="I98" s="83" t="n">
        <x:v>104</x:v>
      </x:c>
      <x:c r="J98" s="83" t="n">
        <x:v>121</x:v>
      </x:c>
      <x:c r="K98" s="86" t="n">
        <x:v>289.30429997</x:v>
      </x:c>
      <x:c r="L98" s="86" t="n">
        <x:v>220.50934774</x:v>
      </x:c>
      <x:c r="M98" s="86" t="n">
        <x:v>0</x:v>
      </x:c>
      <x:c r="N98" s="83" t="n">
        <x:v>0</x:v>
      </x:c>
      <x:c r="O98" s="86" t="n">
        <x:v>68.79495223</x:v>
      </x:c>
      <x:c r="P98" s="86" t="n">
        <x:v>44.10186957</x:v>
      </x:c>
      <x:c r="Q98" s="83" t="n">
        <x:v>121</x:v>
      </x:c>
      <x:c r="R98" s="89" t="n">
        <x:v>112.8968218</x:v>
      </x:c>
      <x:c r="S98" s="68" t="str">
        <x:v>WIN</x:v>
      </x:c>
      <x:c r="T98" s="75" t="str">
        <x:v>EXACT_ZERO_AFTER_COMPLETE_54_EVENT_COVERAGE</x:v>
      </x:c>
      <x:c r="U98" s="75" t="str">
        <x:v>NONE</x:v>
      </x:c>
    </x:row>
    <x:row r="99">
      <x:c r="A99" s="68" t="str">
        <x:v>S05-CYC-3ba7845a76a47d8257feea23</x:v>
      </x:c>
      <x:c r="B99" s="68" t="str">
        <x:v>ACTIVE</x:v>
      </x:c>
      <x:c r="C99" s="68" t="str">
        <x:v>K03-ACT-3BA7845A76A47D8257FEEA23</x:v>
      </x:c>
      <x:c r="D99" s="68" t="str">
        <x:v>T095</x:v>
      </x:c>
      <x:c r="E99" s="68" t="str">
        <x:v>BTCUSDT</x:v>
      </x:c>
      <x:c r="F99" s="68" t="str">
        <x:v>SHORT</x:v>
      </x:c>
      <x:c r="G99" s="80" t="n">
        <x:v>46181.441412037035</x:v>
      </x:c>
      <x:c r="H99" s="80" t="n">
        <x:v>46181.46194444444</x:v>
      </x:c>
      <x:c r="I99" s="83" t="n">
        <x:v>105</x:v>
      </x:c>
      <x:c r="J99" s="83" t="n">
        <x:v>5</x:v>
      </x:c>
      <x:c r="K99" s="86" t="n">
        <x:v>156</x:v>
      </x:c>
      <x:c r="L99" s="86" t="n">
        <x:v>75.5664</x:v>
      </x:c>
      <x:c r="M99" s="86" t="n">
        <x:v>0</x:v>
      </x:c>
      <x:c r="N99" s="83" t="n">
        <x:v>0</x:v>
      </x:c>
      <x:c r="O99" s="86" t="n">
        <x:v>80.4336</x:v>
      </x:c>
      <x:c r="P99" s="86" t="n">
        <x:v>15.11328</x:v>
      </x:c>
      <x:c r="Q99" s="83" t="n">
        <x:v>5</x:v>
      </x:c>
      <x:c r="R99" s="89" t="n">
        <x:v>95.54688</x:v>
      </x:c>
      <x:c r="S99" s="68" t="str">
        <x:v>WIN</x:v>
      </x:c>
      <x:c r="T99" s="75" t="str">
        <x:v>EXACT_ZERO_AFTER_COMPLETE_54_EVENT_COVERAGE</x:v>
      </x:c>
      <x:c r="U99" s="75" t="str">
        <x:v>NONE</x:v>
      </x:c>
    </x:row>
    <x:row r="100">
      <x:c r="A100" s="68" t="str">
        <x:v>S05-CYC-b2510608fa4d6cf08da4a7f6</x:v>
      </x:c>
      <x:c r="B100" s="68" t="str">
        <x:v>ACTIVE</x:v>
      </x:c>
      <x:c r="C100" s="68" t="str">
        <x:v>K03-ACT-B2510608FA4D6CF08DA4A7F6</x:v>
      </x:c>
      <x:c r="D100" s="68" t="str">
        <x:v>T096</x:v>
      </x:c>
      <x:c r="E100" s="68" t="str">
        <x:v>BTCUSDT</x:v>
      </x:c>
      <x:c r="F100" s="68" t="str">
        <x:v>SHORT</x:v>
      </x:c>
      <x:c r="G100" s="80" t="n">
        <x:v>46181.47261574074</x:v>
      </x:c>
      <x:c r="H100" s="80" t="n">
        <x:v>46182.34842592593</x:v>
      </x:c>
      <x:c r="I100" s="83" t="n">
        <x:v>106</x:v>
      </x:c>
      <x:c r="J100" s="83" t="n">
        <x:v>46</x:v>
      </x:c>
      <x:c r="K100" s="86" t="n">
        <x:v>1128.48499982</x:v>
      </x:c>
      <x:c r="L100" s="86" t="n">
        <x:v>90.91163498</x:v>
      </x:c>
      <x:c r="M100" s="86" t="n">
        <x:v>4.59965019</x:v>
      </x:c>
      <x:c r="N100" s="83" t="n">
        <x:v>3</x:v>
      </x:c>
      <x:c r="O100" s="86" t="n">
        <x:v>1042.17301503</x:v>
      </x:c>
      <x:c r="P100" s="86" t="n">
        <x:v>18.182327</x:v>
      </x:c>
      <x:c r="Q100" s="83" t="n">
        <x:v>46</x:v>
      </x:c>
      <x:c r="R100" s="89" t="n">
        <x:v>1060.35534203</x:v>
      </x:c>
      <x:c r="S100" s="68" t="str">
        <x:v>WIN</x:v>
      </x:c>
      <x:c r="T100" s="75" t="str">
        <x:v>OBSERVED_EVENT_SUM</x:v>
      </x:c>
      <x:c r="U100" s="75" t="str">
        <x:v>NONE</x:v>
      </x:c>
    </x:row>
    <x:row r="101">
      <x:c r="A101" s="68" t="str">
        <x:v>S05-CYC-ae5fc71587cbb0c9694538b3</x:v>
      </x:c>
      <x:c r="B101" s="68" t="str">
        <x:v>ACTIVE</x:v>
      </x:c>
      <x:c r="C101" s="68" t="str">
        <x:v>K03-ACT-AE5FC71587CBB0C9694538B3</x:v>
      </x:c>
      <x:c r="D101" s="68" t="str">
        <x:v>T097</x:v>
      </x:c>
      <x:c r="E101" s="68" t="str">
        <x:v>BTCUSDT</x:v>
      </x:c>
      <x:c r="F101" s="68" t="str">
        <x:v>SHORT</x:v>
      </x:c>
      <x:c r="G101" s="80" t="n">
        <x:v>46182.45670138889</x:v>
      </x:c>
      <x:c r="H101" s="80" t="n">
        <x:v>46182.670960648145</x:v>
      </x:c>
      <x:c r="I101" s="83" t="n">
        <x:v>107</x:v>
      </x:c>
      <x:c r="J101" s="83" t="n">
        <x:v>34</x:v>
      </x:c>
      <x:c r="K101" s="86" t="n">
        <x:v>279.96199989</x:v>
      </x:c>
      <x:c r="L101" s="86" t="n">
        <x:v>111.72430759</x:v>
      </x:c>
      <x:c r="M101" s="86" t="n">
        <x:v>8.52166258</x:v>
      </x:c>
      <x:c r="N101" s="83" t="n">
        <x:v>1</x:v>
      </x:c>
      <x:c r="O101" s="86" t="n">
        <x:v>176.75935488</x:v>
      </x:c>
      <x:c r="P101" s="86" t="n">
        <x:v>22.34486152</x:v>
      </x:c>
      <x:c r="Q101" s="83" t="n">
        <x:v>34</x:v>
      </x:c>
      <x:c r="R101" s="89" t="n">
        <x:v>199.1042164</x:v>
      </x:c>
      <x:c r="S101" s="68" t="str">
        <x:v>WIN</x:v>
      </x:c>
      <x:c r="T101" s="75" t="str">
        <x:v>OBSERVED_EVENT_SUM</x:v>
      </x:c>
      <x:c r="U101" s="75" t="str">
        <x:v>NONE</x:v>
      </x:c>
    </x:row>
    <x:row r="102">
      <x:c r="A102" s="68" t="str">
        <x:v>S05-CYC-f224a60473bf78035047a352</x:v>
      </x:c>
      <x:c r="B102" s="68" t="str">
        <x:v>ACTIVE</x:v>
      </x:c>
      <x:c r="C102" s="68" t="str">
        <x:v>K03-ACT-F224A60473BF78035047A352</x:v>
      </x:c>
      <x:c r="D102" s="68" t="str">
        <x:v>T098</x:v>
      </x:c>
      <x:c r="E102" s="68" t="str">
        <x:v>BTCUSDT</x:v>
      </x:c>
      <x:c r="F102" s="68" t="str">
        <x:v>LONG</x:v>
      </x:c>
      <x:c r="G102" s="80" t="n">
        <x:v>46182.792604166665</x:v>
      </x:c>
      <x:c r="H102" s="80" t="n">
        <x:v>46182.82105324074</x:v>
      </x:c>
      <x:c r="I102" s="83" t="n">
        <x:v>108</x:v>
      </x:c>
      <x:c r="J102" s="83" t="n">
        <x:v>27</x:v>
      </x:c>
      <x:c r="K102" s="86" t="n">
        <x:v>-224.73</x:v>
      </x:c>
      <x:c r="L102" s="86" t="n">
        <x:v>56.916618</x:v>
      </x:c>
      <x:c r="M102" s="86" t="n">
        <x:v>0</x:v>
      </x:c>
      <x:c r="N102" s="83" t="n">
        <x:v>0</x:v>
      </x:c>
      <x:c r="O102" s="86" t="n">
        <x:v>-281.646618</x:v>
      </x:c>
      <x:c r="P102" s="86" t="n">
        <x:v>11.3833236</x:v>
      </x:c>
      <x:c r="Q102" s="83" t="n">
        <x:v>27</x:v>
      </x:c>
      <x:c r="R102" s="89" t="n">
        <x:v>-270.2632944</x:v>
      </x:c>
      <x:c r="S102" s="68" t="str">
        <x:v>LOSS</x:v>
      </x:c>
      <x:c r="T102" s="75" t="str">
        <x:v>EXACT_ZERO_AFTER_COMPLETE_54_EVENT_COVERAGE</x:v>
      </x:c>
      <x:c r="U102" s="75" t="str">
        <x:v>NONE</x:v>
      </x:c>
    </x:row>
    <x:row r="103">
      <x:c r="A103" s="68" t="str">
        <x:v>S05-CYC-676f76195737317cc5af9e4d</x:v>
      </x:c>
      <x:c r="B103" s="68" t="str">
        <x:v>ACTIVE</x:v>
      </x:c>
      <x:c r="C103" s="68" t="str">
        <x:v>K03-ACT-676F76195737317CC5AF9E4D</x:v>
      </x:c>
      <x:c r="D103" s="68" t="str">
        <x:v>T099</x:v>
      </x:c>
      <x:c r="E103" s="68" t="str">
        <x:v>BTCUSDT</x:v>
      </x:c>
      <x:c r="F103" s="68" t="str">
        <x:v>SHORT</x:v>
      </x:c>
      <x:c r="G103" s="80" t="n">
        <x:v>46182.83217592593</x:v>
      </x:c>
      <x:c r="H103" s="80" t="n">
        <x:v>46182.84950231481</x:v>
      </x:c>
      <x:c r="I103" s="83" t="n">
        <x:v>109</x:v>
      </x:c>
      <x:c r="J103" s="83" t="n">
        <x:v>13</x:v>
      </x:c>
      <x:c r="K103" s="86" t="n">
        <x:v>219.7</x:v>
      </x:c>
      <x:c r="L103" s="86" t="n">
        <x:v>100.29353999</x:v>
      </x:c>
      <x:c r="M103" s="86" t="n">
        <x:v>0</x:v>
      </x:c>
      <x:c r="N103" s="83" t="n">
        <x:v>0</x:v>
      </x:c>
      <x:c r="O103" s="86" t="n">
        <x:v>119.40646001</x:v>
      </x:c>
      <x:c r="P103" s="86" t="n">
        <x:v>20.058708</x:v>
      </x:c>
      <x:c r="Q103" s="83" t="n">
        <x:v>13</x:v>
      </x:c>
      <x:c r="R103" s="89" t="n">
        <x:v>139.46516801</x:v>
      </x:c>
      <x:c r="S103" s="68" t="str">
        <x:v>WIN</x:v>
      </x:c>
      <x:c r="T103" s="75" t="str">
        <x:v>EXACT_ZERO_AFTER_COMPLETE_54_EVENT_COVERAGE</x:v>
      </x:c>
      <x:c r="U103" s="75" t="str">
        <x:v>NONE</x:v>
      </x:c>
    </x:row>
    <x:row r="104">
      <x:c r="A104" s="68" t="str">
        <x:v>S05-CYC-d39489424ba2d6c851677d06</x:v>
      </x:c>
      <x:c r="B104" s="68" t="str">
        <x:v>ACTIVE</x:v>
      </x:c>
      <x:c r="C104" s="68" t="str">
        <x:v>K03-ACT-D39489424BA2D6C851677D06</x:v>
      </x:c>
      <x:c r="D104" s="68" t="str">
        <x:v>T100</x:v>
      </x:c>
      <x:c r="E104" s="68" t="str">
        <x:v>BTCUSDT</x:v>
      </x:c>
      <x:c r="F104" s="68" t="str">
        <x:v>SHORT</x:v>
      </x:c>
      <x:c r="G104" s="80" t="n">
        <x:v>46182.905011574076</x:v>
      </x:c>
      <x:c r="H104" s="80" t="n">
        <x:v>46183.16831018518</x:v>
      </x:c>
      <x:c r="I104" s="83" t="n">
        <x:v>110</x:v>
      </x:c>
      <x:c r="J104" s="83" t="n">
        <x:v>40</x:v>
      </x:c>
      <x:c r="K104" s="86" t="n">
        <x:v>2786</x:v>
      </x:c>
      <x:c r="L104" s="86" t="n">
        <x:v>174.16279997</x:v>
      </x:c>
      <x:c r="M104" s="86" t="n">
        <x:v>2.59244699</x:v>
      </x:c>
      <x:c r="N104" s="83" t="n">
        <x:v>1</x:v>
      </x:c>
      <x:c r="O104" s="86" t="n">
        <x:v>2614.42964702</x:v>
      </x:c>
      <x:c r="P104" s="86" t="n">
        <x:v>34.83256</x:v>
      </x:c>
      <x:c r="Q104" s="83" t="n">
        <x:v>40</x:v>
      </x:c>
      <x:c r="R104" s="89" t="n">
        <x:v>2649.26220702</x:v>
      </x:c>
      <x:c r="S104" s="68" t="str">
        <x:v>WIN</x:v>
      </x:c>
      <x:c r="T104" s="75" t="str">
        <x:v>OBSERVED_EVENT_SUM</x:v>
      </x:c>
      <x:c r="U104" s="75" t="str">
        <x:v>NONE</x:v>
      </x:c>
    </x:row>
    <x:row r="105">
      <x:c r="A105" s="68" t="str">
        <x:v>S05-CYC-3863ba2e523c91b846adb9b7</x:v>
      </x:c>
      <x:c r="B105" s="68" t="str">
        <x:v>ACTIVE</x:v>
      </x:c>
      <x:c r="C105" s="68" t="str">
        <x:v>K03-ACT-3863BA2E523C91B846ADB9B7</x:v>
      </x:c>
      <x:c r="D105" s="68" t="str">
        <x:v>T101</x:v>
      </x:c>
      <x:c r="E105" s="68" t="str">
        <x:v>BTCUSDT</x:v>
      </x:c>
      <x:c r="F105" s="68" t="str">
        <x:v>SHORT</x:v>
      </x:c>
      <x:c r="G105" s="80" t="n">
        <x:v>46183.24130787037</x:v>
      </x:c>
      <x:c r="H105" s="80" t="n">
        <x:v>46183.24517361111</x:v>
      </x:c>
      <x:c r="I105" s="83" t="n">
        <x:v>111</x:v>
      </x:c>
      <x:c r="J105" s="83" t="n">
        <x:v>15</x:v>
      </x:c>
      <x:c r="K105" s="86" t="n">
        <x:v>85.40999996</x:v>
      </x:c>
      <x:c r="L105" s="86" t="n">
        <x:v>46.87642439</x:v>
      </x:c>
      <x:c r="M105" s="86" t="n">
        <x:v>0</x:v>
      </x:c>
      <x:c r="N105" s="83" t="n">
        <x:v>0</x:v>
      </x:c>
      <x:c r="O105" s="86" t="n">
        <x:v>38.53357557</x:v>
      </x:c>
      <x:c r="P105" s="86" t="n">
        <x:v>9.37528488</x:v>
      </x:c>
      <x:c r="Q105" s="83" t="n">
        <x:v>15</x:v>
      </x:c>
      <x:c r="R105" s="89" t="n">
        <x:v>47.90886045</x:v>
      </x:c>
      <x:c r="S105" s="68" t="str">
        <x:v>WIN</x:v>
      </x:c>
      <x:c r="T105" s="75" t="str">
        <x:v>EXACT_ZERO_AFTER_COMPLETE_54_EVENT_COVERAGE</x:v>
      </x:c>
      <x:c r="U105" s="75" t="str">
        <x:v>NONE</x:v>
      </x:c>
    </x:row>
    <x:row r="106">
      <x:c r="A106" s="68" t="str">
        <x:v>S05-CYC-da3bdd709efddef4a64f2413</x:v>
      </x:c>
      <x:c r="B106" s="68" t="str">
        <x:v>ACTIVE</x:v>
      </x:c>
      <x:c r="C106" s="68" t="str">
        <x:v>K03-ACT-DA3BDD709EFDDEF4A64F2413</x:v>
      </x:c>
      <x:c r="D106" s="68" t="str">
        <x:v>T102</x:v>
      </x:c>
      <x:c r="E106" s="68" t="str">
        <x:v>BTCUSDT</x:v>
      </x:c>
      <x:c r="F106" s="68" t="str">
        <x:v>SHORT</x:v>
      </x:c>
      <x:c r="G106" s="80" t="n">
        <x:v>46183.285625000004</x:v>
      </x:c>
      <x:c r="H106" s="80" t="n">
        <x:v>46183.29934027778</x:v>
      </x:c>
      <x:c r="I106" s="83" t="n">
        <x:v>112</x:v>
      </x:c>
      <x:c r="J106" s="83" t="n">
        <x:v>5</x:v>
      </x:c>
      <x:c r="K106" s="86" t="n">
        <x:v>102.16699999</x:v>
      </x:c>
      <x:c r="L106" s="86" t="n">
        <x:v>86.922979</x:v>
      </x:c>
      <x:c r="M106" s="86" t="n">
        <x:v>0</x:v>
      </x:c>
      <x:c r="N106" s="83" t="n">
        <x:v>0</x:v>
      </x:c>
      <x:c r="O106" s="86" t="n">
        <x:v>15.24402099</x:v>
      </x:c>
      <x:c r="P106" s="86" t="n">
        <x:v>17.3845958</x:v>
      </x:c>
      <x:c r="Q106" s="83" t="n">
        <x:v>5</x:v>
      </x:c>
      <x:c r="R106" s="89" t="n">
        <x:v>32.62861679</x:v>
      </x:c>
      <x:c r="S106" s="68" t="str">
        <x:v>WIN</x:v>
      </x:c>
      <x:c r="T106" s="75" t="str">
        <x:v>EXACT_ZERO_AFTER_COMPLETE_54_EVENT_COVERAGE</x:v>
      </x:c>
      <x:c r="U106" s="75" t="str">
        <x:v>NONE</x:v>
      </x:c>
    </x:row>
    <x:row r="107">
      <x:c r="A107" s="68" t="str">
        <x:v>S05-CYC-8fcef4baec2a1ea389ff5f84</x:v>
      </x:c>
      <x:c r="B107" s="68" t="str">
        <x:v>ACTIVE</x:v>
      </x:c>
      <x:c r="C107" s="68" t="str">
        <x:v>K03-ACT-8FCEF4BAEC2A1EA389FF5F84</x:v>
      </x:c>
      <x:c r="D107" s="68" t="str">
        <x:v>T103</x:v>
      </x:c>
      <x:c r="E107" s="68" t="str">
        <x:v>BTCUSDT</x:v>
      </x:c>
      <x:c r="F107" s="68" t="str">
        <x:v>SHORT</x:v>
      </x:c>
      <x:c r="G107" s="80" t="n">
        <x:v>46183.5268287037</x:v>
      </x:c>
      <x:c r="H107" s="80" t="n">
        <x:v>46183.60606481481</x:v>
      </x:c>
      <x:c r="I107" s="83" t="n">
        <x:v>113</x:v>
      </x:c>
      <x:c r="J107" s="83" t="n">
        <x:v>40</x:v>
      </x:c>
      <x:c r="K107" s="86" t="n">
        <x:v>512.43749995</x:v>
      </x:c>
      <x:c r="L107" s="86" t="n">
        <x:v>119.35668747</x:v>
      </x:c>
      <x:c r="M107" s="86" t="n">
        <x:v>0</x:v>
      </x:c>
      <x:c r="N107" s="83" t="n">
        <x:v>0</x:v>
      </x:c>
      <x:c r="O107" s="86" t="n">
        <x:v>393.08081248</x:v>
      </x:c>
      <x:c r="P107" s="86" t="n">
        <x:v>23.8713375</x:v>
      </x:c>
      <x:c r="Q107" s="83" t="n">
        <x:v>40</x:v>
      </x:c>
      <x:c r="R107" s="89" t="n">
        <x:v>416.95214998</x:v>
      </x:c>
      <x:c r="S107" s="68" t="str">
        <x:v>WIN</x:v>
      </x:c>
      <x:c r="T107" s="75" t="str">
        <x:v>EXACT_ZERO_AFTER_COMPLETE_54_EVENT_COVERAGE</x:v>
      </x:c>
      <x:c r="U107" s="75" t="str">
        <x:v>NONE</x:v>
      </x:c>
    </x:row>
    <x:row r="108">
      <x:c r="A108" s="68" t="str">
        <x:v>S05-CYC-44cdb81bba927c20f1465208</x:v>
      </x:c>
      <x:c r="B108" s="68" t="str">
        <x:v>ACTIVE</x:v>
      </x:c>
      <x:c r="C108" s="68" t="str">
        <x:v>K03-ACT-44CDB81BBA927C20F1465208</x:v>
      </x:c>
      <x:c r="D108" s="68" t="str">
        <x:v>T104</x:v>
      </x:c>
      <x:c r="E108" s="68" t="str">
        <x:v>BTCUSDT</x:v>
      </x:c>
      <x:c r="F108" s="68" t="str">
        <x:v>SHORT</x:v>
      </x:c>
      <x:c r="G108" s="80" t="n">
        <x:v>46183.856458333335</x:v>
      </x:c>
      <x:c r="H108" s="80" t="n">
        <x:v>46183.956608796296</x:v>
      </x:c>
      <x:c r="I108" s="83" t="n">
        <x:v>114</x:v>
      </x:c>
      <x:c r="J108" s="83" t="n">
        <x:v>42</x:v>
      </x:c>
      <x:c r="K108" s="86" t="n">
        <x:v>1589.99999984</x:v>
      </x:c>
      <x:c r="L108" s="86" t="n">
        <x:v>173.32159999</x:v>
      </x:c>
      <x:c r="M108" s="86" t="n">
        <x:v>0</x:v>
      </x:c>
      <x:c r="N108" s="83" t="n">
        <x:v>0</x:v>
      </x:c>
      <x:c r="O108" s="86" t="n">
        <x:v>1416.67839985</x:v>
      </x:c>
      <x:c r="P108" s="86" t="n">
        <x:v>34.66432</x:v>
      </x:c>
      <x:c r="Q108" s="83" t="n">
        <x:v>42</x:v>
      </x:c>
      <x:c r="R108" s="89" t="n">
        <x:v>1451.34271985</x:v>
      </x:c>
      <x:c r="S108" s="68" t="str">
        <x:v>WIN</x:v>
      </x:c>
      <x:c r="T108" s="75" t="str">
        <x:v>EXACT_ZERO_AFTER_COMPLETE_54_EVENT_COVERAGE</x:v>
      </x:c>
      <x:c r="U108" s="75" t="str">
        <x:v>NONE</x:v>
      </x:c>
    </x:row>
    <x:row r="109">
      <x:c r="A109" s="68" t="str">
        <x:v>S05-CYC-62e7b8a3a07e4258eb069a36</x:v>
      </x:c>
      <x:c r="B109" s="68" t="str">
        <x:v>ACTIVE</x:v>
      </x:c>
      <x:c r="C109" s="68" t="str">
        <x:v>K03-ACT-62E7B8A3A07E4258EB069A36</x:v>
      </x:c>
      <x:c r="D109" s="68" t="str">
        <x:v>T105</x:v>
      </x:c>
      <x:c r="E109" s="68" t="str">
        <x:v>BTCUSDT</x:v>
      </x:c>
      <x:c r="F109" s="68" t="str">
        <x:v>SHORT</x:v>
      </x:c>
      <x:c r="G109" s="80" t="n">
        <x:v>46183.97333333333</x:v>
      </x:c>
      <x:c r="H109" s="80" t="n">
        <x:v>46184.01724537037</x:v>
      </x:c>
      <x:c r="I109" s="83" t="n">
        <x:v>115</x:v>
      </x:c>
      <x:c r="J109" s="83" t="n">
        <x:v>22</x:v>
      </x:c>
      <x:c r="K109" s="86" t="n">
        <x:v>372</x:v>
      </x:c>
      <x:c r="L109" s="86" t="n">
        <x:v>149.41679998</x:v>
      </x:c>
      <x:c r="M109" s="86" t="n">
        <x:v>9.54846884</x:v>
      </x:c>
      <x:c r="N109" s="83" t="n">
        <x:v>1</x:v>
      </x:c>
      <x:c r="O109" s="86" t="n">
        <x:v>232.13166886</x:v>
      </x:c>
      <x:c r="P109" s="86" t="n">
        <x:v>29.88336</x:v>
      </x:c>
      <x:c r="Q109" s="83" t="n">
        <x:v>22</x:v>
      </x:c>
      <x:c r="R109" s="89" t="n">
        <x:v>262.01502886</x:v>
      </x:c>
      <x:c r="S109" s="68" t="str">
        <x:v>WIN</x:v>
      </x:c>
      <x:c r="T109" s="75" t="str">
        <x:v>OBSERVED_EVENT_SUM</x:v>
      </x:c>
      <x:c r="U109" s="75" t="str">
        <x:v>NONE</x:v>
      </x:c>
    </x:row>
    <x:row r="110">
      <x:c r="A110" s="68" t="str">
        <x:v>S05-CYC-a967adbc5f1901ed42d18ad0</x:v>
      </x:c>
      <x:c r="B110" s="68" t="str">
        <x:v>ACTIVE</x:v>
      </x:c>
      <x:c r="C110" s="68" t="str">
        <x:v>K03-ACT-A967ADBC5F1901ED42D18AD0</x:v>
      </x:c>
      <x:c r="D110" s="68" t="str">
        <x:v>T106</x:v>
      </x:c>
      <x:c r="E110" s="68" t="str">
        <x:v>BTCUSDT</x:v>
      </x:c>
      <x:c r="F110" s="68" t="str">
        <x:v>SHORT</x:v>
      </x:c>
      <x:c r="G110" s="80" t="n">
        <x:v>46184.38447916666</x:v>
      </x:c>
      <x:c r="H110" s="80" t="n">
        <x:v>46184.85451388889</x:v>
      </x:c>
      <x:c r="I110" s="83" t="n">
        <x:v>116</x:v>
      </x:c>
      <x:c r="J110" s="83" t="n">
        <x:v>58</x:v>
      </x:c>
      <x:c r="K110" s="86" t="n">
        <x:v>432.99999969</x:v>
      </x:c>
      <x:c r="L110" s="86" t="n">
        <x:v>174.99139996</x:v>
      </x:c>
      <x:c r="M110" s="86" t="n">
        <x:v>3.1660695</x:v>
      </x:c>
      <x:c r="N110" s="83" t="n">
        <x:v>1</x:v>
      </x:c>
      <x:c r="O110" s="86" t="n">
        <x:v>261.17466923</x:v>
      </x:c>
      <x:c r="P110" s="86" t="n">
        <x:v>34.99828</x:v>
      </x:c>
      <x:c r="Q110" s="83" t="n">
        <x:v>58</x:v>
      </x:c>
      <x:c r="R110" s="89" t="n">
        <x:v>296.17294923</x:v>
      </x:c>
      <x:c r="S110" s="68" t="str">
        <x:v>WIN</x:v>
      </x:c>
      <x:c r="T110" s="75" t="str">
        <x:v>OBSERVED_EVENT_SUM</x:v>
      </x:c>
      <x:c r="U110" s="75" t="str">
        <x:v>NONE</x:v>
      </x:c>
    </x:row>
    <x:row r="111">
      <x:c r="A111" s="68" t="str">
        <x:v>S05-CYC-f1008479a9ce93e2a042a78d</x:v>
      </x:c>
      <x:c r="B111" s="68" t="str">
        <x:v>ACTIVE</x:v>
      </x:c>
      <x:c r="C111" s="68" t="str">
        <x:v>K03-ACT-F1008479A9CE93E2A042A78D</x:v>
      </x:c>
      <x:c r="D111" s="68" t="str">
        <x:v>T107</x:v>
      </x:c>
      <x:c r="E111" s="68" t="str">
        <x:v>BTCUSDT</x:v>
      </x:c>
      <x:c r="F111" s="68" t="str">
        <x:v>SHORT</x:v>
      </x:c>
      <x:c r="G111" s="80" t="n">
        <x:v>46184.86001157407</x:v>
      </x:c>
      <x:c r="H111" s="80" t="n">
        <x:v>46185.08988425926</x:v>
      </x:c>
      <x:c r="I111" s="83" t="n">
        <x:v>117</x:v>
      </x:c>
      <x:c r="J111" s="83" t="n">
        <x:v>61</x:v>
      </x:c>
      <x:c r="K111" s="86" t="n">
        <x:v>30.07999965</x:v>
      </x:c>
      <x:c r="L111" s="86" t="n">
        <x:v>265.85125994</x:v>
      </x:c>
      <x:c r="M111" s="86" t="n">
        <x:v>5.14815609</x:v>
      </x:c>
      <x:c r="N111" s="83" t="n">
        <x:v>1</x:v>
      </x:c>
      <x:c r="O111" s="86" t="n">
        <x:v>-230.6231042</x:v>
      </x:c>
      <x:c r="P111" s="86" t="n">
        <x:v>53.170252</x:v>
      </x:c>
      <x:c r="Q111" s="83" t="n">
        <x:v>61</x:v>
      </x:c>
      <x:c r="R111" s="89" t="n">
        <x:v>-177.4528522</x:v>
      </x:c>
      <x:c r="S111" s="68" t="str">
        <x:v>LOSS</x:v>
      </x:c>
      <x:c r="T111" s="75" t="str">
        <x:v>OBSERVED_EVENT_SUM</x:v>
      </x:c>
      <x:c r="U111" s="75" t="str">
        <x:v>NONE</x:v>
      </x:c>
    </x:row>
    <x:row r="112">
      <x:c r="A112" s="68" t="str">
        <x:v>S05-CYC-9f0d4be5d63e62cb959ef980</x:v>
      </x:c>
      <x:c r="B112" s="68" t="str">
        <x:v>ACTIVE</x:v>
      </x:c>
      <x:c r="C112" s="68" t="str">
        <x:v>K03-ACT-9F0D4BE5D63E62CB959EF980</x:v>
      </x:c>
      <x:c r="D112" s="68" t="str">
        <x:v>T108</x:v>
      </x:c>
      <x:c r="E112" s="68" t="str">
        <x:v>SNDKUSDT</x:v>
      </x:c>
      <x:c r="F112" s="68" t="str">
        <x:v>SHORT</x:v>
      </x:c>
      <x:c r="G112" s="80" t="n">
        <x:v>46185.93429398148</x:v>
      </x:c>
      <x:c r="H112" s="80" t="n">
        <x:v>46185.94025462963</x:v>
      </x:c>
      <x:c r="I112" s="83" t="n">
        <x:v>118</x:v>
      </x:c>
      <x:c r="J112" s="83" t="n">
        <x:v>326</x:v>
      </x:c>
      <x:c r="K112" s="86" t="n">
        <x:v>-56.92290058</x:v>
      </x:c>
      <x:c r="L112" s="86" t="n">
        <x:v>85.1267687</x:v>
      </x:c>
      <x:c r="M112" s="86" t="n">
        <x:v>0</x:v>
      </x:c>
      <x:c r="N112" s="83" t="n">
        <x:v>0</x:v>
      </x:c>
      <x:c r="O112" s="86" t="n">
        <x:v>-142.04966928</x:v>
      </x:c>
      <x:c r="P112" s="86" t="n">
        <x:v>17.02535377</x:v>
      </x:c>
      <x:c r="Q112" s="83" t="n">
        <x:v>315</x:v>
      </x:c>
      <x:c r="R112" s="89" t="n">
        <x:v>-125.02431551</x:v>
      </x:c>
      <x:c r="S112" s="68" t="str">
        <x:v>LOSS</x:v>
      </x:c>
      <x:c r="T112" s="75" t="str">
        <x:v>EXACT_ZERO_AFTER_COMPLETE_54_EVENT_COVERAGE</x:v>
      </x:c>
      <x:c r="U112" s="75" t="str">
        <x:v>NONE</x:v>
      </x:c>
    </x:row>
    <x:row r="113">
      <x:c r="A113" s="68" t="str">
        <x:v>S05-CYC-7b16850d47545ff825596f6c</x:v>
      </x:c>
      <x:c r="B113" s="68" t="str">
        <x:v>ACTIVE</x:v>
      </x:c>
      <x:c r="C113" s="68" t="str">
        <x:v>K03-ACT-7B16850D47545FF825596F6C</x:v>
      </x:c>
      <x:c r="D113" s="68" t="str">
        <x:v>T109</x:v>
      </x:c>
      <x:c r="E113" s="68" t="str">
        <x:v>MUUSDT</x:v>
      </x:c>
      <x:c r="F113" s="68" t="str">
        <x:v>SHORT</x:v>
      </x:c>
      <x:c r="G113" s="80" t="n">
        <x:v>46185.94452546297</x:v>
      </x:c>
      <x:c r="H113" s="80" t="n">
        <x:v>46185.94497685185</x:v>
      </x:c>
      <x:c r="I113" s="83" t="n">
        <x:v>119</x:v>
      </x:c>
      <x:c r="J113" s="83" t="n">
        <x:v>77</x:v>
      </x:c>
      <x:c r="K113" s="86" t="n">
        <x:v>516.14159999</x:v>
      </x:c>
      <x:c r="L113" s="86" t="n">
        <x:v>0</x:v>
      </x:c>
      <x:c r="M113" s="86" t="n">
        <x:v>0</x:v>
      </x:c>
      <x:c r="N113" s="83" t="n">
        <x:v>0</x:v>
      </x:c>
      <x:c r="O113" s="86" t="n">
        <x:v>516.14159999</x:v>
      </x:c>
      <x:c r="P113" s="86" t="n">
        <x:v>0</x:v>
      </x:c>
      <x:c r="Q113" s="83" t="n">
        <x:v>0</x:v>
      </x:c>
      <x:c r="R113" s="89" t="n">
        <x:v>516.14159999</x:v>
      </x:c>
      <x:c r="S113" s="68" t="str">
        <x:v>WIN</x:v>
      </x:c>
      <x:c r="T113" s="75" t="str">
        <x:v>EXACT_ZERO_AFTER_COMPLETE_54_EVENT_COVERAGE</x:v>
      </x:c>
      <x:c r="U113" s="75" t="str">
        <x:v>NONE</x:v>
      </x:c>
    </x:row>
    <x:row r="114">
      <x:c r="A114" s="68" t="str">
        <x:v>S05-CYC-45f1664ec26e6bc1c516e448</x:v>
      </x:c>
      <x:c r="B114" s="68" t="str">
        <x:v>ACTIVE</x:v>
      </x:c>
      <x:c r="C114" s="68" t="str">
        <x:v>K03-ACT-45F1664EC26E6BC1C516E448</x:v>
      </x:c>
      <x:c r="D114" s="68" t="str">
        <x:v>T110</x:v>
      </x:c>
      <x:c r="E114" s="68" t="str">
        <x:v>MUUSDT</x:v>
      </x:c>
      <x:c r="F114" s="68" t="str">
        <x:v>SHORT</x:v>
      </x:c>
      <x:c r="G114" s="80" t="n">
        <x:v>46185.95363425926</x:v>
      </x:c>
      <x:c r="H114" s="80" t="n">
        <x:v>46185.95533564815</x:v>
      </x:c>
      <x:c r="I114" s="83" t="n">
        <x:v>120</x:v>
      </x:c>
      <x:c r="J114" s="83" t="n">
        <x:v>23</x:v>
      </x:c>
      <x:c r="K114" s="86" t="n">
        <x:v>86.22</x:v>
      </x:c>
      <x:c r="L114" s="86" t="n">
        <x:v>0</x:v>
      </x:c>
      <x:c r="M114" s="86" t="n">
        <x:v>0</x:v>
      </x:c>
      <x:c r="N114" s="83" t="n">
        <x:v>0</x:v>
      </x:c>
      <x:c r="O114" s="86" t="n">
        <x:v>86.22</x:v>
      </x:c>
      <x:c r="P114" s="86" t="n">
        <x:v>0</x:v>
      </x:c>
      <x:c r="Q114" s="83" t="n">
        <x:v>0</x:v>
      </x:c>
      <x:c r="R114" s="89" t="n">
        <x:v>86.22</x:v>
      </x:c>
      <x:c r="S114" s="68" t="str">
        <x:v>WIN</x:v>
      </x:c>
      <x:c r="T114" s="75" t="str">
        <x:v>EXACT_ZERO_AFTER_COMPLETE_54_EVENT_COVERAGE</x:v>
      </x:c>
      <x:c r="U114" s="75" t="str">
        <x:v>NONE</x:v>
      </x:c>
    </x:row>
    <x:row r="115">
      <x:c r="A115" s="68" t="str">
        <x:v>S05-CYC-08332168e2b4b8790c8c5f46</x:v>
      </x:c>
      <x:c r="B115" s="68" t="str">
        <x:v>ACTIVE</x:v>
      </x:c>
      <x:c r="C115" s="68" t="str">
        <x:v>K03-ACT-08332168E2B4B8790C8C5F46</x:v>
      </x:c>
      <x:c r="D115" s="68" t="str">
        <x:v>T111</x:v>
      </x:c>
      <x:c r="E115" s="68" t="str">
        <x:v>BTCUSDT</x:v>
      </x:c>
      <x:c r="F115" s="68" t="str">
        <x:v>SHORT</x:v>
      </x:c>
      <x:c r="G115" s="80" t="n">
        <x:v>46185.67821759259</x:v>
      </x:c>
      <x:c r="H115" s="80" t="n">
        <x:v>46185.98734953704</x:v>
      </x:c>
      <x:c r="I115" s="83" t="n">
        <x:v>121</x:v>
      </x:c>
      <x:c r="J115" s="83" t="n">
        <x:v>37</x:v>
      </x:c>
      <x:c r="K115" s="86" t="n">
        <x:v>409.49999992</x:v>
      </x:c>
      <x:c r="L115" s="86" t="n">
        <x:v>402.17624996</x:v>
      </x:c>
      <x:c r="M115" s="86" t="n">
        <x:v>0</x:v>
      </x:c>
      <x:c r="N115" s="83" t="n">
        <x:v>0</x:v>
      </x:c>
      <x:c r="O115" s="86" t="n">
        <x:v>7.32374996</x:v>
      </x:c>
      <x:c r="P115" s="86" t="n">
        <x:v>80.43525</x:v>
      </x:c>
      <x:c r="Q115" s="83" t="n">
        <x:v>37</x:v>
      </x:c>
      <x:c r="R115" s="89" t="n">
        <x:v>87.75899996</x:v>
      </x:c>
      <x:c r="S115" s="68" t="str">
        <x:v>WIN</x:v>
      </x:c>
      <x:c r="T115" s="75" t="str">
        <x:v>EXACT_ZERO_AFTER_COMPLETE_54_EVENT_COVERAGE</x:v>
      </x:c>
      <x:c r="U115" s="75" t="str">
        <x:v>NONE</x:v>
      </x:c>
    </x:row>
    <x:row r="116">
      <x:c r="A116" s="68" t="str">
        <x:v>S05-CYC-5941fd50f0c0b2414c01a934</x:v>
      </x:c>
      <x:c r="B116" s="68" t="str">
        <x:v>ACTIVE</x:v>
      </x:c>
      <x:c r="C116" s="68" t="str">
        <x:v>K03-ACT-5941FD50F0C0B2414C01A934</x:v>
      </x:c>
      <x:c r="D116" s="68" t="str">
        <x:v>T112</x:v>
      </x:c>
      <x:c r="E116" s="68" t="str">
        <x:v>BTCUSDT</x:v>
      </x:c>
      <x:c r="F116" s="68" t="str">
        <x:v>SHORT</x:v>
      </x:c>
      <x:c r="G116" s="80" t="n">
        <x:v>46186.893067129626</x:v>
      </x:c>
      <x:c r="H116" s="80" t="n">
        <x:v>46187.60677083333</x:v>
      </x:c>
      <x:c r="I116" s="83" t="n">
        <x:v>122</x:v>
      </x:c>
      <x:c r="J116" s="83" t="n">
        <x:v>35</x:v>
      </x:c>
      <x:c r="K116" s="86" t="n">
        <x:v>175.43749995</x:v>
      </x:c>
      <x:c r="L116" s="86" t="n">
        <x:v>314.24308123</x:v>
      </x:c>
      <x:c r="M116" s="86" t="n">
        <x:v>-20.83086001</x:v>
      </x:c>
      <x:c r="N116" s="83" t="n">
        <x:v>2</x:v>
      </x:c>
      <x:c r="O116" s="86" t="n">
        <x:v>-159.63644129</x:v>
      </x:c>
      <x:c r="P116" s="86" t="n">
        <x:v>62.84861625</x:v>
      </x:c>
      <x:c r="Q116" s="83" t="n">
        <x:v>35</x:v>
      </x:c>
      <x:c r="R116" s="89" t="n">
        <x:v>-96.78782504</x:v>
      </x:c>
      <x:c r="S116" s="68" t="str">
        <x:v>LOSS</x:v>
      </x:c>
      <x:c r="T116" s="75" t="str">
        <x:v>OBSERVED_EVENT_SUM</x:v>
      </x:c>
      <x:c r="U116" s="75" t="str">
        <x:v>NONE</x:v>
      </x:c>
    </x:row>
    <x:row r="117">
      <x:c r="A117" s="68" t="str">
        <x:v>S05-CYC-5e7e8e8ee8bb3f1a547f3fa1</x:v>
      </x:c>
      <x:c r="B117" s="68" t="str">
        <x:v>ACTIVE</x:v>
      </x:c>
      <x:c r="C117" s="68" t="str">
        <x:v>K03-ACT-5E7E8E8EE8BB3F1A547F3FA1</x:v>
      </x:c>
      <x:c r="D117" s="68" t="str">
        <x:v>T113</x:v>
      </x:c>
      <x:c r="E117" s="68" t="str">
        <x:v>BTCUSDT</x:v>
      </x:c>
      <x:c r="F117" s="68" t="str">
        <x:v>SHORT</x:v>
      </x:c>
      <x:c r="G117" s="80" t="n">
        <x:v>46187.894641203704</x:v>
      </x:c>
      <x:c r="H117" s="80" t="n">
        <x:v>46188.116168981476</x:v>
      </x:c>
      <x:c r="I117" s="83" t="n">
        <x:v>123</x:v>
      </x:c>
      <x:c r="J117" s="83" t="n">
        <x:v>22</x:v>
      </x:c>
      <x:c r="K117" s="86" t="n">
        <x:v>1170.1694</x:v>
      </x:c>
      <x:c r="L117" s="86" t="n">
        <x:v>102.64537407</x:v>
      </x:c>
      <x:c r="M117" s="86" t="n">
        <x:v>-4.79318288</x:v>
      </x:c>
      <x:c r="N117" s="83" t="n">
        <x:v>1</x:v>
      </x:c>
      <x:c r="O117" s="86" t="n">
        <x:v>1062.73084305</x:v>
      </x:c>
      <x:c r="P117" s="86" t="n">
        <x:v>20.52907482</x:v>
      </x:c>
      <x:c r="Q117" s="83" t="n">
        <x:v>22</x:v>
      </x:c>
      <x:c r="R117" s="89" t="n">
        <x:v>1083.25991787</x:v>
      </x:c>
      <x:c r="S117" s="68" t="str">
        <x:v>WIN</x:v>
      </x:c>
      <x:c r="T117" s="75" t="str">
        <x:v>OBSERVED_EVENT_SUM</x:v>
      </x:c>
      <x:c r="U117" s="75" t="str">
        <x:v>NONE</x:v>
      </x:c>
    </x:row>
    <x:row r="118">
      <x:c r="A118" s="68" t="str">
        <x:v>S05-CYC-3484f8e81456d146820fc039</x:v>
      </x:c>
      <x:c r="B118" s="68" t="str">
        <x:v>ACTIVE</x:v>
      </x:c>
      <x:c r="C118" s="68" t="str">
        <x:v>K03-ACT-3484F8E81456D146820FC039</x:v>
      </x:c>
      <x:c r="D118" s="68" t="str">
        <x:v>T114</x:v>
      </x:c>
      <x:c r="E118" s="68" t="str">
        <x:v>ETHUSDT</x:v>
      </x:c>
      <x:c r="F118" s="68" t="str">
        <x:v>SHORT</x:v>
      </x:c>
      <x:c r="G118" s="80" t="n">
        <x:v>46187.932604166665</x:v>
      </x:c>
      <x:c r="H118" s="80" t="n">
        <x:v>46188.116168981476</x:v>
      </x:c>
      <x:c r="I118" s="83" t="n">
        <x:v>124</x:v>
      </x:c>
      <x:c r="J118" s="83" t="n">
        <x:v>123</x:v>
      </x:c>
      <x:c r="K118" s="86" t="n">
        <x:v>716.15971</x:v>
      </x:c>
      <x:c r="L118" s="86" t="n">
        <x:v>116.40191988</x:v>
      </x:c>
      <x:c r="M118" s="86" t="n">
        <x:v>-3.18945476</x:v>
      </x:c>
      <x:c r="N118" s="83" t="n">
        <x:v>1</x:v>
      </x:c>
      <x:c r="O118" s="86" t="n">
        <x:v>596.56833536</x:v>
      </x:c>
      <x:c r="P118" s="86" t="n">
        <x:v>23.28038397</x:v>
      </x:c>
      <x:c r="Q118" s="83" t="n">
        <x:v>123</x:v>
      </x:c>
      <x:c r="R118" s="89" t="n">
        <x:v>619.84871933</x:v>
      </x:c>
      <x:c r="S118" s="68" t="str">
        <x:v>WIN</x:v>
      </x:c>
      <x:c r="T118" s="75" t="str">
        <x:v>OBSERVED_EVENT_SUM</x:v>
      </x:c>
      <x:c r="U118" s="75" t="str">
        <x:v>NONE</x:v>
      </x:c>
    </x:row>
    <x:row r="119">
      <x:c r="A119" s="68" t="str">
        <x:v>S05-CYC-6937bfe0f3de4a74c5a30d28</x:v>
      </x:c>
      <x:c r="B119" s="68" t="str">
        <x:v>ACTIVE</x:v>
      </x:c>
      <x:c r="C119" s="68" t="str">
        <x:v>K03-ACT-6937BFE0F3DE4A74C5A30D28</x:v>
      </x:c>
      <x:c r="D119" s="68" t="str">
        <x:v>T115</x:v>
      </x:c>
      <x:c r="E119" s="68" t="str">
        <x:v>BTCUSDT</x:v>
      </x:c>
      <x:c r="F119" s="68" t="str">
        <x:v>SHORT</x:v>
      </x:c>
      <x:c r="G119" s="80" t="n">
        <x:v>46188.22142361111</x:v>
      </x:c>
      <x:c r="H119" s="80" t="n">
        <x:v>46188.227997685186</x:v>
      </x:c>
      <x:c r="I119" s="83" t="n">
        <x:v>125</x:v>
      </x:c>
      <x:c r="J119" s="83" t="n">
        <x:v>50</x:v>
      </x:c>
      <x:c r="K119" s="86" t="n">
        <x:v>573.99999963</x:v>
      </x:c>
      <x:c r="L119" s="86" t="n">
        <x:v>258.87079999</x:v>
      </x:c>
      <x:c r="M119" s="86" t="n">
        <x:v>0</x:v>
      </x:c>
      <x:c r="N119" s="83" t="n">
        <x:v>0</x:v>
      </x:c>
      <x:c r="O119" s="86" t="n">
        <x:v>315.12919964</x:v>
      </x:c>
      <x:c r="P119" s="86" t="n">
        <x:v>51.77416</x:v>
      </x:c>
      <x:c r="Q119" s="83" t="n">
        <x:v>50</x:v>
      </x:c>
      <x:c r="R119" s="89" t="n">
        <x:v>366.90335964</x:v>
      </x:c>
      <x:c r="S119" s="68" t="str">
        <x:v>WIN</x:v>
      </x:c>
      <x:c r="T119" s="75" t="str">
        <x:v>EXACT_ZERO_AFTER_COMPLETE_54_EVENT_COVERAGE</x:v>
      </x:c>
      <x:c r="U119" s="75" t="str">
        <x:v>NONE</x:v>
      </x:c>
    </x:row>
    <x:row r="120">
      <x:c r="A120" s="68" t="str">
        <x:v>S05-CYC-208f982a4d8ffbb842f84314</x:v>
      </x:c>
      <x:c r="B120" s="68" t="str">
        <x:v>ACTIVE</x:v>
      </x:c>
      <x:c r="C120" s="68" t="str">
        <x:v>K03-ACT-208F982A4D8FFBB842F84314</x:v>
      </x:c>
      <x:c r="D120" s="68" t="str">
        <x:v>T116</x:v>
      </x:c>
      <x:c r="E120" s="68" t="str">
        <x:v>XAUUSDT</x:v>
      </x:c>
      <x:c r="F120" s="68" t="str">
        <x:v>SHORT</x:v>
      </x:c>
      <x:c r="G120" s="80" t="n">
        <x:v>46188.58761574074</x:v>
      </x:c>
      <x:c r="H120" s="80" t="n">
        <x:v>46189.10208333333</x:v>
      </x:c>
      <x:c r="I120" s="83" t="n">
        <x:v>126</x:v>
      </x:c>
      <x:c r="J120" s="83" t="n">
        <x:v>71</x:v>
      </x:c>
      <x:c r="K120" s="86" t="n">
        <x:v>-2106.55549975</x:v>
      </x:c>
      <x:c r="L120" s="86" t="n">
        <x:v>0</x:v>
      </x:c>
      <x:c r="M120" s="86" t="n">
        <x:v>0</x:v>
      </x:c>
      <x:c r="N120" s="83" t="n">
        <x:v>0</x:v>
      </x:c>
      <x:c r="O120" s="86" t="n">
        <x:v>-2106.55549975</x:v>
      </x:c>
      <x:c r="P120" s="86" t="n">
        <x:v>0</x:v>
      </x:c>
      <x:c r="Q120" s="83" t="n">
        <x:v>0</x:v>
      </x:c>
      <x:c r="R120" s="89" t="n">
        <x:v>-2106.55549975</x:v>
      </x:c>
      <x:c r="S120" s="68" t="str">
        <x:v>LOSS</x:v>
      </x:c>
      <x:c r="T120" s="75" t="str">
        <x:v>EXACT_ZERO_AFTER_COMPLETE_54_EVENT_COVERAGE</x:v>
      </x:c>
      <x:c r="U120" s="75" t="str">
        <x:v>NONE</x:v>
      </x:c>
    </x:row>
    <x:row r="121">
      <x:c r="A121" s="68" t="str">
        <x:v>S05-CYC-619ad4abd845fae37298b293</x:v>
      </x:c>
      <x:c r="B121" s="68" t="str">
        <x:v>ACTIVE</x:v>
      </x:c>
      <x:c r="C121" s="68" t="str">
        <x:v>K03-ACT-619AD4ABD845FAE37298B293</x:v>
      </x:c>
      <x:c r="D121" s="68" t="str">
        <x:v>T117</x:v>
      </x:c>
      <x:c r="E121" s="68" t="str">
        <x:v>SNDKUSDT</x:v>
      </x:c>
      <x:c r="F121" s="68" t="str">
        <x:v>SHORT</x:v>
      </x:c>
      <x:c r="G121" s="80" t="n">
        <x:v>46188.924780092595</x:v>
      </x:c>
      <x:c r="H121" s="80" t="n">
        <x:v>46189.3746412037</x:v>
      </x:c>
      <x:c r="I121" s="83" t="n">
        <x:v>127</x:v>
      </x:c>
      <x:c r="J121" s="83" t="n">
        <x:v>99</x:v>
      </x:c>
      <x:c r="K121" s="86" t="n">
        <x:v>-99.99999996</x:v>
      </x:c>
      <x:c r="L121" s="86" t="n">
        <x:v>0</x:v>
      </x:c>
      <x:c r="M121" s="86" t="n">
        <x:v>-20.38973884</x:v>
      </x:c>
      <x:c r="N121" s="83" t="n">
        <x:v>1</x:v>
      </x:c>
      <x:c r="O121" s="86" t="n">
        <x:v>-120.3897388</x:v>
      </x:c>
      <x:c r="P121" s="86" t="n">
        <x:v>0</x:v>
      </x:c>
      <x:c r="Q121" s="83" t="n">
        <x:v>0</x:v>
      </x:c>
      <x:c r="R121" s="89" t="n">
        <x:v>-120.3897388</x:v>
      </x:c>
      <x:c r="S121" s="68" t="str">
        <x:v>LOSS</x:v>
      </x:c>
      <x:c r="T121" s="75" t="str">
        <x:v>OBSERVED_EVENT_SUM</x:v>
      </x:c>
      <x:c r="U121" s="75" t="str">
        <x:v>NONE</x:v>
      </x:c>
    </x:row>
    <x:row r="122">
      <x:c r="A122" s="68" t="str">
        <x:v>S05-CYC-9dbae04eb149bfa522d41a88</x:v>
      </x:c>
      <x:c r="B122" s="68" t="str">
        <x:v>ACTIVE</x:v>
      </x:c>
      <x:c r="C122" s="68" t="str">
        <x:v>K03-ACT-9DBAE04EB149BFA522D41A88</x:v>
      </x:c>
      <x:c r="D122" s="68" t="str">
        <x:v>T118</x:v>
      </x:c>
      <x:c r="E122" s="68" t="str">
        <x:v>BTCUSDT</x:v>
      </x:c>
      <x:c r="F122" s="68" t="str">
        <x:v>SHORT</x:v>
      </x:c>
      <x:c r="G122" s="80" t="n">
        <x:v>46189.94112268518</x:v>
      </x:c>
      <x:c r="H122" s="80" t="n">
        <x:v>46190.10863425926</x:v>
      </x:c>
      <x:c r="I122" s="83" t="n">
        <x:v>128</x:v>
      </x:c>
      <x:c r="J122" s="83" t="n">
        <x:v>37</x:v>
      </x:c>
      <x:c r="K122" s="86" t="n">
        <x:v>409.19379985</x:v>
      </x:c>
      <x:c r="L122" s="86" t="n">
        <x:v>318.29489354</x:v>
      </x:c>
      <x:c r="M122" s="86" t="n">
        <x:v>1.02446704</x:v>
      </x:c>
      <x:c r="N122" s="83" t="n">
        <x:v>1</x:v>
      </x:c>
      <x:c r="O122" s="86" t="n">
        <x:v>91.92337335</x:v>
      </x:c>
      <x:c r="P122" s="86" t="n">
        <x:v>63.65897871</x:v>
      </x:c>
      <x:c r="Q122" s="83" t="n">
        <x:v>37</x:v>
      </x:c>
      <x:c r="R122" s="89" t="n">
        <x:v>155.58235206</x:v>
      </x:c>
      <x:c r="S122" s="68" t="str">
        <x:v>WIN</x:v>
      </x:c>
      <x:c r="T122" s="75" t="str">
        <x:v>OBSERVED_EVENT_SUM</x:v>
      </x:c>
      <x:c r="U122" s="75" t="str">
        <x:v>NONE</x:v>
      </x:c>
    </x:row>
    <x:row r="123">
      <x:c r="A123" s="68" t="str">
        <x:v>S05-CYC-fcc7caa344cab36d55f614ac</x:v>
      </x:c>
      <x:c r="B123" s="68" t="str">
        <x:v>ACTIVE</x:v>
      </x:c>
      <x:c r="C123" s="68" t="str">
        <x:v>K03-ACT-FCC7CAA344CAB36D55F614AC</x:v>
      </x:c>
      <x:c r="D123" s="68" t="str">
        <x:v>T119</x:v>
      </x:c>
      <x:c r="E123" s="68" t="str">
        <x:v>XAUUSDT</x:v>
      </x:c>
      <x:c r="F123" s="68" t="str">
        <x:v>SHORT</x:v>
      </x:c>
      <x:c r="G123" s="80" t="n">
        <x:v>46189.94119212963</x:v>
      </x:c>
      <x:c r="H123" s="80" t="n">
        <x:v>46190.30403935185</x:v>
      </x:c>
      <x:c r="I123" s="83" t="n">
        <x:v>129</x:v>
      </x:c>
      <x:c r="J123" s="83" t="n">
        <x:v>61</x:v>
      </x:c>
      <x:c r="K123" s="86" t="n">
        <x:v>-3389.99999991</x:v>
      </x:c>
      <x:c r="L123" s="86" t="n">
        <x:v>0</x:v>
      </x:c>
      <x:c r="M123" s="86" t="n">
        <x:v>0</x:v>
      </x:c>
      <x:c r="N123" s="83" t="n">
        <x:v>0</x:v>
      </x:c>
      <x:c r="O123" s="86" t="n">
        <x:v>-3389.99999991</x:v>
      </x:c>
      <x:c r="P123" s="86" t="n">
        <x:v>0</x:v>
      </x:c>
      <x:c r="Q123" s="83" t="n">
        <x:v>0</x:v>
      </x:c>
      <x:c r="R123" s="89" t="n">
        <x:v>-3389.99999991</x:v>
      </x:c>
      <x:c r="S123" s="68" t="str">
        <x:v>LOSS</x:v>
      </x:c>
      <x:c r="T123" s="75" t="str">
        <x:v>EXACT_ZERO_AFTER_COMPLETE_54_EVENT_COVERAGE</x:v>
      </x:c>
      <x:c r="U123" s="75" t="str">
        <x:v>NONE</x:v>
      </x:c>
    </x:row>
    <x:row r="124">
      <x:c r="A124" s="68" t="str">
        <x:v>S05-CYC-0a162663ec5e434264fa5333</x:v>
      </x:c>
      <x:c r="B124" s="68" t="str">
        <x:v>ACTIVE</x:v>
      </x:c>
      <x:c r="C124" s="68" t="str">
        <x:v>K03-ACT-0A162663EC5E434264FA5333</x:v>
      </x:c>
      <x:c r="D124" s="68" t="str">
        <x:v>T120</x:v>
      </x:c>
      <x:c r="E124" s="68" t="str">
        <x:v>BTCUSDT</x:v>
      </x:c>
      <x:c r="F124" s="68" t="str">
        <x:v>SHORT</x:v>
      </x:c>
      <x:c r="G124" s="80" t="n">
        <x:v>46190.901226851856</x:v>
      </x:c>
      <x:c r="H124" s="80" t="n">
        <x:v>46191.08361111111</x:v>
      </x:c>
      <x:c r="I124" s="83" t="n">
        <x:v>130</x:v>
      </x:c>
      <x:c r="J124" s="83" t="n">
        <x:v>38</x:v>
      </x:c>
      <x:c r="K124" s="86" t="n">
        <x:v>-300.30600009</x:v>
      </x:c>
      <x:c r="L124" s="86" t="n">
        <x:v>262.49280595</x:v>
      </x:c>
      <x:c r="M124" s="86" t="n">
        <x:v>-17.01164938</x:v>
      </x:c>
      <x:c r="N124" s="83" t="n">
        <x:v>1</x:v>
      </x:c>
      <x:c r="O124" s="86" t="n">
        <x:v>-579.81045542</x:v>
      </x:c>
      <x:c r="P124" s="86" t="n">
        <x:v>52.4985612</x:v>
      </x:c>
      <x:c r="Q124" s="83" t="n">
        <x:v>38</x:v>
      </x:c>
      <x:c r="R124" s="89" t="n">
        <x:v>-527.31189422</x:v>
      </x:c>
      <x:c r="S124" s="68" t="str">
        <x:v>LOSS</x:v>
      </x:c>
      <x:c r="T124" s="75" t="str">
        <x:v>OBSERVED_EVENT_SUM</x:v>
      </x:c>
      <x:c r="U124" s="75" t="str">
        <x:v>NONE</x:v>
      </x:c>
    </x:row>
    <x:row r="125">
      <x:c r="A125" s="68" t="str">
        <x:v>S05-CYC-f5f1b3aa1a7d66b5c3077e8a</x:v>
      </x:c>
      <x:c r="B125" s="68" t="str">
        <x:v>ACTIVE</x:v>
      </x:c>
      <x:c r="C125" s="68" t="str">
        <x:v>K03-ACT-F5F1B3AA1A7D66B5C3077E8A</x:v>
      </x:c>
      <x:c r="D125" s="68" t="str">
        <x:v>T121</x:v>
      </x:c>
      <x:c r="E125" s="68" t="str">
        <x:v>BTCUSDT</x:v>
      </x:c>
      <x:c r="F125" s="68" t="str">
        <x:v>SHORT</x:v>
      </x:c>
      <x:c r="G125" s="80" t="n">
        <x:v>46191.089224537034</x:v>
      </x:c>
      <x:c r="H125" s="80" t="n">
        <x:v>46191.12400462963</x:v>
      </x:c>
      <x:c r="I125" s="83" t="n">
        <x:v>131</x:v>
      </x:c>
      <x:c r="J125" s="83" t="n">
        <x:v>18</x:v>
      </x:c>
      <x:c r="K125" s="86" t="n">
        <x:v>1065.64799993</x:v>
      </x:c>
      <x:c r="L125" s="86" t="n">
        <x:v>169.6163104</x:v>
      </x:c>
      <x:c r="M125" s="86" t="n">
        <x:v>0</x:v>
      </x:c>
      <x:c r="N125" s="83" t="n">
        <x:v>0</x:v>
      </x:c>
      <x:c r="O125" s="86" t="n">
        <x:v>896.03168953</x:v>
      </x:c>
      <x:c r="P125" s="86" t="n">
        <x:v>33.92326208</x:v>
      </x:c>
      <x:c r="Q125" s="83" t="n">
        <x:v>18</x:v>
      </x:c>
      <x:c r="R125" s="89" t="n">
        <x:v>929.95495161</x:v>
      </x:c>
      <x:c r="S125" s="68" t="str">
        <x:v>WIN</x:v>
      </x:c>
      <x:c r="T125" s="75" t="str">
        <x:v>EXACT_ZERO_AFTER_COMPLETE_54_EVENT_COVERAGE</x:v>
      </x:c>
      <x:c r="U125" s="75" t="str">
        <x:v>NONE</x:v>
      </x:c>
    </x:row>
    <x:row r="126">
      <x:c r="A126" s="68" t="str">
        <x:v>S05-CYC-64d09990ca0da1700a2b942c</x:v>
      </x:c>
      <x:c r="B126" s="68" t="str">
        <x:v>ACTIVE</x:v>
      </x:c>
      <x:c r="C126" s="68" t="str">
        <x:v>K03-ACT-64D09990CA0DA1700A2B942C</x:v>
      </x:c>
      <x:c r="D126" s="68" t="str">
        <x:v>T122</x:v>
      </x:c>
      <x:c r="E126" s="68" t="str">
        <x:v>BTCUSDT</x:v>
      </x:c>
      <x:c r="F126" s="68" t="str">
        <x:v>SHORT</x:v>
      </x:c>
      <x:c r="G126" s="80" t="n">
        <x:v>46191.13959490741</x:v>
      </x:c>
      <x:c r="H126" s="80" t="n">
        <x:v>46191.925671296296</x:v>
      </x:c>
      <x:c r="I126" s="83" t="n">
        <x:v>132</x:v>
      </x:c>
      <x:c r="J126" s="83" t="n">
        <x:v>4</x:v>
      </x:c>
      <x:c r="K126" s="86" t="n">
        <x:v>3285.7985</x:v>
      </x:c>
      <x:c r="L126" s="86" t="n">
        <x:v>92.22979489</x:v>
      </x:c>
      <x:c r="M126" s="86" t="n">
        <x:v>10.4987816</x:v>
      </x:c>
      <x:c r="N126" s="83" t="n">
        <x:v>2</x:v>
      </x:c>
      <x:c r="O126" s="86" t="n">
        <x:v>3204.06748671</x:v>
      </x:c>
      <x:c r="P126" s="86" t="n">
        <x:v>18.44595898</x:v>
      </x:c>
      <x:c r="Q126" s="83" t="n">
        <x:v>4</x:v>
      </x:c>
      <x:c r="R126" s="89" t="n">
        <x:v>3222.51344569</x:v>
      </x:c>
      <x:c r="S126" s="68" t="str">
        <x:v>WIN</x:v>
      </x:c>
      <x:c r="T126" s="75" t="str">
        <x:v>OBSERVED_EVENT_SUM</x:v>
      </x:c>
      <x:c r="U126" s="75" t="str">
        <x:v>NONE</x:v>
      </x:c>
    </x:row>
    <x:row r="127">
      <x:c r="A127" s="68" t="str">
        <x:v>S05-CYC-d76c0c97ec9680a63cbc4a50</x:v>
      </x:c>
      <x:c r="B127" s="68" t="str">
        <x:v>ACTIVE</x:v>
      </x:c>
      <x:c r="C127" s="68" t="str">
        <x:v>K03-ACT-D76C0C97EC9680A63CBC4A50</x:v>
      </x:c>
      <x:c r="D127" s="68" t="str">
        <x:v>T123</x:v>
      </x:c>
      <x:c r="E127" s="68" t="str">
        <x:v>SNDKUSDT</x:v>
      </x:c>
      <x:c r="F127" s="68" t="str">
        <x:v>SHORT</x:v>
      </x:c>
      <x:c r="G127" s="80" t="n">
        <x:v>46191.90207175926</x:v>
      </x:c>
      <x:c r="H127" s="80" t="n">
        <x:v>46192.09243055555</x:v>
      </x:c>
      <x:c r="I127" s="83" t="n">
        <x:v>133</x:v>
      </x:c>
      <x:c r="J127" s="83" t="n">
        <x:v>214</x:v>
      </x:c>
      <x:c r="K127" s="86" t="n">
        <x:v>-22038.20290012</x:v>
      </x:c>
      <x:c r="L127" s="86" t="n">
        <x:v>178.023281</x:v>
      </x:c>
      <x:c r="M127" s="86" t="n">
        <x:v>0</x:v>
      </x:c>
      <x:c r="N127" s="83" t="n">
        <x:v>0</x:v>
      </x:c>
      <x:c r="O127" s="86" t="n">
        <x:v>-22216.22618112</x:v>
      </x:c>
      <x:c r="P127" s="86" t="n">
        <x:v>35.60465623</x:v>
      </x:c>
      <x:c r="Q127" s="83" t="n">
        <x:v>189</x:v>
      </x:c>
      <x:c r="R127" s="89" t="n">
        <x:v>-22180.62152489</x:v>
      </x:c>
      <x:c r="S127" s="68" t="str">
        <x:v>LOSS</x:v>
      </x:c>
      <x:c r="T127" s="75" t="str">
        <x:v>EXACT_ZERO_AFTER_COMPLETE_54_EVENT_COVERAGE</x:v>
      </x:c>
      <x:c r="U127" s="75" t="str">
        <x:v>NONE</x:v>
      </x:c>
    </x:row>
    <x:row r="128">
      <x:c r="A128" s="68" t="str">
        <x:v>S05-CYC-8c1e98940ba8d0213e6de8fd</x:v>
      </x:c>
      <x:c r="B128" s="68" t="str">
        <x:v>ACTIVE</x:v>
      </x:c>
      <x:c r="C128" s="68" t="str">
        <x:v>K03-ACT-8C1E98940BA8D0213E6DE8FD</x:v>
      </x:c>
      <x:c r="D128" s="68" t="str">
        <x:v>T124</x:v>
      </x:c>
      <x:c r="E128" s="68" t="str">
        <x:v>BTCUSDT</x:v>
      </x:c>
      <x:c r="F128" s="68" t="str">
        <x:v>SHORT</x:v>
      </x:c>
      <x:c r="G128" s="80" t="n">
        <x:v>46192.09527777778</x:v>
      </x:c>
      <x:c r="H128" s="80" t="n">
        <x:v>46192.46888888889</x:v>
      </x:c>
      <x:c r="I128" s="83" t="n">
        <x:v>134</x:v>
      </x:c>
      <x:c r="J128" s="83" t="n">
        <x:v>9</x:v>
      </x:c>
      <x:c r="K128" s="86" t="n">
        <x:v>402</x:v>
      </x:c>
      <x:c r="L128" s="86" t="n">
        <x:v>250.7524</x:v>
      </x:c>
      <x:c r="M128" s="86" t="n">
        <x:v>37.99986399</x:v>
      </x:c>
      <x:c r="N128" s="83" t="n">
        <x:v>1</x:v>
      </x:c>
      <x:c r="O128" s="86" t="n">
        <x:v>189.24746399</x:v>
      </x:c>
      <x:c r="P128" s="86" t="n">
        <x:v>50.15048001</x:v>
      </x:c>
      <x:c r="Q128" s="83" t="n">
        <x:v>9</x:v>
      </x:c>
      <x:c r="R128" s="89" t="n">
        <x:v>239.397944</x:v>
      </x:c>
      <x:c r="S128" s="68" t="str">
        <x:v>WIN</x:v>
      </x:c>
      <x:c r="T128" s="75" t="str">
        <x:v>OBSERVED_EVENT_SUM</x:v>
      </x:c>
      <x:c r="U128" s="75" t="str">
        <x:v>NONE</x:v>
      </x:c>
    </x:row>
    <x:row r="129">
      <x:c r="A129" s="68" t="str">
        <x:v>S05-CYC-d2890c7fdcbf152a660f0d60</x:v>
      </x:c>
      <x:c r="B129" s="68" t="str">
        <x:v>ACTIVE</x:v>
      </x:c>
      <x:c r="C129" s="68" t="str">
        <x:v>K03-ACT-D2890C7FDCBF152A660F0D60</x:v>
      </x:c>
      <x:c r="D129" s="68" t="str">
        <x:v>T125</x:v>
      </x:c>
      <x:c r="E129" s="68" t="str">
        <x:v>BTCUSDT</x:v>
      </x:c>
      <x:c r="F129" s="68" t="str">
        <x:v>SHORT</x:v>
      </x:c>
      <x:c r="G129" s="80" t="n">
        <x:v>46192.852800925924</x:v>
      </x:c>
      <x:c r="H129" s="80" t="n">
        <x:v>46194.271203703705</x:v>
      </x:c>
      <x:c r="I129" s="83" t="n">
        <x:v>135</x:v>
      </x:c>
      <x:c r="J129" s="83" t="n">
        <x:v>41</x:v>
      </x:c>
      <x:c r="K129" s="86" t="n">
        <x:v>-21573.37599972</x:v>
      </x:c>
      <x:c r="L129" s="86" t="n">
        <x:v>379.59507518</x:v>
      </x:c>
      <x:c r="M129" s="86" t="n">
        <x:v>113.87935608</x:v>
      </x:c>
      <x:c r="N129" s="83" t="n">
        <x:v>4</x:v>
      </x:c>
      <x:c r="O129" s="86" t="n">
        <x:v>-21839.09171882</x:v>
      </x:c>
      <x:c r="P129" s="86" t="n">
        <x:v>75.91901504</x:v>
      </x:c>
      <x:c r="Q129" s="83" t="n">
        <x:v>41</x:v>
      </x:c>
      <x:c r="R129" s="89" t="n">
        <x:v>-21763.17270378</x:v>
      </x:c>
      <x:c r="S129" s="68" t="str">
        <x:v>LOSS</x:v>
      </x:c>
      <x:c r="T129" s="75" t="str">
        <x:v>OBSERVED_EVENT_SUM</x:v>
      </x:c>
      <x:c r="U129" s="75" t="str">
        <x:v>NONE</x:v>
      </x:c>
    </x:row>
    <x:row r="130">
      <x:c r="A130" s="68" t="str">
        <x:v>S05-CYC-aa29c948a52090bde05f8303</x:v>
      </x:c>
      <x:c r="B130" s="68" t="str">
        <x:v>ACTIVE</x:v>
      </x:c>
      <x:c r="C130" s="68" t="str">
        <x:v>K03-ACT-AA29C948A52090BDE05F8303</x:v>
      </x:c>
      <x:c r="D130" s="68" t="str">
        <x:v>T126</x:v>
      </x:c>
      <x:c r="E130" s="68" t="str">
        <x:v>BTCUSDT</x:v>
      </x:c>
      <x:c r="F130" s="68" t="str">
        <x:v>SHORT</x:v>
      </x:c>
      <x:c r="G130" s="80" t="n">
        <x:v>46195.32144675926</x:v>
      </x:c>
      <x:c r="H130" s="80" t="n">
        <x:v>46195.39324074074</x:v>
      </x:c>
      <x:c r="I130" s="83" t="n">
        <x:v>136</x:v>
      </x:c>
      <x:c r="J130" s="83" t="n">
        <x:v>18</x:v>
      </x:c>
      <x:c r="K130" s="86" t="n">
        <x:v>-2625.75029994</x:v>
      </x:c>
      <x:c r="L130" s="86" t="n">
        <x:v>139.38983332</x:v>
      </x:c>
      <x:c r="M130" s="86" t="n">
        <x:v>4.11763592</x:v>
      </x:c>
      <x:c r="N130" s="83" t="n">
        <x:v>1</x:v>
      </x:c>
      <x:c r="O130" s="86" t="n">
        <x:v>-2761.02249734</x:v>
      </x:c>
      <x:c r="P130" s="86" t="n">
        <x:v>27.87796666</x:v>
      </x:c>
      <x:c r="Q130" s="83" t="n">
        <x:v>18</x:v>
      </x:c>
      <x:c r="R130" s="89" t="n">
        <x:v>-2733.14453068</x:v>
      </x:c>
      <x:c r="S130" s="68" t="str">
        <x:v>LOSS</x:v>
      </x:c>
      <x:c r="T130" s="75" t="str">
        <x:v>OBSERVED_EVENT_SUM</x:v>
      </x:c>
      <x:c r="U130" s="75" t="str">
        <x:v>NONE</x:v>
      </x:c>
    </x:row>
    <x:row r="131">
      <x:c r="A131" s="68" t="str">
        <x:v>S05-CYC-e4ae90f1c6ba5a84c4019e99</x:v>
      </x:c>
      <x:c r="B131" s="68" t="str">
        <x:v>ACTIVE</x:v>
      </x:c>
      <x:c r="C131" s="68" t="str">
        <x:v>K03-ACT-E4AE90F1C6BA5A84C4019E99</x:v>
      </x:c>
      <x:c r="D131" s="68" t="str">
        <x:v>T127</x:v>
      </x:c>
      <x:c r="E131" s="68" t="str">
        <x:v>BTCUSDT</x:v>
      </x:c>
      <x:c r="F131" s="68" t="str">
        <x:v>SHORT</x:v>
      </x:c>
      <x:c r="G131" s="80" t="n">
        <x:v>46195.433333333334</x:v>
      </x:c>
      <x:c r="H131" s="80" t="n">
        <x:v>46195.55746527778</x:v>
      </x:c>
      <x:c r="I131" s="83" t="n">
        <x:v>137</x:v>
      </x:c>
      <x:c r="J131" s="83" t="n">
        <x:v>23</x:v>
      </x:c>
      <x:c r="K131" s="86" t="n">
        <x:v>514.976</x:v>
      </x:c>
      <x:c r="L131" s="86" t="n">
        <x:v>45.31105912</x:v>
      </x:c>
      <x:c r="M131" s="86" t="n">
        <x:v>0</x:v>
      </x:c>
      <x:c r="N131" s="83" t="n">
        <x:v>0</x:v>
      </x:c>
      <x:c r="O131" s="86" t="n">
        <x:v>469.66494088</x:v>
      </x:c>
      <x:c r="P131" s="86" t="n">
        <x:v>9.06221184</x:v>
      </x:c>
      <x:c r="Q131" s="83" t="n">
        <x:v>23</x:v>
      </x:c>
      <x:c r="R131" s="89" t="n">
        <x:v>478.72715272</x:v>
      </x:c>
      <x:c r="S131" s="68" t="str">
        <x:v>WIN</x:v>
      </x:c>
      <x:c r="T131" s="75" t="str">
        <x:v>EXACT_ZERO_AFTER_COMPLETE_54_EVENT_COVERAGE</x:v>
      </x:c>
      <x:c r="U131" s="75" t="str">
        <x:v>NONE</x:v>
      </x:c>
    </x:row>
    <x:row r="132">
      <x:c r="A132" s="68" t="str">
        <x:v>S05-CYC-3999a2881e8a5666e57b4ca1</x:v>
      </x:c>
      <x:c r="B132" s="68" t="str">
        <x:v>ACTIVE</x:v>
      </x:c>
      <x:c r="C132" s="68" t="str">
        <x:v>K03-ACT-3999A2881E8A5666E57B4CA1</x:v>
      </x:c>
      <x:c r="D132" s="68" t="str">
        <x:v>T128</x:v>
      </x:c>
      <x:c r="E132" s="68" t="str">
        <x:v>BTCUSDT</x:v>
      </x:c>
      <x:c r="F132" s="68" t="str">
        <x:v>SHORT</x:v>
      </x:c>
      <x:c r="G132" s="80" t="n">
        <x:v>46196.41181712963</x:v>
      </x:c>
      <x:c r="H132" s="80" t="n">
        <x:v>46196.46059027778</x:v>
      </x:c>
      <x:c r="I132" s="83" t="n">
        <x:v>138</x:v>
      </x:c>
      <x:c r="J132" s="83" t="n">
        <x:v>9</x:v>
      </x:c>
      <x:c r="K132" s="86" t="n">
        <x:v>-64.8</x:v>
      </x:c>
      <x:c r="L132" s="86" t="n">
        <x:v>25.60023999</x:v>
      </x:c>
      <x:c r="M132" s="86" t="n">
        <x:v>0</x:v>
      </x:c>
      <x:c r="N132" s="83" t="n">
        <x:v>0</x:v>
      </x:c>
      <x:c r="O132" s="86" t="n">
        <x:v>-90.40023999</x:v>
      </x:c>
      <x:c r="P132" s="86" t="n">
        <x:v>5.12004799</x:v>
      </x:c>
      <x:c r="Q132" s="83" t="n">
        <x:v>9</x:v>
      </x:c>
      <x:c r="R132" s="89" t="n">
        <x:v>-85.280192</x:v>
      </x:c>
      <x:c r="S132" s="68" t="str">
        <x:v>LOSS</x:v>
      </x:c>
      <x:c r="T132" s="75" t="str">
        <x:v>EXACT_ZERO_AFTER_COMPLETE_54_EVENT_COVERAGE</x:v>
      </x:c>
      <x:c r="U132" s="75" t="str">
        <x:v>NONE</x:v>
      </x:c>
    </x:row>
    <x:row r="133">
      <x:c r="A133" s="68" t="str">
        <x:v>S05-CYC-493c3f6ebab26b6d91c34cbb</x:v>
      </x:c>
      <x:c r="B133" s="68" t="str">
        <x:v>ACTIVE</x:v>
      </x:c>
      <x:c r="C133" s="68" t="str">
        <x:v>K03-ACT-493C3F6EBAB26B6D91C34CBB</x:v>
      </x:c>
      <x:c r="D133" s="68" t="str">
        <x:v>T129</x:v>
      </x:c>
      <x:c r="E133" s="68" t="str">
        <x:v>BTCUSDT</x:v>
      </x:c>
      <x:c r="F133" s="68" t="str">
        <x:v>SHORT</x:v>
      </x:c>
      <x:c r="G133" s="80" t="n">
        <x:v>46196.56685185185</x:v>
      </x:c>
      <x:c r="H133" s="80" t="n">
        <x:v>46196.62502314815</x:v>
      </x:c>
      <x:c r="I133" s="83" t="n">
        <x:v>139</x:v>
      </x:c>
      <x:c r="J133" s="83" t="n">
        <x:v>21</x:v>
      </x:c>
      <x:c r="K133" s="86" t="n">
        <x:v>516.8394</x:v>
      </x:c>
      <x:c r="L133" s="86" t="n">
        <x:v>38.27359931</x:v>
      </x:c>
      <x:c r="M133" s="86" t="n">
        <x:v>0</x:v>
      </x:c>
      <x:c r="N133" s="83" t="n">
        <x:v>0</x:v>
      </x:c>
      <x:c r="O133" s="86" t="n">
        <x:v>478.56580069</x:v>
      </x:c>
      <x:c r="P133" s="86" t="n">
        <x:v>7.65471986</x:v>
      </x:c>
      <x:c r="Q133" s="83" t="n">
        <x:v>21</x:v>
      </x:c>
      <x:c r="R133" s="89" t="n">
        <x:v>486.22052055</x:v>
      </x:c>
      <x:c r="S133" s="68" t="str">
        <x:v>WIN</x:v>
      </x:c>
      <x:c r="T133" s="75" t="str">
        <x:v>EXACT_ZERO_AFTER_COMPLETE_54_EVENT_COVERAGE</x:v>
      </x:c>
      <x:c r="U133" s="75" t="str">
        <x:v>NONE</x:v>
      </x:c>
    </x:row>
    <x:row r="134">
      <x:c r="A134" s="68" t="str">
        <x:v>S05-CYC-d901fbb17232221819a0fafd</x:v>
      </x:c>
      <x:c r="B134" s="68" t="str">
        <x:v>ACTIVE</x:v>
      </x:c>
      <x:c r="C134" s="68" t="str">
        <x:v>K03-ACT-D901FBB17232221819A0FAFD</x:v>
      </x:c>
      <x:c r="D134" s="68" t="str">
        <x:v>T130</x:v>
      </x:c>
      <x:c r="E134" s="68" t="str">
        <x:v>BTCUSDT</x:v>
      </x:c>
      <x:c r="F134" s="68" t="str">
        <x:v>SHORT</x:v>
      </x:c>
      <x:c r="G134" s="80" t="n">
        <x:v>46196.68365740741</x:v>
      </x:c>
      <x:c r="H134" s="80" t="n">
        <x:v>46196.865266203706</x:v>
      </x:c>
      <x:c r="I134" s="83" t="n">
        <x:v>140</x:v>
      </x:c>
      <x:c r="J134" s="83" t="n">
        <x:v>3</x:v>
      </x:c>
      <x:c r="K134" s="86" t="n">
        <x:v>-287.22359999</x:v>
      </x:c>
      <x:c r="L134" s="86" t="n">
        <x:v>77.23223544</x:v>
      </x:c>
      <x:c r="M134" s="86" t="n">
        <x:v>0</x:v>
      </x:c>
      <x:c r="N134" s="83" t="n">
        <x:v>0</x:v>
      </x:c>
      <x:c r="O134" s="86" t="n">
        <x:v>-364.45583543</x:v>
      </x:c>
      <x:c r="P134" s="86" t="n">
        <x:v>15.44644709</x:v>
      </x:c>
      <x:c r="Q134" s="83" t="n">
        <x:v>3</x:v>
      </x:c>
      <x:c r="R134" s="89" t="n">
        <x:v>-349.00938834</x:v>
      </x:c>
      <x:c r="S134" s="68" t="str">
        <x:v>LOSS</x:v>
      </x:c>
      <x:c r="T134" s="75" t="str">
        <x:v>EXACT_ZERO_AFTER_COMPLETE_54_EVENT_COVERAGE</x:v>
      </x:c>
      <x:c r="U134" s="75" t="str">
        <x:v>NONE</x:v>
      </x:c>
    </x:row>
    <x:row r="135">
      <x:c r="A135" s="68" t="str">
        <x:v>S05-CYC-1c6de63c33ad5d7a9b7b20eb</x:v>
      </x:c>
      <x:c r="B135" s="68" t="str">
        <x:v>ACTIVE</x:v>
      </x:c>
      <x:c r="C135" s="68" t="str">
        <x:v>K03-ACT-1C6DE63C33AD5D7A9B7B20EB</x:v>
      </x:c>
      <x:c r="D135" s="68" t="str">
        <x:v>T131</x:v>
      </x:c>
      <x:c r="E135" s="68" t="str">
        <x:v>BTCUSDT</x:v>
      </x:c>
      <x:c r="F135" s="68" t="str">
        <x:v>SHORT</x:v>
      </x:c>
      <x:c r="G135" s="80" t="n">
        <x:v>46197.35734953704</x:v>
      </x:c>
      <x:c r="H135" s="80" t="n">
        <x:v>46197.43135416666</x:v>
      </x:c>
      <x:c r="I135" s="83" t="n">
        <x:v>141</x:v>
      </x:c>
      <x:c r="J135" s="83" t="n">
        <x:v>3</x:v>
      </x:c>
      <x:c r="K135" s="86" t="n">
        <x:v>40.4142</x:v>
      </x:c>
      <x:c r="L135" s="86" t="n">
        <x:v>14.53195044</x:v>
      </x:c>
      <x:c r="M135" s="86" t="n">
        <x:v>0</x:v>
      </x:c>
      <x:c r="N135" s="83" t="n">
        <x:v>0</x:v>
      </x:c>
      <x:c r="O135" s="86" t="n">
        <x:v>25.88224956</x:v>
      </x:c>
      <x:c r="P135" s="86" t="n">
        <x:v>2.90639009</x:v>
      </x:c>
      <x:c r="Q135" s="83" t="n">
        <x:v>3</x:v>
      </x:c>
      <x:c r="R135" s="89" t="n">
        <x:v>28.78863965</x:v>
      </x:c>
      <x:c r="S135" s="68" t="str">
        <x:v>WIN</x:v>
      </x:c>
      <x:c r="T135" s="75" t="str">
        <x:v>EXACT_ZERO_AFTER_COMPLETE_54_EVENT_COVERAGE</x:v>
      </x:c>
      <x:c r="U135" s="75" t="str">
        <x:v>NONE</x:v>
      </x:c>
    </x:row>
    <x:row r="136">
      <x:c r="A136" s="68" t="str">
        <x:v>S05-CYC-4eb7a5b139c6c2f1e177a179</x:v>
      </x:c>
      <x:c r="B136" s="68" t="str">
        <x:v>ACTIVE</x:v>
      </x:c>
      <x:c r="C136" s="68" t="str">
        <x:v>K03-ACT-4EB7A5B139C6C2F1E177A179</x:v>
      </x:c>
      <x:c r="D136" s="68" t="str">
        <x:v>T132</x:v>
      </x:c>
      <x:c r="E136" s="68" t="str">
        <x:v>BTCUSDT</x:v>
      </x:c>
      <x:c r="F136" s="68" t="str">
        <x:v>SHORT</x:v>
      </x:c>
      <x:c r="G136" s="80" t="n">
        <x:v>46197.8175462963</x:v>
      </x:c>
      <x:c r="H136" s="80" t="n">
        <x:v>46197.82609953704</x:v>
      </x:c>
      <x:c r="I136" s="83" t="n">
        <x:v>142</x:v>
      </x:c>
      <x:c r="J136" s="83" t="n">
        <x:v>4</x:v>
      </x:c>
      <x:c r="K136" s="86" t="n">
        <x:v>-205.1</x:v>
      </x:c>
      <x:c r="L136" s="86" t="n">
        <x:v>12.9213</x:v>
      </x:c>
      <x:c r="M136" s="86" t="n">
        <x:v>0</x:v>
      </x:c>
      <x:c r="N136" s="83" t="n">
        <x:v>0</x:v>
      </x:c>
      <x:c r="O136" s="86" t="n">
        <x:v>-218.0213</x:v>
      </x:c>
      <x:c r="P136" s="86" t="n">
        <x:v>2.58426</x:v>
      </x:c>
      <x:c r="Q136" s="83" t="n">
        <x:v>4</x:v>
      </x:c>
      <x:c r="R136" s="89" t="n">
        <x:v>-215.43704</x:v>
      </x:c>
      <x:c r="S136" s="68" t="str">
        <x:v>LOSS</x:v>
      </x:c>
      <x:c r="T136" s="75" t="str">
        <x:v>EXACT_ZERO_AFTER_COMPLETE_54_EVENT_COVERAGE</x:v>
      </x:c>
      <x:c r="U136" s="75" t="str">
        <x:v>NONE</x:v>
      </x:c>
    </x:row>
    <x:row r="137">
      <x:c r="A137" s="68" t="str">
        <x:v>S05-CYC-764bd97b36835680dc4578ea</x:v>
      </x:c>
      <x:c r="B137" s="68" t="str">
        <x:v>ACTIVE</x:v>
      </x:c>
      <x:c r="C137" s="68" t="str">
        <x:v>K03-ACT-764BD97B36835680DC4578EA</x:v>
      </x:c>
      <x:c r="D137" s="68" t="str">
        <x:v>T133</x:v>
      </x:c>
      <x:c r="E137" s="68" t="str">
        <x:v>BTCUSDT</x:v>
      </x:c>
      <x:c r="F137" s="68" t="str">
        <x:v>SHORT</x:v>
      </x:c>
      <x:c r="G137" s="80" t="n">
        <x:v>46198.036620370374</x:v>
      </x:c>
      <x:c r="H137" s="80" t="n">
        <x:v>46198.18972222222</x:v>
      </x:c>
      <x:c r="I137" s="83" t="n">
        <x:v>143</x:v>
      </x:c>
      <x:c r="J137" s="83" t="n">
        <x:v>33</x:v>
      </x:c>
      <x:c r="K137" s="86" t="n">
        <x:v>-3029.24709993</x:v>
      </x:c>
      <x:c r="L137" s="86" t="n">
        <x:v>103.12726093</x:v>
      </x:c>
      <x:c r="M137" s="86" t="n">
        <x:v>0</x:v>
      </x:c>
      <x:c r="N137" s="83" t="n">
        <x:v>0</x:v>
      </x:c>
      <x:c r="O137" s="86" t="n">
        <x:v>-3132.37436086</x:v>
      </x:c>
      <x:c r="P137" s="86" t="n">
        <x:v>20.62545219</x:v>
      </x:c>
      <x:c r="Q137" s="83" t="n">
        <x:v>33</x:v>
      </x:c>
      <x:c r="R137" s="89" t="n">
        <x:v>-3111.74890867</x:v>
      </x:c>
      <x:c r="S137" s="68" t="str">
        <x:v>LOSS</x:v>
      </x:c>
      <x:c r="T137" s="75" t="str">
        <x:v>EXACT_ZERO_AFTER_COMPLETE_54_EVENT_COVERAGE</x:v>
      </x:c>
      <x:c r="U137" s="75" t="str">
        <x:v>NONE</x:v>
      </x:c>
    </x:row>
    <x:row r="138">
      <x:c r="A138" s="68" t="str">
        <x:v>S05-CYC-c3ea08b1f07ab2f4432db28c</x:v>
      </x:c>
      <x:c r="B138" s="68" t="str">
        <x:v>ACTIVE</x:v>
      </x:c>
      <x:c r="C138" s="68" t="str">
        <x:v>K03-ACT-C3EA08B1F07AB2F4432DB28C</x:v>
      </x:c>
      <x:c r="D138" s="68" t="str">
        <x:v>T134</x:v>
      </x:c>
      <x:c r="E138" s="68" t="str">
        <x:v>MUUSDT</x:v>
      </x:c>
      <x:c r="F138" s="68" t="str">
        <x:v>LONG</x:v>
      </x:c>
      <x:c r="G138" s="80" t="n">
        <x:v>46198.19146990741</x:v>
      </x:c>
      <x:c r="H138" s="80" t="n">
        <x:v>46198.193391203706</x:v>
      </x:c>
      <x:c r="I138" s="83" t="n">
        <x:v>144</x:v>
      </x:c>
      <x:c r="J138" s="83" t="n">
        <x:v>2</x:v>
      </x:c>
      <x:c r="K138" s="86" t="n">
        <x:v>27.0297</x:v>
      </x:c>
      <x:c r="L138" s="86" t="n">
        <x:v>0</x:v>
      </x:c>
      <x:c r="M138" s="86" t="n">
        <x:v>0</x:v>
      </x:c>
      <x:c r="N138" s="83" t="n">
        <x:v>0</x:v>
      </x:c>
      <x:c r="O138" s="86" t="n">
        <x:v>27.0297</x:v>
      </x:c>
      <x:c r="P138" s="86" t="n">
        <x:v>0</x:v>
      </x:c>
      <x:c r="Q138" s="83" t="n">
        <x:v>0</x:v>
      </x:c>
      <x:c r="R138" s="89" t="n">
        <x:v>27.0297</x:v>
      </x:c>
      <x:c r="S138" s="68" t="str">
        <x:v>WIN</x:v>
      </x:c>
      <x:c r="T138" s="75" t="str">
        <x:v>EXACT_ZERO_AFTER_COMPLETE_54_EVENT_COVERAGE</x:v>
      </x:c>
      <x:c r="U138" s="75" t="str">
        <x:v>NONE</x:v>
      </x:c>
    </x:row>
    <x:row r="139">
      <x:c r="A139" s="68" t="str">
        <x:v>S05-CYC-30c197a0fbb0950ec0e8d832</x:v>
      </x:c>
      <x:c r="B139" s="68" t="str">
        <x:v>ACTIVE</x:v>
      </x:c>
      <x:c r="C139" s="68" t="str">
        <x:v>K03-ACT-30C197A0FBB0950EC0E8D832</x:v>
      </x:c>
      <x:c r="D139" s="68" t="str">
        <x:v>T135</x:v>
      </x:c>
      <x:c r="E139" s="68" t="str">
        <x:v>BTCUSDT</x:v>
      </x:c>
      <x:c r="F139" s="68" t="str">
        <x:v>SHORT</x:v>
      </x:c>
      <x:c r="G139" s="80" t="n">
        <x:v>46198.215416666666</x:v>
      </x:c>
      <x:c r="H139" s="80" t="n">
        <x:v>46198.3740162037</x:v>
      </x:c>
      <x:c r="I139" s="83" t="n">
        <x:v>145</x:v>
      </x:c>
      <x:c r="J139" s="83" t="n">
        <x:v>4</x:v>
      </x:c>
      <x:c r="K139" s="86" t="n">
        <x:v>34.906</x:v>
      </x:c>
      <x:c r="L139" s="86" t="n">
        <x:v>13.6795488</x:v>
      </x:c>
      <x:c r="M139" s="86" t="n">
        <x:v>-0.48911107</x:v>
      </x:c>
      <x:c r="N139" s="83" t="n">
        <x:v>1</x:v>
      </x:c>
      <x:c r="O139" s="86" t="n">
        <x:v>20.73734013</x:v>
      </x:c>
      <x:c r="P139" s="86" t="n">
        <x:v>2.73590976</x:v>
      </x:c>
      <x:c r="Q139" s="83" t="n">
        <x:v>4</x:v>
      </x:c>
      <x:c r="R139" s="89" t="n">
        <x:v>23.47324989</x:v>
      </x:c>
      <x:c r="S139" s="68" t="str">
        <x:v>WIN</x:v>
      </x:c>
      <x:c r="T139" s="75" t="str">
        <x:v>OBSERVED_EVENT_SUM</x:v>
      </x:c>
      <x:c r="U139" s="75" t="str">
        <x:v>NONE</x:v>
      </x:c>
    </x:row>
    <x:row r="140">
      <x:c r="A140" s="69" t="str">
        <x:v>S05-CYC-bbd88cd80ed5177a055df6f8</x:v>
      </x:c>
      <x:c r="B140" s="69" t="str">
        <x:v>ACTIVE</x:v>
      </x:c>
      <x:c r="C140" s="69" t="str">
        <x:v>K03-ACT-BBD88CD80ED5177A055DF6F8</x:v>
      </x:c>
      <x:c r="D140" s="69" t="str">
        <x:v>T136</x:v>
      </x:c>
      <x:c r="E140" s="69" t="str">
        <x:v>BTCUSDT</x:v>
      </x:c>
      <x:c r="F140" s="69" t="str">
        <x:v>SHORT</x:v>
      </x:c>
      <x:c r="G140" s="81" t="n">
        <x:v>46204.386921296296</x:v>
      </x:c>
      <x:c r="H140" s="81" t="n">
        <x:v>46204.46996527778</x:v>
      </x:c>
      <x:c r="I140" s="84" t="n">
        <x:v>146</x:v>
      </x:c>
      <x:c r="J140" s="84" t="n">
        <x:v>19</x:v>
      </x:c>
      <x:c r="K140" s="87" t="n">
        <x:v>-779.73239996</x:v>
      </x:c>
      <x:c r="L140" s="87" t="n">
        <x:v>23.12568071</x:v>
      </x:c>
      <x:c r="M140" s="87" t="n">
        <x:v>0</x:v>
      </x:c>
      <x:c r="N140" s="84" t="n">
        <x:v>0</x:v>
      </x:c>
      <x:c r="O140" s="87" t="n">
        <x:v>-802.85808067</x:v>
      </x:c>
      <x:c r="P140" s="87" t="n">
        <x:v>4.62513616</x:v>
      </x:c>
      <x:c r="Q140" s="84" t="n">
        <x:v>19</x:v>
      </x:c>
      <x:c r="R140" s="90" t="n">
        <x:v>-798.23294451</x:v>
      </x:c>
      <x:c r="S140" s="69" t="str">
        <x:v>LOSS</x:v>
      </x:c>
      <x:c r="T140" s="77" t="str">
        <x:v>EXACT_ZERO_AFTER_COMPLETE_54_EVENT_COVERAGE</x:v>
      </x:c>
      <x:c r="U140" s="77" t="str">
        <x:v>NONE</x:v>
      </x:c>
    </x:row>
  </x:sheetData>
  <x:mergeCells>
    <x:mergeCell ref="A1:U1"/>
    <x:mergeCell ref="A2:U2"/>
  </x:mergeCells>
  <x:conditionalFormatting sqref="S5:S140">
    <x:cfRule type="containsText" dxfId="0" priority="1" operator="containsText" text="WIN"/>
    <x:cfRule type="containsText" dxfId="1" priority="2" operator="containsText" text="LOSS"/>
  </x:conditionalFormatting>
  <x:conditionalFormatting sqref="U5:U140">
    <x:cfRule type="containsText" dxfId="2" priority="3" operator="containsText" text="NONE"/>
  </x:conditionalFormatting>
  <x:pageMargins left="0.7" right="0.7" top="0.75" bottom="0.75" header="0.3" footer="0.3"/>
  <x:tableParts count="1">
    <x:tablePart xmlns:r="http://schemas.openxmlformats.org/officeDocument/2006/relationships" r:id="R32d0ce7bce16466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  <x:selection pane="topRight" activeCell="E1" sqref="E1"/>
      <x:selection pane="bottomLeft" activeCell="A5" sqref="A5"/>
      <x:selection pane="bottomRight" activeCell="E5" sqref="E5"/>
    </x:sheetView>
  </x:sheetViews>
  <x:sheetFormatPr defaultRowHeight="15"/>
  <x:cols>
    <x:col min="1" max="1" width="31" hidden="0" customWidth="1"/>
    <x:col min="2" max="2" width="10" hidden="0" customWidth="1"/>
    <x:col min="3" max="3" width="34" hidden="0" customWidth="1"/>
    <x:col min="4" max="4" width="10" hidden="0" customWidth="1"/>
    <x:col min="5" max="5" width="13" hidden="0" customWidth="1"/>
    <x:col min="6" max="6" width="10" hidden="0" customWidth="1"/>
    <x:col min="7" max="7" width="21" hidden="0" customWidth="1"/>
    <x:col min="8" max="8" width="21" hidden="0" customWidth="1"/>
    <x:col min="9" max="9" width="14" hidden="0" customWidth="1"/>
    <x:col min="10" max="10" width="13" hidden="0" customWidth="1"/>
    <x:col min="11" max="11" width="16" hidden="0" customWidth="1"/>
    <x:col min="12" max="12" width="15" hidden="0" customWidth="1"/>
    <x:col min="13" max="13" width="17" hidden="0" customWidth="1"/>
    <x:col min="14" max="14" width="14" hidden="0" customWidth="1"/>
    <x:col min="15" max="15" width="17" hidden="0" customWidth="1"/>
    <x:col min="16" max="16" width="15" hidden="0" customWidth="1"/>
    <x:col min="17" max="17" width="14" hidden="0" customWidth="1"/>
    <x:col min="18" max="18" width="17" hidden="0" customWidth="1"/>
    <x:col min="19" max="19" width="12" hidden="0" customWidth="1"/>
    <x:col min="20" max="20" width="44" hidden="0" customWidth="1"/>
    <x:col min="21" max="21" width="18" hidden="0" customWidth="1"/>
  </x:cols>
  <x:sheetData>
    <x:row r="1" ht="32" customHeight="1">
      <x:c r="A1" s="4" t="str">
        <x:v>12 笔自动跟单｜独立资金事实</x:v>
      </x:c>
      <x:c r="B1" s="4" t="str">
        <x:v>12 笔自动跟单｜独立资金事实</x:v>
      </x:c>
      <x:c r="C1" s="4" t="str">
        <x:v>12 笔自动跟单｜独立资金事实</x:v>
      </x:c>
      <x:c r="D1" s="4" t="str">
        <x:v>12 笔自动跟单｜独立资金事实</x:v>
      </x:c>
      <x:c r="E1" s="4" t="str">
        <x:v>12 笔自动跟单｜独立资金事实</x:v>
      </x:c>
      <x:c r="F1" s="4" t="str">
        <x:v>12 笔自动跟单｜独立资金事实</x:v>
      </x:c>
      <x:c r="G1" s="4" t="str">
        <x:v>12 笔自动跟单｜独立资金事实</x:v>
      </x:c>
      <x:c r="H1" s="4" t="str">
        <x:v>12 笔自动跟单｜独立资金事实</x:v>
      </x:c>
      <x:c r="I1" s="4" t="str">
        <x:v>12 笔自动跟单｜独立资金事实</x:v>
      </x:c>
      <x:c r="J1" s="4" t="str">
        <x:v>12 笔自动跟单｜独立资金事实</x:v>
      </x:c>
      <x:c r="K1" s="4" t="str">
        <x:v>12 笔自动跟单｜独立资金事实</x:v>
      </x:c>
      <x:c r="L1" s="4" t="str">
        <x:v>12 笔自动跟单｜独立资金事实</x:v>
      </x:c>
      <x:c r="M1" s="4" t="str">
        <x:v>12 笔自动跟单｜独立资金事实</x:v>
      </x:c>
      <x:c r="N1" s="4" t="str">
        <x:v>12 笔自动跟单｜独立资金事实</x:v>
      </x:c>
      <x:c r="O1" s="4" t="str">
        <x:v>12 笔自动跟单｜独立资金事实</x:v>
      </x:c>
      <x:c r="P1" s="4" t="str">
        <x:v>12 笔自动跟单｜独立资金事实</x:v>
      </x:c>
      <x:c r="Q1" s="4" t="str">
        <x:v>12 笔自动跟单｜独立资金事实</x:v>
      </x:c>
      <x:c r="R1" s="4" t="str">
        <x:v>12 笔自动跟单｜独立资金事实</x:v>
      </x:c>
      <x:c r="S1" s="4" t="str">
        <x:v>12 笔自动跟单｜独立资金事实</x:v>
      </x:c>
      <x:c r="T1" s="4" t="str">
        <x:v>12 笔自动跟单｜独立资金事实</x:v>
      </x:c>
      <x:c r="U1" s="4" t="str">
        <x:v>12 笔自动跟单｜独立资金事实</x:v>
      </x:c>
    </x:row>
    <x:row r="2" ht="34" customHeight="1">
      <x:c r="A2" s="8" t="str">
        <x:v>与主动交易物理隔离；只作为资金背景，不解释为用户主动决策。空 stable_trade_id / 根仓位来源行保留为空，不填 0。</x:v>
      </x:c>
      <x:c r="B2" s="8" t="str">
        <x:v>与主动交易物理隔离；只作为资金背景，不解释为用户主动决策。空 stable_trade_id / 根仓位来源行保留为空，不填 0。</x:v>
      </x:c>
      <x:c r="C2" s="8" t="str">
        <x:v>与主动交易物理隔离；只作为资金背景，不解释为用户主动决策。空 stable_trade_id / 根仓位来源行保留为空，不填 0。</x:v>
      </x:c>
      <x:c r="D2" s="8" t="str">
        <x:v>与主动交易物理隔离；只作为资金背景，不解释为用户主动决策。空 stable_trade_id / 根仓位来源行保留为空，不填 0。</x:v>
      </x:c>
      <x:c r="E2" s="8" t="str">
        <x:v>与主动交易物理隔离；只作为资金背景，不解释为用户主动决策。空 stable_trade_id / 根仓位来源行保留为空，不填 0。</x:v>
      </x:c>
      <x:c r="F2" s="8" t="str">
        <x:v>与主动交易物理隔离；只作为资金背景，不解释为用户主动决策。空 stable_trade_id / 根仓位来源行保留为空，不填 0。</x:v>
      </x:c>
      <x:c r="G2" s="8" t="str">
        <x:v>与主动交易物理隔离；只作为资金背景，不解释为用户主动决策。空 stable_trade_id / 根仓位来源行保留为空，不填 0。</x:v>
      </x:c>
      <x:c r="H2" s="8" t="str">
        <x:v>与主动交易物理隔离；只作为资金背景，不解释为用户主动决策。空 stable_trade_id / 根仓位来源行保留为空，不填 0。</x:v>
      </x:c>
      <x:c r="I2" s="8" t="str">
        <x:v>与主动交易物理隔离；只作为资金背景，不解释为用户主动决策。空 stable_trade_id / 根仓位来源行保留为空，不填 0。</x:v>
      </x:c>
      <x:c r="J2" s="8" t="str">
        <x:v>与主动交易物理隔离；只作为资金背景，不解释为用户主动决策。空 stable_trade_id / 根仓位来源行保留为空，不填 0。</x:v>
      </x:c>
      <x:c r="K2" s="8" t="str">
        <x:v>与主动交易物理隔离；只作为资金背景，不解释为用户主动决策。空 stable_trade_id / 根仓位来源行保留为空，不填 0。</x:v>
      </x:c>
      <x:c r="L2" s="8" t="str">
        <x:v>与主动交易物理隔离；只作为资金背景，不解释为用户主动决策。空 stable_trade_id / 根仓位来源行保留为空，不填 0。</x:v>
      </x:c>
      <x:c r="M2" s="8" t="str">
        <x:v>与主动交易物理隔离；只作为资金背景，不解释为用户主动决策。空 stable_trade_id / 根仓位来源行保留为空，不填 0。</x:v>
      </x:c>
      <x:c r="N2" s="8" t="str">
        <x:v>与主动交易物理隔离；只作为资金背景，不解释为用户主动决策。空 stable_trade_id / 根仓位来源行保留为空，不填 0。</x:v>
      </x:c>
      <x:c r="O2" s="8" t="str">
        <x:v>与主动交易物理隔离；只作为资金背景，不解释为用户主动决策。空 stable_trade_id / 根仓位来源行保留为空，不填 0。</x:v>
      </x:c>
      <x:c r="P2" s="8" t="str">
        <x:v>与主动交易物理隔离；只作为资金背景，不解释为用户主动决策。空 stable_trade_id / 根仓位来源行保留为空，不填 0。</x:v>
      </x:c>
      <x:c r="Q2" s="8" t="str">
        <x:v>与主动交易物理隔离；只作为资金背景，不解释为用户主动决策。空 stable_trade_id / 根仓位来源行保留为空，不填 0。</x:v>
      </x:c>
      <x:c r="R2" s="8" t="str">
        <x:v>与主动交易物理隔离；只作为资金背景，不解释为用户主动决策。空 stable_trade_id / 根仓位来源行保留为空，不填 0。</x:v>
      </x:c>
      <x:c r="S2" s="8" t="str">
        <x:v>与主动交易物理隔离；只作为资金背景，不解释为用户主动决策。空 stable_trade_id / 根仓位来源行保留为空，不填 0。</x:v>
      </x:c>
      <x:c r="T2" s="8" t="str">
        <x:v>与主动交易物理隔离；只作为资金背景，不解释为用户主动决策。空 stable_trade_id / 根仓位来源行保留为空，不填 0。</x:v>
      </x:c>
      <x:c r="U2" s="8" t="str">
        <x:v>与主动交易物理隔离；只作为资金背景，不解释为用户主动决策。空 stable_trade_id / 根仓位来源行保留为空，不填 0。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60" t="str">
        <x:v>周期ID</x:v>
      </x:c>
      <x:c r="B4" s="61" t="str">
        <x:v>域</x:v>
      </x:c>
      <x:c r="C4" s="61" t="str">
        <x:v>稳定交易ID</x:v>
      </x:c>
      <x:c r="D4" s="61" t="str">
        <x:v>交易编号</x:v>
      </x:c>
      <x:c r="E4" s="61" t="str">
        <x:v>币对</x:v>
      </x:c>
      <x:c r="F4" s="61" t="str">
        <x:v>方向</x:v>
      </x:c>
      <x:c r="G4" s="61" t="str">
        <x:v>开始时间（北京）</x:v>
      </x:c>
      <x:c r="H4" s="61" t="str">
        <x:v>结束时间（北京）</x:v>
      </x:c>
      <x:c r="I4" s="61" t="str">
        <x:v>根仓位来源行</x:v>
      </x:c>
      <x:c r="J4" s="61" t="str">
        <x:v>成交记录数</x:v>
      </x:c>
      <x:c r="K4" s="61" t="str">
        <x:v>已实现盈亏</x:v>
      </x:c>
      <x:c r="L4" s="61" t="str">
        <x:v>手续费成本</x:v>
      </x:c>
      <x:c r="M4" s="61" t="str">
        <x:v>资金费（有符号）</x:v>
      </x:c>
      <x:c r="N4" s="61" t="str">
        <x:v>资金费事件数</x:v>
      </x:c>
      <x:c r="O4" s="61" t="str">
        <x:v>Legacy严格净额</x:v>
      </x:c>
      <x:c r="P4" s="61" t="str">
        <x:v>手续费返佣</x:v>
      </x:c>
      <x:c r="Q4" s="61" t="str">
        <x:v>返佣事件数</x:v>
      </x:c>
      <x:c r="R4" s="61" t="str">
        <x:v>经济净结果</x:v>
      </x:c>
      <x:c r="S4" s="61" t="str">
        <x:v>经济结果</x:v>
      </x:c>
      <x:c r="T4" s="61" t="str">
        <x:v>资金费为0语义</x:v>
      </x:c>
      <x:c r="U4" s="62" t="str">
        <x:v>未知强制置零</x:v>
      </x:c>
    </x:row>
    <x:row r="5">
      <x:c r="A5" s="67" t="str">
        <x:v>S05-CYC-ff362cd0c8e83788ee4084f0</x:v>
      </x:c>
      <x:c r="B5" s="67" t="str">
        <x:v>COPY</x:v>
      </x:c>
      <x:c r="C5" s="67"/>
      <x:c r="D5" s="67" t="str">
        <x:v>U005</x:v>
      </x:c>
      <x:c r="E5" s="67" t="str">
        <x:v>ETHUSDT</x:v>
      </x:c>
      <x:c r="F5" s="67" t="str">
        <x:v>SHORT</x:v>
      </x:c>
      <x:c r="G5" s="79" t="n">
        <x:v>46178.91190972222</x:v>
      </x:c>
      <x:c r="H5" s="79" t="n">
        <x:v>46178.923171296294</x:v>
      </x:c>
      <x:c r="I5" s="82"/>
      <x:c r="J5" s="82" t="n">
        <x:v>2</x:v>
      </x:c>
      <x:c r="K5" s="85" t="n">
        <x:v>3.42108</x:v>
      </x:c>
      <x:c r="L5" s="85" t="n">
        <x:v>0.38043486</x:v>
      </x:c>
      <x:c r="M5" s="85" t="n">
        <x:v>0</x:v>
      </x:c>
      <x:c r="N5" s="82" t="n">
        <x:v>0</x:v>
      </x:c>
      <x:c r="O5" s="85" t="n">
        <x:v>3.04064514</x:v>
      </x:c>
      <x:c r="P5" s="85" t="n">
        <x:v>0.07608697</x:v>
      </x:c>
      <x:c r="Q5" s="82" t="n">
        <x:v>2</x:v>
      </x:c>
      <x:c r="R5" s="88" t="n">
        <x:v>3.11673211</x:v>
      </x:c>
      <x:c r="S5" s="67" t="str">
        <x:v>WIN</x:v>
      </x:c>
      <x:c r="T5" s="73" t="str">
        <x:v>EXACT_ZERO_AFTER_COMPLETE_54_EVENT_COVERAGE</x:v>
      </x:c>
      <x:c r="U5" s="73" t="str">
        <x:v>NONE</x:v>
      </x:c>
    </x:row>
    <x:row r="6">
      <x:c r="A6" s="68" t="str">
        <x:v>S05-CYC-70f7c45d8a989b99d6161079</x:v>
      </x:c>
      <x:c r="B6" s="68" t="str">
        <x:v>COPY</x:v>
      </x:c>
      <x:c r="C6" s="68"/>
      <x:c r="D6" s="68" t="str">
        <x:v>U006</x:v>
      </x:c>
      <x:c r="E6" s="68" t="str">
        <x:v>SOLUSDT</x:v>
      </x:c>
      <x:c r="F6" s="68" t="str">
        <x:v>SHORT</x:v>
      </x:c>
      <x:c r="G6" s="80" t="n">
        <x:v>46178.91221064815</x:v>
      </x:c>
      <x:c r="H6" s="80" t="n">
        <x:v>46178.92318287037</x:v>
      </x:c>
      <x:c r="I6" s="83"/>
      <x:c r="J6" s="83" t="n">
        <x:v>2</x:v>
      </x:c>
      <x:c r="K6" s="86" t="n">
        <x:v>-1.0941</x:v>
      </x:c>
      <x:c r="L6" s="86" t="n">
        <x:v>0.33904075</x:v>
      </x:c>
      <x:c r="M6" s="86" t="n">
        <x:v>0</x:v>
      </x:c>
      <x:c r="N6" s="83" t="n">
        <x:v>0</x:v>
      </x:c>
      <x:c r="O6" s="86" t="n">
        <x:v>-1.43314075</x:v>
      </x:c>
      <x:c r="P6" s="86" t="n">
        <x:v>0.06780815</x:v>
      </x:c>
      <x:c r="Q6" s="83" t="n">
        <x:v>2</x:v>
      </x:c>
      <x:c r="R6" s="89" t="n">
        <x:v>-1.3653326</x:v>
      </x:c>
      <x:c r="S6" s="68" t="str">
        <x:v>LOSS</x:v>
      </x:c>
      <x:c r="T6" s="75" t="str">
        <x:v>EXACT_ZERO_AFTER_COMPLETE_54_EVENT_COVERAGE</x:v>
      </x:c>
      <x:c r="U6" s="75" t="str">
        <x:v>NONE</x:v>
      </x:c>
    </x:row>
    <x:row r="7">
      <x:c r="A7" s="68" t="str">
        <x:v>S05-CYC-b6721a681fc9747623a1f73c</x:v>
      </x:c>
      <x:c r="B7" s="68" t="str">
        <x:v>COPY</x:v>
      </x:c>
      <x:c r="C7" s="68"/>
      <x:c r="D7" s="68" t="str">
        <x:v>U008</x:v>
      </x:c>
      <x:c r="E7" s="68" t="str">
        <x:v>ZESTUSDT</x:v>
      </x:c>
      <x:c r="F7" s="68" t="str">
        <x:v>LONG</x:v>
      </x:c>
      <x:c r="G7" s="80" t="n">
        <x:v>46180.718298611115</x:v>
      </x:c>
      <x:c r="H7" s="80" t="n">
        <x:v>46180.72099537037</x:v>
      </x:c>
      <x:c r="I7" s="83"/>
      <x:c r="J7" s="83" t="n">
        <x:v>6</x:v>
      </x:c>
      <x:c r="K7" s="86" t="n">
        <x:v>-17.97235998</x:v>
      </x:c>
      <x:c r="L7" s="86" t="n">
        <x:v>0.6906816</x:v>
      </x:c>
      <x:c r="M7" s="86" t="n">
        <x:v>0</x:v>
      </x:c>
      <x:c r="N7" s="83" t="n">
        <x:v>0</x:v>
      </x:c>
      <x:c r="O7" s="86" t="n">
        <x:v>-18.66304158</x:v>
      </x:c>
      <x:c r="P7" s="86" t="n">
        <x:v>0.13813632</x:v>
      </x:c>
      <x:c r="Q7" s="83" t="n">
        <x:v>6</x:v>
      </x:c>
      <x:c r="R7" s="89" t="n">
        <x:v>-18.52490526</x:v>
      </x:c>
      <x:c r="S7" s="68" t="str">
        <x:v>LOSS</x:v>
      </x:c>
      <x:c r="T7" s="75" t="str">
        <x:v>EXACT_ZERO_AFTER_COMPLETE_54_EVENT_COVERAGE</x:v>
      </x:c>
      <x:c r="U7" s="75" t="str">
        <x:v>NONE</x:v>
      </x:c>
    </x:row>
    <x:row r="8">
      <x:c r="A8" s="68" t="str">
        <x:v>S05-CYC-0c9012855c06d6f23713403c</x:v>
      </x:c>
      <x:c r="B8" s="68" t="str">
        <x:v>COPY</x:v>
      </x:c>
      <x:c r="C8" s="68"/>
      <x:c r="D8" s="68" t="str">
        <x:v>U009</x:v>
      </x:c>
      <x:c r="E8" s="68" t="str">
        <x:v>ETHUSDT</x:v>
      </x:c>
      <x:c r="F8" s="68" t="str">
        <x:v>SHORT</x:v>
      </x:c>
      <x:c r="G8" s="80" t="n">
        <x:v>46181.271527777775</x:v>
      </x:c>
      <x:c r="H8" s="80" t="n">
        <x:v>46181.87414351852</x:v>
      </x:c>
      <x:c r="I8" s="83"/>
      <x:c r="J8" s="83" t="n">
        <x:v>59</x:v>
      </x:c>
      <x:c r="K8" s="86" t="n">
        <x:v>-40.55389979</x:v>
      </x:c>
      <x:c r="L8" s="86" t="n">
        <x:v>3.24542604</x:v>
      </x:c>
      <x:c r="M8" s="86" t="n">
        <x:v>-0.48082771</x:v>
      </x:c>
      <x:c r="N8" s="83" t="n">
        <x:v>2</x:v>
      </x:c>
      <x:c r="O8" s="86" t="n">
        <x:v>-44.28015354</x:v>
      </x:c>
      <x:c r="P8" s="86" t="n">
        <x:v>0.6490852</x:v>
      </x:c>
      <x:c r="Q8" s="83" t="n">
        <x:v>59</x:v>
      </x:c>
      <x:c r="R8" s="89" t="n">
        <x:v>-43.63106834</x:v>
      </x:c>
      <x:c r="S8" s="68" t="str">
        <x:v>LOSS</x:v>
      </x:c>
      <x:c r="T8" s="75" t="str">
        <x:v>OBSERVED_EVENT_SUM</x:v>
      </x:c>
      <x:c r="U8" s="75" t="str">
        <x:v>NONE</x:v>
      </x:c>
    </x:row>
    <x:row r="9">
      <x:c r="A9" s="68" t="str">
        <x:v>S05-CYC-b62d5bc893bfc5944417e570</x:v>
      </x:c>
      <x:c r="B9" s="68" t="str">
        <x:v>COPY</x:v>
      </x:c>
      <x:c r="C9" s="68"/>
      <x:c r="D9" s="68" t="str">
        <x:v>U010</x:v>
      </x:c>
      <x:c r="E9" s="68" t="str">
        <x:v>BTCUSDT</x:v>
      </x:c>
      <x:c r="F9" s="68" t="str">
        <x:v>SHORT</x:v>
      </x:c>
      <x:c r="G9" s="80" t="n">
        <x:v>46181.27167824074</x:v>
      </x:c>
      <x:c r="H9" s="80" t="n">
        <x:v>46181.87414351852</x:v>
      </x:c>
      <x:c r="I9" s="83"/>
      <x:c r="J9" s="83" t="n">
        <x:v>3</x:v>
      </x:c>
      <x:c r="K9" s="86" t="n">
        <x:v>-67.5936</x:v>
      </x:c>
      <x:c r="L9" s="86" t="n">
        <x:v>4.56172559</x:v>
      </x:c>
      <x:c r="M9" s="86" t="n">
        <x:v>0.31834676</x:v>
      </x:c>
      <x:c r="N9" s="83" t="n">
        <x:v>2</x:v>
      </x:c>
      <x:c r="O9" s="86" t="n">
        <x:v>-71.83697883</x:v>
      </x:c>
      <x:c r="P9" s="86" t="n">
        <x:v>0.91234512</x:v>
      </x:c>
      <x:c r="Q9" s="83" t="n">
        <x:v>3</x:v>
      </x:c>
      <x:c r="R9" s="89" t="n">
        <x:v>-70.92463371</x:v>
      </x:c>
      <x:c r="S9" s="68" t="str">
        <x:v>LOSS</x:v>
      </x:c>
      <x:c r="T9" s="75" t="str">
        <x:v>OBSERVED_EVENT_SUM</x:v>
      </x:c>
      <x:c r="U9" s="75" t="str">
        <x:v>NONE</x:v>
      </x:c>
    </x:row>
    <x:row r="10">
      <x:c r="A10" s="68" t="str">
        <x:v>S05-CYC-49045beede2ba129805f281d</x:v>
      </x:c>
      <x:c r="B10" s="68" t="str">
        <x:v>COPY</x:v>
      </x:c>
      <x:c r="C10" s="68"/>
      <x:c r="D10" s="68" t="str">
        <x:v>U011</x:v>
      </x:c>
      <x:c r="E10" s="68" t="str">
        <x:v>SOLUSDT</x:v>
      </x:c>
      <x:c r="F10" s="68" t="str">
        <x:v>SHORT</x:v>
      </x:c>
      <x:c r="G10" s="80" t="n">
        <x:v>46181.27186342592</x:v>
      </x:c>
      <x:c r="H10" s="80" t="n">
        <x:v>46181.87414351852</x:v>
      </x:c>
      <x:c r="I10" s="83"/>
      <x:c r="J10" s="83" t="n">
        <x:v>4</x:v>
      </x:c>
      <x:c r="K10" s="86" t="n">
        <x:v>-71.709</x:v>
      </x:c>
      <x:c r="L10" s="86" t="n">
        <x:v>3.8836545</x:v>
      </x:c>
      <x:c r="M10" s="86" t="n">
        <x:v>-1.87223785</x:v>
      </x:c>
      <x:c r="N10" s="83" t="n">
        <x:v>2</x:v>
      </x:c>
      <x:c r="O10" s="86" t="n">
        <x:v>-77.46489235</x:v>
      </x:c>
      <x:c r="P10" s="86" t="n">
        <x:v>0.7767309</x:v>
      </x:c>
      <x:c r="Q10" s="83" t="n">
        <x:v>4</x:v>
      </x:c>
      <x:c r="R10" s="89" t="n">
        <x:v>-76.68816145</x:v>
      </x:c>
      <x:c r="S10" s="68" t="str">
        <x:v>LOSS</x:v>
      </x:c>
      <x:c r="T10" s="75" t="str">
        <x:v>OBSERVED_EVENT_SUM</x:v>
      </x:c>
      <x:c r="U10" s="75" t="str">
        <x:v>NONE</x:v>
      </x:c>
    </x:row>
    <x:row r="11">
      <x:c r="A11" s="68" t="str">
        <x:v>S05-CYC-b2ede5b2988052ecd218b052</x:v>
      </x:c>
      <x:c r="B11" s="68" t="str">
        <x:v>COPY</x:v>
      </x:c>
      <x:c r="C11" s="68"/>
      <x:c r="D11" s="68" t="str">
        <x:v>U012</x:v>
      </x:c>
      <x:c r="E11" s="68" t="str">
        <x:v>XRPUSDT</x:v>
      </x:c>
      <x:c r="F11" s="68" t="str">
        <x:v>SHORT</x:v>
      </x:c>
      <x:c r="G11" s="80" t="n">
        <x:v>46181.735347222224</x:v>
      </x:c>
      <x:c r="H11" s="80" t="n">
        <x:v>46181.87414351852</x:v>
      </x:c>
      <x:c r="I11" s="83"/>
      <x:c r="J11" s="83" t="n">
        <x:v>14</x:v>
      </x:c>
      <x:c r="K11" s="86" t="n">
        <x:v>-88.2175</x:v>
      </x:c>
      <x:c r="L11" s="86" t="n">
        <x:v>3.92815448</x:v>
      </x:c>
      <x:c r="M11" s="86" t="n">
        <x:v>0</x:v>
      </x:c>
      <x:c r="N11" s="83" t="n">
        <x:v>0</x:v>
      </x:c>
      <x:c r="O11" s="86" t="n">
        <x:v>-92.14565448</x:v>
      </x:c>
      <x:c r="P11" s="86" t="n">
        <x:v>0.78563088</x:v>
      </x:c>
      <x:c r="Q11" s="83" t="n">
        <x:v>14</x:v>
      </x:c>
      <x:c r="R11" s="89" t="n">
        <x:v>-91.3600236</x:v>
      </x:c>
      <x:c r="S11" s="68" t="str">
        <x:v>LOSS</x:v>
      </x:c>
      <x:c r="T11" s="75" t="str">
        <x:v>EXACT_ZERO_AFTER_COMPLETE_54_EVENT_COVERAGE</x:v>
      </x:c>
      <x:c r="U11" s="75" t="str">
        <x:v>NONE</x:v>
      </x:c>
    </x:row>
    <x:row r="12">
      <x:c r="A12" s="68" t="str">
        <x:v>S05-CYC-f16d2e1e6d97ff5780875653</x:v>
      </x:c>
      <x:c r="B12" s="68" t="str">
        <x:v>COPY</x:v>
      </x:c>
      <x:c r="C12" s="68"/>
      <x:c r="D12" s="68" t="str">
        <x:v>U013</x:v>
      </x:c>
      <x:c r="E12" s="68" t="str">
        <x:v>SOLUSDT</x:v>
      </x:c>
      <x:c r="F12" s="68" t="str">
        <x:v>SHORT</x:v>
      </x:c>
      <x:c r="G12" s="80" t="n">
        <x:v>46182.43494212963</x:v>
      </x:c>
      <x:c r="H12" s="80" t="n">
        <x:v>46183.129849537036</x:v>
      </x:c>
      <x:c r="I12" s="83"/>
      <x:c r="J12" s="83" t="n">
        <x:v>3</x:v>
      </x:c>
      <x:c r="K12" s="86" t="n">
        <x:v>0.43369999</x:v>
      </x:c>
      <x:c r="L12" s="86" t="n">
        <x:v>0.09739465</x:v>
      </x:c>
      <x:c r="M12" s="86" t="n">
        <x:v>-0.01067589</x:v>
      </x:c>
      <x:c r="N12" s="83" t="n">
        <x:v>2</x:v>
      </x:c>
      <x:c r="O12" s="86" t="n">
        <x:v>0.32562945</x:v>
      </x:c>
      <x:c r="P12" s="86" t="n">
        <x:v>0.01947893</x:v>
      </x:c>
      <x:c r="Q12" s="83" t="n">
        <x:v>3</x:v>
      </x:c>
      <x:c r="R12" s="89" t="n">
        <x:v>0.34510838</x:v>
      </x:c>
      <x:c r="S12" s="68" t="str">
        <x:v>WIN</x:v>
      </x:c>
      <x:c r="T12" s="75" t="str">
        <x:v>OBSERVED_EVENT_SUM</x:v>
      </x:c>
      <x:c r="U12" s="75" t="str">
        <x:v>NONE</x:v>
      </x:c>
    </x:row>
    <x:row r="13">
      <x:c r="A13" s="68" t="str">
        <x:v>S05-CYC-78bf6d0254fa4ec6d3cb8965</x:v>
      </x:c>
      <x:c r="B13" s="68" t="str">
        <x:v>COPY</x:v>
      </x:c>
      <x:c r="C13" s="68"/>
      <x:c r="D13" s="68" t="str">
        <x:v>U014</x:v>
      </x:c>
      <x:c r="E13" s="68" t="str">
        <x:v>BTCUSDT</x:v>
      </x:c>
      <x:c r="F13" s="68" t="str">
        <x:v>SHORT</x:v>
      </x:c>
      <x:c r="G13" s="80" t="n">
        <x:v>46182.730104166665</x:v>
      </x:c>
      <x:c r="H13" s="80" t="n">
        <x:v>46183.129849537036</x:v>
      </x:c>
      <x:c r="I13" s="83"/>
      <x:c r="J13" s="83" t="n">
        <x:v>2</x:v>
      </x:c>
      <x:c r="K13" s="86" t="n">
        <x:v>0.9568</x:v>
      </x:c>
      <x:c r="L13" s="86" t="n">
        <x:v>0.0622488</x:v>
      </x:c>
      <x:c r="M13" s="86" t="n">
        <x:v>0.00037034</x:v>
      </x:c>
      <x:c r="N13" s="83" t="n">
        <x:v>1</x:v>
      </x:c>
      <x:c r="O13" s="86" t="n">
        <x:v>0.89492154</x:v>
      </x:c>
      <x:c r="P13" s="86" t="n">
        <x:v>0.01244976</x:v>
      </x:c>
      <x:c r="Q13" s="83" t="n">
        <x:v>2</x:v>
      </x:c>
      <x:c r="R13" s="89" t="n">
        <x:v>0.9073713</x:v>
      </x:c>
      <x:c r="S13" s="68" t="str">
        <x:v>WIN</x:v>
      </x:c>
      <x:c r="T13" s="75" t="str">
        <x:v>OBSERVED_EVENT_SUM</x:v>
      </x:c>
      <x:c r="U13" s="75" t="str">
        <x:v>NONE</x:v>
      </x:c>
    </x:row>
    <x:row r="14">
      <x:c r="A14" s="68" t="str">
        <x:v>S05-CYC-1d45fb446d37d9c8c7a480fe</x:v>
      </x:c>
      <x:c r="B14" s="68" t="str">
        <x:v>COPY</x:v>
      </x:c>
      <x:c r="C14" s="68"/>
      <x:c r="D14" s="68" t="str">
        <x:v>U015</x:v>
      </x:c>
      <x:c r="E14" s="68" t="str">
        <x:v>ETHUSDT</x:v>
      </x:c>
      <x:c r="F14" s="68" t="str">
        <x:v>SHORT</x:v>
      </x:c>
      <x:c r="G14" s="80" t="n">
        <x:v>46182.92700231481</x:v>
      </x:c>
      <x:c r="H14" s="80" t="n">
        <x:v>46183.129849537036</x:v>
      </x:c>
      <x:c r="I14" s="83"/>
      <x:c r="J14" s="83" t="n">
        <x:v>2</x:v>
      </x:c>
      <x:c r="K14" s="86" t="n">
        <x:v>0.17458</x:v>
      </x:c>
      <x:c r="L14" s="86" t="n">
        <x:v>0.04793671</x:v>
      </x:c>
      <x:c r="M14" s="86" t="n">
        <x:v>-0.00245855</x:v>
      </x:c>
      <x:c r="N14" s="83" t="n">
        <x:v>1</x:v>
      </x:c>
      <x:c r="O14" s="86" t="n">
        <x:v>0.12418474</x:v>
      </x:c>
      <x:c r="P14" s="86" t="n">
        <x:v>0.00958734</x:v>
      </x:c>
      <x:c r="Q14" s="83" t="n">
        <x:v>2</x:v>
      </x:c>
      <x:c r="R14" s="89" t="n">
        <x:v>0.13377208</x:v>
      </x:c>
      <x:c r="S14" s="68" t="str">
        <x:v>WIN</x:v>
      </x:c>
      <x:c r="T14" s="75" t="str">
        <x:v>OBSERVED_EVENT_SUM</x:v>
      </x:c>
      <x:c r="U14" s="75" t="str">
        <x:v>NONE</x:v>
      </x:c>
    </x:row>
    <x:row r="15">
      <x:c r="A15" s="68" t="str">
        <x:v>S05-CYC-f5209ccb8ad1f1dd70509a10</x:v>
      </x:c>
      <x:c r="B15" s="68" t="str">
        <x:v>COPY</x:v>
      </x:c>
      <x:c r="C15" s="68"/>
      <x:c r="D15" s="68" t="str">
        <x:v>U016</x:v>
      </x:c>
      <x:c r="E15" s="68" t="str">
        <x:v>BTCUSDT</x:v>
      </x:c>
      <x:c r="F15" s="68" t="str">
        <x:v>SHORT</x:v>
      </x:c>
      <x:c r="G15" s="80" t="n">
        <x:v>46192.00975694445</x:v>
      </x:c>
      <x:c r="H15" s="80" t="n">
        <x:v>46192.906701388885</x:v>
      </x:c>
      <x:c r="I15" s="83"/>
      <x:c r="J15" s="83" t="n">
        <x:v>3</x:v>
      </x:c>
      <x:c r="K15" s="86" t="n">
        <x:v>-2.9263</x:v>
      </x:c>
      <x:c r="L15" s="86" t="n">
        <x:v>0.25198525</x:v>
      </x:c>
      <x:c r="M15" s="86" t="n">
        <x:v>0.00876741</x:v>
      </x:c>
      <x:c r="N15" s="83" t="n">
        <x:v>2</x:v>
      </x:c>
      <x:c r="O15" s="86" t="n">
        <x:v>-3.16951784</x:v>
      </x:c>
      <x:c r="P15" s="86" t="n">
        <x:v>0.05039705</x:v>
      </x:c>
      <x:c r="Q15" s="83" t="n">
        <x:v>3</x:v>
      </x:c>
      <x:c r="R15" s="89" t="n">
        <x:v>-3.11912079</x:v>
      </x:c>
      <x:c r="S15" s="68" t="str">
        <x:v>LOSS</x:v>
      </x:c>
      <x:c r="T15" s="75" t="str">
        <x:v>OBSERVED_EVENT_SUM</x:v>
      </x:c>
      <x:c r="U15" s="75" t="str">
        <x:v>NONE</x:v>
      </x:c>
    </x:row>
    <x:row r="16">
      <x:c r="A16" s="69" t="str">
        <x:v>S05-CYC-4bd717861fe238a14c375173</x:v>
      </x:c>
      <x:c r="B16" s="69" t="str">
        <x:v>COPY</x:v>
      </x:c>
      <x:c r="C16" s="69"/>
      <x:c r="D16" s="69" t="str">
        <x:v>U017</x:v>
      </x:c>
      <x:c r="E16" s="69" t="str">
        <x:v>BTCUSDT</x:v>
      </x:c>
      <x:c r="F16" s="69" t="str">
        <x:v>SHORT</x:v>
      </x:c>
      <x:c r="G16" s="81" t="n">
        <x:v>46193.04119212963</x:v>
      </x:c>
      <x:c r="H16" s="81" t="n">
        <x:v>46193.330937499995</x:v>
      </x:c>
      <x:c r="I16" s="84"/>
      <x:c r="J16" s="84" t="n">
        <x:v>2</x:v>
      </x:c>
      <x:c r="K16" s="87" t="n">
        <x:v>-3.6694</x:v>
      </x:c>
      <x:c r="L16" s="87" t="n">
        <x:v>0.4424861</x:v>
      </x:c>
      <x:c r="M16" s="87" t="n">
        <x:v>0</x:v>
      </x:c>
      <x:c r="N16" s="84" t="n">
        <x:v>0</x:v>
      </x:c>
      <x:c r="O16" s="87" t="n">
        <x:v>-4.1118861</x:v>
      </x:c>
      <x:c r="P16" s="87" t="n">
        <x:v>0.08849722</x:v>
      </x:c>
      <x:c r="Q16" s="84" t="n">
        <x:v>2</x:v>
      </x:c>
      <x:c r="R16" s="90" t="n">
        <x:v>-4.02338888</x:v>
      </x:c>
      <x:c r="S16" s="69" t="str">
        <x:v>LOSS</x:v>
      </x:c>
      <x:c r="T16" s="77" t="str">
        <x:v>EXACT_ZERO_AFTER_COMPLETE_54_EVENT_COVERAGE</x:v>
      </x:c>
      <x:c r="U16" s="77" t="str">
        <x:v>NONE</x:v>
      </x:c>
    </x:row>
  </x:sheetData>
  <x:mergeCells>
    <x:mergeCell ref="A1:U1"/>
    <x:mergeCell ref="A2:U2"/>
  </x:mergeCells>
  <x:conditionalFormatting sqref="S5:S16">
    <x:cfRule type="containsText" dxfId="3" priority="1" operator="containsText" text="WIN"/>
    <x:cfRule type="containsText" dxfId="4" priority="2" operator="containsText" text="LOSS"/>
  </x:conditionalFormatting>
  <x:conditionalFormatting sqref="U5:U16">
    <x:cfRule type="containsText" dxfId="5" priority="3" operator="containsText" text="NONE"/>
  </x:conditionalFormatting>
  <x:pageMargins left="0.7" right="0.7" top="0.75" bottom="0.75" header="0.3" footer="0.3"/>
  <x:tableParts count="1">
    <x:tablePart xmlns:r="http://schemas.openxmlformats.org/officeDocument/2006/relationships" r:id="R11dfb52f5b61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22" hidden="0" customWidth="1"/>
    <x:col min="5" max="5" width="17" hidden="0" customWidth="1"/>
    <x:col min="6" max="6" width="16" hidden="0" customWidth="1"/>
    <x:col min="7" max="7" width="16" hidden="0" customWidth="1"/>
    <x:col min="8" max="8" width="15" hidden="0" customWidth="1"/>
    <x:col min="9" max="9" width="14" hidden="0" customWidth="1"/>
    <x:col min="10" max="10" width="16" hidden="0" customWidth="1"/>
    <x:col min="11" max="11" width="14" hidden="0" customWidth="1"/>
    <x:col min="12" max="12" width="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2" customHeight="1">
      <x:c r="A1" s="4" t="str">
        <x:v>客观独立观察｜只描述数值结构</x:v>
      </x:c>
      <x:c r="B1" s="4" t="str">
        <x:v>客观独立观察｜只描述数值结构</x:v>
      </x:c>
      <x:c r="C1" s="4" t="str">
        <x:v>客观独立观察｜只描述数值结构</x:v>
      </x:c>
      <x:c r="D1" s="4" t="str">
        <x:v>客观独立观察｜只描述数值结构</x:v>
      </x:c>
      <x:c r="E1" s="4" t="str">
        <x:v>客观独立观察｜只描述数值结构</x:v>
      </x:c>
      <x:c r="F1" s="4" t="str">
        <x:v>客观独立观察｜只描述数值结构</x:v>
      </x:c>
      <x:c r="G1" s="4" t="str">
        <x:v>客观独立观察｜只描述数值结构</x:v>
      </x:c>
      <x:c r="H1" s="4" t="str">
        <x:v>客观独立观察｜只描述数值结构</x:v>
      </x:c>
      <x:c r="I1" s="4" t="str">
        <x:v>客观独立观察｜只描述数值结构</x:v>
      </x:c>
      <x:c r="J1" s="4" t="str">
        <x:v>客观独立观察｜只描述数值结构</x:v>
      </x:c>
      <x:c r="K1" s="4" t="str">
        <x:v>客观独立观察｜只描述数值结构</x:v>
      </x:c>
      <x:c r="L1" s="4" t="str">
        <x:v>客观独立观察｜只描述数值结构</x:v>
      </x:c>
      <x:c r="M1" s="4" t="str">
        <x:v>客观独立观察｜只描述数值结构</x:v>
      </x:c>
      <x:c r="N1" s="4" t="str">
        <x:v>客观独立观察｜只描述数值结构</x:v>
      </x:c>
      <x:c r="O1" s="4" t="str">
        <x:v>客观独立观察｜只描述数值结构</x:v>
      </x:c>
      <x:c r="P1" s="4" t="str">
        <x:v>客观独立观察｜只描述数值结构</x:v>
      </x:c>
      <x:c r="Q1" s="4" t="str">
        <x:v>客观独立观察｜只描述数值结构</x:v>
      </x:c>
    </x:row>
    <x:row r="2" ht="34" customHeight="1">
      <x:c r="A2" s="8" t="str">
        <x:v>本页与 Recovery 事实、人工自述和策略处方严格隔离。所有结论只引用冻结的 136 笔主动客观字段。</x:v>
      </x:c>
      <x:c r="B2" s="8" t="str">
        <x:v>本页与 Recovery 事实、人工自述和策略处方严格隔离。所有结论只引用冻结的 136 笔主动客观字段。</x:v>
      </x:c>
      <x:c r="C2" s="8" t="str">
        <x:v>本页与 Recovery 事实、人工自述和策略处方严格隔离。所有结论只引用冻结的 136 笔主动客观字段。</x:v>
      </x:c>
      <x:c r="D2" s="8" t="str">
        <x:v>本页与 Recovery 事实、人工自述和策略处方严格隔离。所有结论只引用冻结的 136 笔主动客观字段。</x:v>
      </x:c>
      <x:c r="E2" s="8" t="str">
        <x:v>本页与 Recovery 事实、人工自述和策略处方严格隔离。所有结论只引用冻结的 136 笔主动客观字段。</x:v>
      </x:c>
      <x:c r="F2" s="8" t="str">
        <x:v>本页与 Recovery 事实、人工自述和策略处方严格隔离。所有结论只引用冻结的 136 笔主动客观字段。</x:v>
      </x:c>
      <x:c r="G2" s="8" t="str">
        <x:v>本页与 Recovery 事实、人工自述和策略处方严格隔离。所有结论只引用冻结的 136 笔主动客观字段。</x:v>
      </x:c>
      <x:c r="H2" s="8" t="str">
        <x:v>本页与 Recovery 事实、人工自述和策略处方严格隔离。所有结论只引用冻结的 136 笔主动客观字段。</x:v>
      </x:c>
      <x:c r="I2" s="8" t="str">
        <x:v>本页与 Recovery 事实、人工自述和策略处方严格隔离。所有结论只引用冻结的 136 笔主动客观字段。</x:v>
      </x:c>
      <x:c r="J2" s="8" t="str">
        <x:v>本页与 Recovery 事实、人工自述和策略处方严格隔离。所有结论只引用冻结的 136 笔主动客观字段。</x:v>
      </x:c>
      <x:c r="K2" s="8" t="str">
        <x:v>本页与 Recovery 事实、人工自述和策略处方严格隔离。所有结论只引用冻结的 136 笔主动客观字段。</x:v>
      </x:c>
      <x:c r="L2" s="8" t="str">
        <x:v>本页与 Recovery 事实、人工自述和策略处方严格隔离。所有结论只引用冻结的 136 笔主动客观字段。</x:v>
      </x:c>
      <x:c r="M2" s="8" t="str">
        <x:v>本页与 Recovery 事实、人工自述和策略处方严格隔离。所有结论只引用冻结的 136 笔主动客观字段。</x:v>
      </x:c>
      <x:c r="N2" s="8" t="str">
        <x:v>本页与 Recovery 事实、人工自述和策略处方严格隔离。所有结论只引用冻结的 136 笔主动客观字段。</x:v>
      </x:c>
      <x:c r="O2" s="8" t="str">
        <x:v>本页与 Recovery 事实、人工自述和策略处方严格隔离。所有结论只引用冻结的 136 笔主动客观字段。</x:v>
      </x:c>
      <x:c r="P2" s="8" t="str">
        <x:v>本页与 Recovery 事实、人工自述和策略处方严格隔离。所有结论只引用冻结的 136 笔主动客观字段。</x:v>
      </x:c>
      <x:c r="Q2" s="8" t="str">
        <x:v>本页与 Recovery 事实、人工自述和策略处方严格隔离。所有结论只引用冻结的 136 笔主动客观字段。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86" t="str">
        <x:v>经济口径胜率</x:v>
      </x:c>
      <x:c r="B4" s="187" t="str">
        <x:v>经济口径胜率</x:v>
      </x:c>
      <x:c r="C4" s="188" t="str">
        <x:v>经济口径胜率</x:v>
      </x:c>
      <x:c r="D4" s="189"/>
      <x:c r="E4" s="186" t="str">
        <x:v>主动经济净结果（USDT）</x:v>
      </x:c>
      <x:c r="F4" s="187" t="str">
        <x:v>主动经济净结果（USDT）</x:v>
      </x:c>
      <x:c r="G4" s="188" t="str">
        <x:v>主动经济净结果（USDT）</x:v>
      </x:c>
      <x:c r="H4" s="189"/>
      <x:c r="I4" s="186" t="str">
        <x:v>利润因子</x:v>
      </x:c>
      <x:c r="J4" s="187" t="str">
        <x:v>利润因子</x:v>
      </x:c>
      <x:c r="K4" s="188" t="str">
        <x:v>利润因子</x:v>
      </x:c>
      <x:c r="L4" s="189"/>
      <x:c r="M4" s="186" t="str">
        <x:v>最大亏损占毛亏损</x:v>
      </x:c>
      <x:c r="N4" s="187" t="str">
        <x:v>最大亏损占毛亏损</x:v>
      </x:c>
      <x:c r="O4" s="188" t="str">
        <x:v>最大亏损占毛亏损</x:v>
      </x:c>
      <x:c r="P4" s="1"/>
      <x:c r="Q4" s="1"/>
    </x:row>
    <x:row r="5">
      <x:c r="A5" s="190" t="n">
        <x:f>'核心对账'!B9</x:f>
        <x:v>0.7720588235294118</x:v>
      </x:c>
      <x:c r="B5" s="191"/>
      <x:c r="C5" s="192"/>
      <x:c r="D5" s="189"/>
      <x:c r="E5" s="193" t="n">
        <x:f>'核心对账'!B10</x:f>
        <x:v>-73118.35218988002</x:v>
      </x:c>
      <x:c r="F5" s="194"/>
      <x:c r="G5" s="195"/>
      <x:c r="H5" s="189"/>
      <x:c r="I5" s="196" t="n">
        <x:f>'核心对账'!B13</x:f>
        <x:v>0.34007592168979556</x:v>
      </x:c>
      <x:c r="J5" s="197"/>
      <x:c r="K5" s="198"/>
      <x:c r="L5" s="189"/>
      <x:c r="M5" s="199" t="n">
        <x:f>'核心对账'!B22</x:f>
        <x:v>0.3416985767260777</x:v>
      </x:c>
      <x:c r="N5" s="200"/>
      <x:c r="O5" s="201"/>
      <x:c r="P5" s="1"/>
      <x:c r="Q5" s="1"/>
    </x:row>
    <x:row r="6">
      <x:c r="A6" s="202"/>
      <x:c r="B6" s="203"/>
      <x:c r="C6" s="204"/>
      <x:c r="D6" s="189"/>
      <x:c r="E6" s="205"/>
      <x:c r="F6" s="206"/>
      <x:c r="G6" s="207"/>
      <x:c r="H6" s="189"/>
      <x:c r="I6" s="208"/>
      <x:c r="J6" s="209"/>
      <x:c r="K6" s="210"/>
      <x:c r="L6" s="189"/>
      <x:c r="M6" s="211"/>
      <x:c r="N6" s="212"/>
      <x:c r="O6" s="213"/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4" customHeight="1">
      <x:c r="A9" s="11" t="str">
        <x:v>解释层（限定）：由确定性数值推出，但不解释动机或心理</x:v>
      </x:c>
      <x:c r="B9" s="11" t="str">
        <x:v>解释层（限定）：由确定性数值推出，但不解释动机或心理</x:v>
      </x:c>
      <x:c r="C9" s="11" t="str">
        <x:v>解释层（限定）：由确定性数值推出，但不解释动机或心理</x:v>
      </x:c>
      <x:c r="D9" s="11" t="str">
        <x:v>解释层（限定）：由确定性数值推出，但不解释动机或心理</x:v>
      </x:c>
      <x:c r="E9" s="11" t="str">
        <x:v>解释层（限定）：由确定性数值推出，但不解释动机或心理</x:v>
      </x:c>
      <x:c r="F9" s="11" t="str">
        <x:v>解释层（限定）：由确定性数值推出，但不解释动机或心理</x:v>
      </x:c>
      <x:c r="G9" s="11" t="str">
        <x:v>解释层（限定）：由确定性数值推出，但不解释动机或心理</x:v>
      </x:c>
      <x:c r="H9" s="11" t="str">
        <x:v>解释层（限定）：由确定性数值推出，但不解释动机或心理</x:v>
      </x:c>
      <x:c r="I9" s="11" t="str">
        <x:v>解释层（限定）：由确定性数值推出，但不解释动机或心理</x:v>
      </x:c>
      <x:c r="J9" s="11" t="str">
        <x:v>解释层（限定）：由确定性数值推出，但不解释动机或心理</x:v>
      </x:c>
      <x:c r="K9" s="11" t="str">
        <x:v>解释层（限定）：由确定性数值推出，但不解释动机或心理</x:v>
      </x:c>
      <x:c r="L9" s="11" t="str">
        <x:v>解释层（限定）：由确定性数值推出，但不解释动机或心理</x:v>
      </x:c>
      <x:c r="M9" s="11" t="str">
        <x:v>解释层（限定）：由确定性数值推出，但不解释动机或心理</x:v>
      </x:c>
      <x:c r="N9" s="11" t="str">
        <x:v>解释层（限定）：由确定性数值推出，但不解释动机或心理</x:v>
      </x:c>
      <x:c r="O9" s="11" t="str">
        <x:v>解释层（限定）：由确定性数值推出，但不解释动机或心理</x:v>
      </x:c>
      <x:c r="P9" s="11" t="str">
        <x:v>解释层（限定）：由确定性数值推出，但不解释动机或心理</x:v>
      </x:c>
      <x:c r="Q9" s="11" t="str">
        <x:v>解释层（限定）：由确定性数值推出，但不解释动机或心理</x:v>
      </x:c>
    </x:row>
    <x:row r="10" ht="42" customHeight="1">
      <x:c r="A10" s="228" t="str">
        <x:v>OBS-01</x:v>
      </x:c>
      <x:c r="B10" s="229" t="str">
        <x:v>高胜率与负净结果并存</x:v>
      </x:c>
      <x:c r="C10" s="73" t="str">
        <x:v>105/136 盈利，但主动经济净结果为负；胜率本身不足以解释最终结果。</x:v>
      </x:c>
      <x:c r="D10" s="230" t="str">
        <x:v>限定解释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2" customHeight="1">
      <x:c r="A11" s="231" t="str">
        <x:v>OBS-02</x:v>
      </x:c>
      <x:c r="B11" s="232" t="str">
        <x:v>盈亏幅度不对称</x:v>
      </x:c>
      <x:c r="C11" s="75" t="str">
        <x:v>平均盈利 358.86 USDT；平均亏损 -3574.13 USDT；平均盈亏比 0.1004。</x:v>
      </x:c>
      <x:c r="D11" s="233" t="str">
        <x:v>限定解释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2" customHeight="1">
      <x:c r="A12" s="231" t="str">
        <x:v>OBS-03</x:v>
      </x:c>
      <x:c r="B12" s="232" t="str">
        <x:v>尾部亏损集中</x:v>
      </x:c>
      <x:c r="C12" s="75" t="str">
        <x:v>最大一笔占毛亏损 34.17%；前3笔 73.83%；前5笔 82.99%。</x:v>
      </x:c>
      <x:c r="D12" s="233" t="str">
        <x:v>限定解释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2" customHeight="1">
      <x:c r="A13" s="231" t="str">
        <x:v>OBS-04</x:v>
      </x:c>
      <x:c r="B13" s="232" t="str">
        <x:v>成本与返佣同时存在</x:v>
      </x:c>
      <x:c r="C13" s="75" t="str">
        <x:v>主动手续费 13776.31；返佣 2755.26；返佣仅抵消约 20.00%。</x:v>
      </x:c>
      <x:c r="D13" s="233" t="str">
        <x:v>限定解释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2" customHeight="1">
      <x:c r="A14" s="231" t="str">
        <x:v>OBS-05</x:v>
      </x:c>
      <x:c r="B14" s="232" t="str">
        <x:v>中心位置与合计方向不同</x:v>
      </x:c>
      <x:c r="C14" s="75" t="str">
        <x:v>单笔中位净结果 67.30 为正，但单笔平均 -537.63 为负，与尾部集中一致。</x:v>
      </x:c>
      <x:c r="D14" s="233" t="str">
        <x:v>限定解释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2" customHeight="1">
      <x:c r="A15" s="234" t="str">
        <x:v>OBS-06</x:v>
      </x:c>
      <x:c r="B15" s="235" t="str">
        <x:v>执行密度只作分布描述</x:v>
      </x:c>
      <x:c r="C15" s="77" t="str">
        <x:v>成交记录中位数 28，95分位 237；不能据此直接判定追单/扛单/改止损。</x:v>
      </x:c>
      <x:c r="D15" s="236" t="str">
        <x:v>限定解释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4" customHeight="1">
      <x:c r="A18" s="11" t="str">
        <x:v>前 10 大亏损：确定性事实与集中度公式</x:v>
      </x:c>
      <x:c r="B18" s="11" t="str">
        <x:v>前 10 大亏损：确定性事实与集中度公式</x:v>
      </x:c>
      <x:c r="C18" s="11" t="str">
        <x:v>前 10 大亏损：确定性事实与集中度公式</x:v>
      </x:c>
      <x:c r="D18" s="11" t="str">
        <x:v>前 10 大亏损：确定性事实与集中度公式</x:v>
      </x:c>
      <x:c r="E18" s="11" t="str">
        <x:v>前 10 大亏损：确定性事实与集中度公式</x:v>
      </x:c>
      <x:c r="F18" s="11" t="str">
        <x:v>前 10 大亏损：确定性事实与集中度公式</x:v>
      </x:c>
      <x:c r="G18" s="11" t="str">
        <x:v>前 10 大亏损：确定性事实与集中度公式</x:v>
      </x:c>
      <x:c r="H18" s="11" t="str">
        <x:v>前 10 大亏损：确定性事实与集中度公式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30" customHeight="1">
      <x:c r="A19" s="60" t="str">
        <x:v>排名</x:v>
      </x:c>
      <x:c r="B19" s="61" t="str">
        <x:v>交易编号</x:v>
      </x:c>
      <x:c r="C19" s="61" t="str">
        <x:v>币对</x:v>
      </x:c>
      <x:c r="D19" s="61" t="str">
        <x:v>方向</x:v>
      </x:c>
      <x:c r="E19" s="61" t="str">
        <x:v>亏损绝对值</x:v>
      </x:c>
      <x:c r="F19" s="61" t="str">
        <x:v>占毛亏损</x:v>
      </x:c>
      <x:c r="G19" s="61" t="str">
        <x:v>累计占比</x:v>
      </x:c>
      <x:c r="H19" s="62" t="str">
        <x:v>成交记录数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82" t="n">
        <x:v>1</x:v>
      </x:c>
      <x:c r="B20" s="67" t="str">
        <x:v>T049</x:v>
      </x:c>
      <x:c r="C20" s="67" t="str">
        <x:v>BTCUSDT</x:v>
      </x:c>
      <x:c r="D20" s="67" t="str">
        <x:v>LONG</x:v>
      </x:c>
      <x:c r="E20" s="237" t="n">
        <x:v>37859.56248151</x:v>
      </x:c>
      <x:c r="F20" s="240" t="n">
        <x:f>E20/'核心对账'!$B$12</x:f>
        <x:v>0.3416985767260777</x:v>
      </x:c>
      <x:c r="G20" s="240" t="n">
        <x:f>SUM($E$20:E20)/'核心对账'!$B$12</x:f>
        <x:v>0.3416985767260777</x:v>
      </x:c>
      <x:c r="H20" s="82" t="n">
        <x:v>162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83" t="n">
        <x:v>2</x:v>
      </x:c>
      <x:c r="B21" s="68" t="str">
        <x:v>T123</x:v>
      </x:c>
      <x:c r="C21" s="68" t="str">
        <x:v>SNDKUSDT</x:v>
      </x:c>
      <x:c r="D21" s="68" t="str">
        <x:v>SHORT</x:v>
      </x:c>
      <x:c r="E21" s="238" t="n">
        <x:v>22180.62152489</x:v>
      </x:c>
      <x:c r="F21" s="96" t="n">
        <x:f>E21/'核心对账'!$B$12</x:f>
        <x:v>0.20018949795461105</x:v>
      </x:c>
      <x:c r="G21" s="96" t="n">
        <x:f>SUM($E$20:E21)/'核心对账'!$B$12</x:f>
        <x:v>0.5418880746806887</x:v>
      </x:c>
      <x:c r="H21" s="83" t="n">
        <x:v>214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83" t="n">
        <x:v>3</x:v>
      </x:c>
      <x:c r="B22" s="68" t="str">
        <x:v>T125</x:v>
      </x:c>
      <x:c r="C22" s="68" t="str">
        <x:v>BTCUSDT</x:v>
      </x:c>
      <x:c r="D22" s="68" t="str">
        <x:v>SHORT</x:v>
      </x:c>
      <x:c r="E22" s="238" t="n">
        <x:v>21763.17270378</x:v>
      </x:c>
      <x:c r="F22" s="96" t="n">
        <x:f>E22/'核心对账'!$B$12</x:f>
        <x:v>0.19642184564486947</x:v>
      </x:c>
      <x:c r="G22" s="96" t="n">
        <x:f>SUM($E$20:E22)/'核心对账'!$B$12</x:f>
        <x:v>0.7383099203255581</x:v>
      </x:c>
      <x:c r="H22" s="83" t="n">
        <x:v>41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83" t="n">
        <x:v>4</x:v>
      </x:c>
      <x:c r="B23" s="68" t="str">
        <x:v>T050</x:v>
      </x:c>
      <x:c r="C23" s="68" t="str">
        <x:v>BTCUSDT</x:v>
      </x:c>
      <x:c r="D23" s="68" t="str">
        <x:v>SHORT</x:v>
      </x:c>
      <x:c r="E23" s="238" t="n">
        <x:v>5622.65973088</x:v>
      </x:c>
      <x:c r="F23" s="96" t="n">
        <x:f>E23/'核心对账'!$B$12</x:f>
        <x:v>0.05074688405062886</x:v>
      </x:c>
      <x:c r="G23" s="96" t="n">
        <x:f>SUM($E$20:E23)/'核心对账'!$B$12</x:f>
        <x:v>0.789056804376187</x:v>
      </x:c>
      <x:c r="H23" s="83" t="n">
        <x:v>28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83" t="n">
        <x:v>5</x:v>
      </x:c>
      <x:c r="B24" s="68" t="str">
        <x:v>T020</x:v>
      </x:c>
      <x:c r="C24" s="68" t="str">
        <x:v>MUUSDT</x:v>
      </x:c>
      <x:c r="D24" s="68" t="str">
        <x:v>SHORT</x:v>
      </x:c>
      <x:c r="E24" s="238" t="n">
        <x:v>4523.09976471</x:v>
      </x:c>
      <x:c r="F24" s="96" t="n">
        <x:f>E24/'核心对账'!$B$12</x:f>
        <x:v>0.040822889930285884</x:v>
      </x:c>
      <x:c r="G24" s="96" t="n">
        <x:f>SUM($E$20:E24)/'核心对账'!$B$12</x:f>
        <x:v>0.8298796943064729</x:v>
      </x:c>
      <x:c r="H24" s="83" t="n">
        <x:v>846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83" t="n">
        <x:v>6</x:v>
      </x:c>
      <x:c r="B25" s="68" t="str">
        <x:v>T119</x:v>
      </x:c>
      <x:c r="C25" s="68" t="str">
        <x:v>XAUUSDT</x:v>
      </x:c>
      <x:c r="D25" s="68" t="str">
        <x:v>SHORT</x:v>
      </x:c>
      <x:c r="E25" s="238" t="n">
        <x:v>3389.99999991</x:v>
      </x:c>
      <x:c r="F25" s="96" t="n">
        <x:f>E25/'核心对账'!$B$12</x:f>
        <x:v>0.030596184930461724</x:v>
      </x:c>
      <x:c r="G25" s="96" t="n">
        <x:f>SUM($E$20:E25)/'核心对账'!$B$12</x:f>
        <x:v>0.8604758792369346</x:v>
      </x:c>
      <x:c r="H25" s="83" t="n">
        <x:v>61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83" t="n">
        <x:v>7</x:v>
      </x:c>
      <x:c r="B26" s="68" t="str">
        <x:v>T133</x:v>
      </x:c>
      <x:c r="C26" s="68" t="str">
        <x:v>BTCUSDT</x:v>
      </x:c>
      <x:c r="D26" s="68" t="str">
        <x:v>SHORT</x:v>
      </x:c>
      <x:c r="E26" s="238" t="n">
        <x:v>3111.74890867</x:v>
      </x:c>
      <x:c r="F26" s="96" t="n">
        <x:f>E26/'核心对账'!$B$12</x:f>
        <x:v>0.02808485105290779</x:v>
      </x:c>
      <x:c r="G26" s="96" t="n">
        <x:f>SUM($E$20:E26)/'核心对账'!$B$12</x:f>
        <x:v>0.8885607302898423</x:v>
      </x:c>
      <x:c r="H26" s="83" t="n">
        <x:v>33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83" t="n">
        <x:v>8</x:v>
      </x:c>
      <x:c r="B27" s="68" t="str">
        <x:v>T126</x:v>
      </x:c>
      <x:c r="C27" s="68" t="str">
        <x:v>BTCUSDT</x:v>
      </x:c>
      <x:c r="D27" s="68" t="str">
        <x:v>SHORT</x:v>
      </x:c>
      <x:c r="E27" s="238" t="n">
        <x:v>2733.14453068</x:v>
      </x:c>
      <x:c r="F27" s="96" t="n">
        <x:f>E27/'核心对账'!$B$12</x:f>
        <x:v>0.024667786284538466</x:v>
      </x:c>
      <x:c r="G27" s="96" t="n">
        <x:f>SUM($E$20:E27)/'核心对账'!$B$12</x:f>
        <x:v>0.9132285165743808</x:v>
      </x:c>
      <x:c r="H27" s="83" t="n">
        <x:v>18</x:v>
      </x:c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83" t="n">
        <x:v>9</x:v>
      </x:c>
      <x:c r="B28" s="68" t="str">
        <x:v>T116</x:v>
      </x:c>
      <x:c r="C28" s="68" t="str">
        <x:v>XAUUSDT</x:v>
      </x:c>
      <x:c r="D28" s="68" t="str">
        <x:v>SHORT</x:v>
      </x:c>
      <x:c r="E28" s="238" t="n">
        <x:v>2106.55549975</x:v>
      </x:c>
      <x:c r="F28" s="96" t="n">
        <x:f>E28/'核心对账'!$B$12</x:f>
        <x:v>0.019012555055558506</x:v>
      </x:c>
      <x:c r="G28" s="96" t="n">
        <x:f>SUM($E$20:E28)/'核心对账'!$B$12</x:f>
        <x:v>0.9322410716299393</x:v>
      </x:c>
      <x:c r="H28" s="83" t="n">
        <x:v>71</x:v>
      </x:c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84" t="n">
        <x:v>10</x:v>
      </x:c>
      <x:c r="B29" s="69" t="str">
        <x:v>T042</x:v>
      </x:c>
      <x:c r="C29" s="69" t="str">
        <x:v>BTCUSDT</x:v>
      </x:c>
      <x:c r="D29" s="69" t="str">
        <x:v>SHORT</x:v>
      </x:c>
      <x:c r="E29" s="239" t="n">
        <x:v>1512.56223997</x:v>
      </x:c>
      <x:c r="F29" s="99" t="n">
        <x:f>E29/'核心对账'!$B$12</x:f>
        <x:v>0.013651514458461411</x:v>
      </x:c>
      <x:c r="G29" s="99" t="n">
        <x:f>SUM($E$20:E29)/'核心对账'!$B$12</x:f>
        <x:v>0.9458925860884007</x:v>
      </x:c>
      <x:c r="H29" s="84" t="n">
        <x:v>24</x:v>
      </x:c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4" customHeight="1">
      <x:c r="A33" s="11" t="str">
        <x:v>按结束日的主动交易经济净结果与累计轨迹</x:v>
      </x:c>
      <x:c r="B33" s="11" t="str">
        <x:v>按结束日的主动交易经济净结果与累计轨迹</x:v>
      </x:c>
      <x:c r="C33" s="11" t="str">
        <x:v>按结束日的主动交易经济净结果与累计轨迹</x:v>
      </x:c>
      <x:c r="D33" s="11" t="str">
        <x:v>按结束日的主动交易经济净结果与累计轨迹</x:v>
      </x:c>
      <x:c r="E33" s="11" t="str">
        <x:v>按结束日的主动交易经济净结果与累计轨迹</x:v>
      </x:c>
      <x:c r="F33" s="11" t="str">
        <x:v>按结束日的主动交易经济净结果与累计轨迹</x:v>
      </x:c>
      <x:c r="G33" s="11" t="str">
        <x:v>按结束日的主动交易经济净结果与累计轨迹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30" customHeight="1">
      <x:c r="A34" s="60" t="str">
        <x:v>结束日期（北京）</x:v>
      </x:c>
      <x:c r="B34" s="61" t="str">
        <x:v>交易数</x:v>
      </x:c>
      <x:c r="C34" s="61" t="str">
        <x:v>盈利</x:v>
      </x:c>
      <x:c r="D34" s="61" t="str">
        <x:v>亏损</x:v>
      </x:c>
      <x:c r="E34" s="61" t="str">
        <x:v>胜率</x:v>
      </x:c>
      <x:c r="F34" s="61" t="str">
        <x:v>当日经济净结果</x:v>
      </x:c>
      <x:c r="G34" s="62" t="str">
        <x:v>累计经济净结果</x:v>
      </x:c>
      <x:c r="H34" s="1" t="str">
        <x:v>图表日期标签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241" t="n">
        <x:v>46169</x:v>
      </x:c>
      <x:c r="B35" s="82" t="n">
        <x:v>3</x:v>
      </x:c>
      <x:c r="C35" s="82" t="n">
        <x:v>3</x:v>
      </x:c>
      <x:c r="D35" s="82" t="n">
        <x:v>0</x:v>
      </x:c>
      <x:c r="E35" s="244" t="n">
        <x:v>1</x:v>
      </x:c>
      <x:c r="F35" s="237" t="n">
        <x:v>512.71261106</x:v>
      </x:c>
      <x:c r="G35" s="237" t="n">
        <x:v>512.71261106</x:v>
      </x:c>
      <x:c r="H35" s="314" t="str">
        <x:f>TEXT(A35,"mm-dd")</x:f>
        <x:v>05-27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242" t="n">
        <x:v>46170</x:v>
      </x:c>
      <x:c r="B36" s="83" t="n">
        <x:v>9</x:v>
      </x:c>
      <x:c r="C36" s="83" t="n">
        <x:v>9</x:v>
      </x:c>
      <x:c r="D36" s="83" t="n">
        <x:v>0</x:v>
      </x:c>
      <x:c r="E36" s="245" t="n">
        <x:v>1</x:v>
      </x:c>
      <x:c r="F36" s="238" t="n">
        <x:v>1119.38576461</x:v>
      </x:c>
      <x:c r="G36" s="238" t="n">
        <x:v>1632.09837567</x:v>
      </x:c>
      <x:c r="H36" s="314" t="str">
        <x:f>TEXT(A36,"mm-dd")</x:f>
        <x:v>05-28</x:v>
      </x:c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242" t="n">
        <x:v>46171</x:v>
      </x:c>
      <x:c r="B37" s="83" t="n">
        <x:v>5</x:v>
      </x:c>
      <x:c r="C37" s="83" t="n">
        <x:v>3</x:v>
      </x:c>
      <x:c r="D37" s="83" t="n">
        <x:v>2</x:v>
      </x:c>
      <x:c r="E37" s="245" t="n">
        <x:v>0.6</x:v>
      </x:c>
      <x:c r="F37" s="238" t="n">
        <x:v>1466.86379427</x:v>
      </x:c>
      <x:c r="G37" s="238" t="n">
        <x:v>3098.96216994</x:v>
      </x:c>
      <x:c r="H37" s="314" t="str">
        <x:f>TEXT(A37,"mm-dd")</x:f>
        <x:v>05-29</x:v>
      </x:c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242" t="n">
        <x:v>46172</x:v>
      </x:c>
      <x:c r="B38" s="83" t="n">
        <x:v>2</x:v>
      </x:c>
      <x:c r="C38" s="83" t="n">
        <x:v>2</x:v>
      </x:c>
      <x:c r="D38" s="83" t="n">
        <x:v>0</x:v>
      </x:c>
      <x:c r="E38" s="245" t="n">
        <x:v>1</x:v>
      </x:c>
      <x:c r="F38" s="238" t="n">
        <x:v>1070.20531196</x:v>
      </x:c>
      <x:c r="G38" s="238" t="n">
        <x:v>4169.1674819</x:v>
      </x:c>
      <x:c r="H38" s="314" t="str">
        <x:f>TEXT(A38,"mm-dd")</x:f>
        <x:v>05-30</x:v>
      </x:c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242" t="n">
        <x:v>46173</x:v>
      </x:c>
      <x:c r="B39" s="83" t="n">
        <x:v>8</x:v>
      </x:c>
      <x:c r="C39" s="83" t="n">
        <x:v>5</x:v>
      </x:c>
      <x:c r="D39" s="83" t="n">
        <x:v>3</x:v>
      </x:c>
      <x:c r="E39" s="245" t="n">
        <x:v>0.625</x:v>
      </x:c>
      <x:c r="F39" s="238" t="n">
        <x:v>-3772.68076353</x:v>
      </x:c>
      <x:c r="G39" s="238" t="n">
        <x:v>396.48671837</x:v>
      </x:c>
      <x:c r="H39" s="314" t="str">
        <x:f>TEXT(A39,"mm-dd")</x:f>
        <x:v>05-31</x:v>
      </x:c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242" t="n">
        <x:v>46174</x:v>
      </x:c>
      <x:c r="B40" s="83" t="n">
        <x:v>13</x:v>
      </x:c>
      <x:c r="C40" s="83" t="n">
        <x:v>13</x:v>
      </x:c>
      <x:c r="D40" s="83" t="n">
        <x:v>0</x:v>
      </x:c>
      <x:c r="E40" s="245" t="n">
        <x:v>1</x:v>
      </x:c>
      <x:c r="F40" s="238" t="n">
        <x:v>1480.91893794</x:v>
      </x:c>
      <x:c r="G40" s="238" t="n">
        <x:v>1877.40565631</x:v>
      </x:c>
      <x:c r="H40" s="314" t="str">
        <x:f>TEXT(A40,"mm-dd")</x:f>
        <x:v>06-01</x:v>
      </x:c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242" t="n">
        <x:v>46175</x:v>
      </x:c>
      <x:c r="B41" s="83" t="n">
        <x:v>8</x:v>
      </x:c>
      <x:c r="C41" s="83" t="n">
        <x:v>6</x:v>
      </x:c>
      <x:c r="D41" s="83" t="n">
        <x:v>2</x:v>
      </x:c>
      <x:c r="E41" s="245" t="n">
        <x:v>0.75</x:v>
      </x:c>
      <x:c r="F41" s="238" t="n">
        <x:v>358.22234778</x:v>
      </x:c>
      <x:c r="G41" s="238" t="n">
        <x:v>2235.62800409</x:v>
      </x:c>
      <x:c r="H41" s="314" t="str">
        <x:f>TEXT(A41,"mm-dd")</x:f>
        <x:v>06-02</x:v>
      </x:c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242" t="n">
        <x:v>46176</x:v>
      </x:c>
      <x:c r="B42" s="83" t="n">
        <x:v>18</x:v>
      </x:c>
      <x:c r="C42" s="83" t="n">
        <x:v>13</x:v>
      </x:c>
      <x:c r="D42" s="83" t="n">
        <x:v>5</x:v>
      </x:c>
      <x:c r="E42" s="245" t="n">
        <x:v>0.72222222</x:v>
      </x:c>
      <x:c r="F42" s="238" t="n">
        <x:v>-42068.22169179</x:v>
      </x:c>
      <x:c r="G42" s="238" t="n">
        <x:v>-39832.5936877</x:v>
      </x:c>
      <x:c r="H42" s="314" t="str">
        <x:f>TEXT(A42,"mm-dd")</x:f>
        <x:v>06-03</x:v>
      </x:c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242" t="n">
        <x:v>46177</x:v>
      </x:c>
      <x:c r="B43" s="83" t="n">
        <x:v>13</x:v>
      </x:c>
      <x:c r="C43" s="83" t="n">
        <x:v>10</x:v>
      </x:c>
      <x:c r="D43" s="83" t="n">
        <x:v>3</x:v>
      </x:c>
      <x:c r="E43" s="245" t="n">
        <x:v>0.76923077</x:v>
      </x:c>
      <x:c r="F43" s="238" t="n">
        <x:v>4832.37527276</x:v>
      </x:c>
      <x:c r="G43" s="238" t="n">
        <x:v>-35000.21841494</x:v>
      </x:c>
      <x:c r="H43" s="314" t="str">
        <x:f>TEXT(A43,"mm-dd")</x:f>
        <x:v>06-04</x:v>
      </x:c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242" t="n">
        <x:v>46178</x:v>
      </x:c>
      <x:c r="B44" s="83" t="n">
        <x:v>8</x:v>
      </x:c>
      <x:c r="C44" s="83" t="n">
        <x:v>8</x:v>
      </x:c>
      <x:c r="D44" s="83" t="n">
        <x:v>0</x:v>
      </x:c>
      <x:c r="E44" s="245" t="n">
        <x:v>1</x:v>
      </x:c>
      <x:c r="F44" s="238" t="n">
        <x:v>1414.22390669</x:v>
      </x:c>
      <x:c r="G44" s="238" t="n">
        <x:v>-33585.99450825</x:v>
      </x:c>
      <x:c r="H44" s="314" t="str">
        <x:f>TEXT(A44,"mm-dd")</x:f>
        <x:v>06-05</x:v>
      </x:c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242" t="n">
        <x:v>46179</x:v>
      </x:c>
      <x:c r="B45" s="83" t="n">
        <x:v>4</x:v>
      </x:c>
      <x:c r="C45" s="83" t="n">
        <x:v>4</x:v>
      </x:c>
      <x:c r="D45" s="83" t="n">
        <x:v>0</x:v>
      </x:c>
      <x:c r="E45" s="245" t="n">
        <x:v>1</x:v>
      </x:c>
      <x:c r="F45" s="238" t="n">
        <x:v>263.32502348</x:v>
      </x:c>
      <x:c r="G45" s="238" t="n">
        <x:v>-33322.66948477</x:v>
      </x:c>
      <x:c r="H45" s="314" t="str">
        <x:f>TEXT(A45,"mm-dd")</x:f>
        <x:v>06-06</x:v>
      </x:c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242" t="n">
        <x:v>46180</x:v>
      </x:c>
      <x:c r="B46" s="83" t="n">
        <x:v>1</x:v>
      </x:c>
      <x:c r="C46" s="83" t="n">
        <x:v>1</x:v>
      </x:c>
      <x:c r="D46" s="83" t="n">
        <x:v>0</x:v>
      </x:c>
      <x:c r="E46" s="245" t="n">
        <x:v>1</x:v>
      </x:c>
      <x:c r="F46" s="238" t="n">
        <x:v>3061.05625346</x:v>
      </x:c>
      <x:c r="G46" s="238" t="n">
        <x:v>-30261.61323131</x:v>
      </x:c>
      <x:c r="H46" s="314" t="str">
        <x:f>TEXT(A46,"mm-dd")</x:f>
        <x:v>06-07</x:v>
      </x:c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242" t="n">
        <x:v>46181</x:v>
      </x:c>
      <x:c r="B47" s="83" t="n">
        <x:v>3</x:v>
      </x:c>
      <x:c r="C47" s="83" t="n">
        <x:v>3</x:v>
      </x:c>
      <x:c r="D47" s="83" t="n">
        <x:v>0</x:v>
      </x:c>
      <x:c r="E47" s="245" t="n">
        <x:v>1</x:v>
      </x:c>
      <x:c r="F47" s="238" t="n">
        <x:v>286.66588255</x:v>
      </x:c>
      <x:c r="G47" s="238" t="n">
        <x:v>-29974.94734876</x:v>
      </x:c>
      <x:c r="H47" s="314" t="str">
        <x:f>TEXT(A47,"mm-dd")</x:f>
        <x:v>06-08</x:v>
      </x:c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242" t="n">
        <x:v>46182</x:v>
      </x:c>
      <x:c r="B48" s="83" t="n">
        <x:v>4</x:v>
      </x:c>
      <x:c r="C48" s="83" t="n">
        <x:v>3</x:v>
      </x:c>
      <x:c r="D48" s="83" t="n">
        <x:v>1</x:v>
      </x:c>
      <x:c r="E48" s="245" t="n">
        <x:v>0.75</x:v>
      </x:c>
      <x:c r="F48" s="238" t="n">
        <x:v>1128.66143204</x:v>
      </x:c>
      <x:c r="G48" s="238" t="n">
        <x:v>-28846.28591672</x:v>
      </x:c>
      <x:c r="H48" s="314" t="str">
        <x:f>TEXT(A48,"mm-dd")</x:f>
        <x:v>06-09</x:v>
      </x:c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242" t="n">
        <x:v>46183</x:v>
      </x:c>
      <x:c r="B49" s="83" t="n">
        <x:v>5</x:v>
      </x:c>
      <x:c r="C49" s="83" t="n">
        <x:v>5</x:v>
      </x:c>
      <x:c r="D49" s="83" t="n">
        <x:v>0</x:v>
      </x:c>
      <x:c r="E49" s="245" t="n">
        <x:v>1</x:v>
      </x:c>
      <x:c r="F49" s="238" t="n">
        <x:v>4598.09455409</x:v>
      </x:c>
      <x:c r="G49" s="238" t="n">
        <x:v>-24248.19136263</x:v>
      </x:c>
      <x:c r="H49" s="314" t="str">
        <x:f>TEXT(A49,"mm-dd")</x:f>
        <x:v>06-10</x:v>
      </x:c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242" t="n">
        <x:v>46184</x:v>
      </x:c>
      <x:c r="B50" s="83" t="n">
        <x:v>2</x:v>
      </x:c>
      <x:c r="C50" s="83" t="n">
        <x:v>2</x:v>
      </x:c>
      <x:c r="D50" s="83" t="n">
        <x:v>0</x:v>
      </x:c>
      <x:c r="E50" s="245" t="n">
        <x:v>1</x:v>
      </x:c>
      <x:c r="F50" s="238" t="n">
        <x:v>558.18797809</x:v>
      </x:c>
      <x:c r="G50" s="238" t="n">
        <x:v>-23690.00338454</x:v>
      </x:c>
      <x:c r="H50" s="314" t="str">
        <x:f>TEXT(A50,"mm-dd")</x:f>
        <x:v>06-11</x:v>
      </x:c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242" t="n">
        <x:v>46185</x:v>
      </x:c>
      <x:c r="B51" s="83" t="n">
        <x:v>5</x:v>
      </x:c>
      <x:c r="C51" s="83" t="n">
        <x:v>3</x:v>
      </x:c>
      <x:c r="D51" s="83" t="n">
        <x:v>2</x:v>
      </x:c>
      <x:c r="E51" s="245" t="n">
        <x:v>0.6</x:v>
      </x:c>
      <x:c r="F51" s="238" t="n">
        <x:v>387.64343224</x:v>
      </x:c>
      <x:c r="G51" s="238" t="n">
        <x:v>-23302.3599523</x:v>
      </x:c>
      <x:c r="H51" s="314" t="str">
        <x:f>TEXT(A51,"mm-dd")</x:f>
        <x:v>06-12</x:v>
      </x:c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242" t="n">
        <x:v>46187</x:v>
      </x:c>
      <x:c r="B52" s="83" t="n">
        <x:v>1</x:v>
      </x:c>
      <x:c r="C52" s="83" t="n">
        <x:v>0</x:v>
      </x:c>
      <x:c r="D52" s="83" t="n">
        <x:v>1</x:v>
      </x:c>
      <x:c r="E52" s="245" t="n">
        <x:v>0</x:v>
      </x:c>
      <x:c r="F52" s="238" t="n">
        <x:v>-96.78782504</x:v>
      </x:c>
      <x:c r="G52" s="238" t="n">
        <x:v>-23399.14777734</x:v>
      </x:c>
      <x:c r="H52" s="314" t="str">
        <x:f>TEXT(A52,"mm-dd")</x:f>
        <x:v>06-14</x:v>
      </x:c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242" t="n">
        <x:v>46188</x:v>
      </x:c>
      <x:c r="B53" s="83" t="n">
        <x:v>3</x:v>
      </x:c>
      <x:c r="C53" s="83" t="n">
        <x:v>3</x:v>
      </x:c>
      <x:c r="D53" s="83" t="n">
        <x:v>0</x:v>
      </x:c>
      <x:c r="E53" s="245" t="n">
        <x:v>1</x:v>
      </x:c>
      <x:c r="F53" s="238" t="n">
        <x:v>2070.01199684</x:v>
      </x:c>
      <x:c r="G53" s="238" t="n">
        <x:v>-21329.1357805</x:v>
      </x:c>
      <x:c r="H53" s="314" t="str">
        <x:f>TEXT(A53,"mm-dd")</x:f>
        <x:v>06-15</x:v>
      </x:c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242" t="n">
        <x:v>46189</x:v>
      </x:c>
      <x:c r="B54" s="83" t="n">
        <x:v>2</x:v>
      </x:c>
      <x:c r="C54" s="83" t="n">
        <x:v>0</x:v>
      </x:c>
      <x:c r="D54" s="83" t="n">
        <x:v>2</x:v>
      </x:c>
      <x:c r="E54" s="245" t="n">
        <x:v>0</x:v>
      </x:c>
      <x:c r="F54" s="238" t="n">
        <x:v>-2226.94523855</x:v>
      </x:c>
      <x:c r="G54" s="238" t="n">
        <x:v>-23556.08101905</x:v>
      </x:c>
      <x:c r="H54" s="314" t="str">
        <x:f>TEXT(A54,"mm-dd")</x:f>
        <x:v>06-16</x:v>
      </x:c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242" t="n">
        <x:v>46190</x:v>
      </x:c>
      <x:c r="B55" s="83" t="n">
        <x:v>2</x:v>
      </x:c>
      <x:c r="C55" s="83" t="n">
        <x:v>1</x:v>
      </x:c>
      <x:c r="D55" s="83" t="n">
        <x:v>1</x:v>
      </x:c>
      <x:c r="E55" s="245" t="n">
        <x:v>0.5</x:v>
      </x:c>
      <x:c r="F55" s="238" t="n">
        <x:v>-3234.41764785</x:v>
      </x:c>
      <x:c r="G55" s="238" t="n">
        <x:v>-26790.4986669</x:v>
      </x:c>
      <x:c r="H55" s="314" t="str">
        <x:f>TEXT(A55,"mm-dd")</x:f>
        <x:v>06-17</x:v>
      </x:c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242" t="n">
        <x:v>46191</x:v>
      </x:c>
      <x:c r="B56" s="83" t="n">
        <x:v>3</x:v>
      </x:c>
      <x:c r="C56" s="83" t="n">
        <x:v>2</x:v>
      </x:c>
      <x:c r="D56" s="83" t="n">
        <x:v>1</x:v>
      </x:c>
      <x:c r="E56" s="245" t="n">
        <x:v>0.66666667</x:v>
      </x:c>
      <x:c r="F56" s="238" t="n">
        <x:v>3625.15650308</x:v>
      </x:c>
      <x:c r="G56" s="238" t="n">
        <x:v>-23165.34216382</x:v>
      </x:c>
      <x:c r="H56" s="314" t="str">
        <x:f>TEXT(A56,"mm-dd")</x:f>
        <x:v>06-18</x:v>
      </x:c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242" t="n">
        <x:v>46192</x:v>
      </x:c>
      <x:c r="B57" s="83" t="n">
        <x:v>2</x:v>
      </x:c>
      <x:c r="C57" s="83" t="n">
        <x:v>1</x:v>
      </x:c>
      <x:c r="D57" s="83" t="n">
        <x:v>1</x:v>
      </x:c>
      <x:c r="E57" s="245" t="n">
        <x:v>0.5</x:v>
      </x:c>
      <x:c r="F57" s="238" t="n">
        <x:v>-21941.22358089</x:v>
      </x:c>
      <x:c r="G57" s="238" t="n">
        <x:v>-45106.56574471</x:v>
      </x:c>
      <x:c r="H57" s="314" t="str">
        <x:f>TEXT(A57,"mm-dd")</x:f>
        <x:v>06-19</x:v>
      </x:c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242" t="n">
        <x:v>46194</x:v>
      </x:c>
      <x:c r="B58" s="83" t="n">
        <x:v>1</x:v>
      </x:c>
      <x:c r="C58" s="83" t="n">
        <x:v>0</x:v>
      </x:c>
      <x:c r="D58" s="83" t="n">
        <x:v>1</x:v>
      </x:c>
      <x:c r="E58" s="245" t="n">
        <x:v>0</x:v>
      </x:c>
      <x:c r="F58" s="238" t="n">
        <x:v>-21763.17270378</x:v>
      </x:c>
      <x:c r="G58" s="238" t="n">
        <x:v>-66869.73844849</x:v>
      </x:c>
      <x:c r="H58" s="314" t="str">
        <x:f>TEXT(A58,"mm-dd")</x:f>
        <x:v>06-21</x:v>
      </x:c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242" t="n">
        <x:v>46195</x:v>
      </x:c>
      <x:c r="B59" s="83" t="n">
        <x:v>2</x:v>
      </x:c>
      <x:c r="C59" s="83" t="n">
        <x:v>1</x:v>
      </x:c>
      <x:c r="D59" s="83" t="n">
        <x:v>1</x:v>
      </x:c>
      <x:c r="E59" s="245" t="n">
        <x:v>0.5</x:v>
      </x:c>
      <x:c r="F59" s="238" t="n">
        <x:v>-2254.41737796</x:v>
      </x:c>
      <x:c r="G59" s="238" t="n">
        <x:v>-69124.15582645</x:v>
      </x:c>
      <x:c r="H59" s="314" t="str">
        <x:f>TEXT(A59,"mm-dd")</x:f>
        <x:v>06-22</x:v>
      </x:c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242" t="n">
        <x:v>46196</x:v>
      </x:c>
      <x:c r="B60" s="83" t="n">
        <x:v>3</x:v>
      </x:c>
      <x:c r="C60" s="83" t="n">
        <x:v>1</x:v>
      </x:c>
      <x:c r="D60" s="83" t="n">
        <x:v>2</x:v>
      </x:c>
      <x:c r="E60" s="245" t="n">
        <x:v>0.33333333</x:v>
      </x:c>
      <x:c r="F60" s="238" t="n">
        <x:v>51.93094021</x:v>
      </x:c>
      <x:c r="G60" s="238" t="n">
        <x:v>-69072.22488624</x:v>
      </x:c>
      <x:c r="H60" s="314" t="str">
        <x:f>TEXT(A60,"mm-dd")</x:f>
        <x:v>06-23</x:v>
      </x:c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242" t="n">
        <x:v>46197</x:v>
      </x:c>
      <x:c r="B61" s="83" t="n">
        <x:v>2</x:v>
      </x:c>
      <x:c r="C61" s="83" t="n">
        <x:v>1</x:v>
      </x:c>
      <x:c r="D61" s="83" t="n">
        <x:v>1</x:v>
      </x:c>
      <x:c r="E61" s="245" t="n">
        <x:v>0.5</x:v>
      </x:c>
      <x:c r="F61" s="238" t="n">
        <x:v>-186.64840035</x:v>
      </x:c>
      <x:c r="G61" s="238" t="n">
        <x:v>-69258.87328659</x:v>
      </x:c>
      <x:c r="H61" s="314" t="str">
        <x:f>TEXT(A61,"mm-dd")</x:f>
        <x:v>06-24</x:v>
      </x:c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242" t="n">
        <x:v>46198</x:v>
      </x:c>
      <x:c r="B62" s="83" t="n">
        <x:v>3</x:v>
      </x:c>
      <x:c r="C62" s="83" t="n">
        <x:v>2</x:v>
      </x:c>
      <x:c r="D62" s="83" t="n">
        <x:v>1</x:v>
      </x:c>
      <x:c r="E62" s="245" t="n">
        <x:v>0.66666667</x:v>
      </x:c>
      <x:c r="F62" s="238" t="n">
        <x:v>-3061.24595878</x:v>
      </x:c>
      <x:c r="G62" s="238" t="n">
        <x:v>-72320.11924537</x:v>
      </x:c>
      <x:c r="H62" s="314" t="str">
        <x:f>TEXT(A62,"mm-dd")</x:f>
        <x:v>06-25</x:v>
      </x:c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243" t="n">
        <x:v>46204</x:v>
      </x:c>
      <x:c r="B63" s="84" t="n">
        <x:v>1</x:v>
      </x:c>
      <x:c r="C63" s="84" t="n">
        <x:v>0</x:v>
      </x:c>
      <x:c r="D63" s="84" t="n">
        <x:v>1</x:v>
      </x:c>
      <x:c r="E63" s="246" t="n">
        <x:v>0</x:v>
      </x:c>
      <x:c r="F63" s="239" t="n">
        <x:v>-798.23294451</x:v>
      </x:c>
      <x:c r="G63" s="239" t="n">
        <x:v>-73118.35218988</x:v>
      </x:c>
      <x:c r="H63" s="314" t="str">
        <x:f>TEXT(A63,"mm-dd")</x:f>
        <x:v>07-01</x:v>
      </x:c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4" customHeight="1">
      <x:c r="A66" s="11" t="str">
        <x:v>币对覆盖与客观汇总（按交易数降序；无亏损时利润因子留空）</x:v>
      </x:c>
      <x:c r="B66" s="11" t="str">
        <x:v>币对覆盖与客观汇总（按交易数降序；无亏损时利润因子留空）</x:v>
      </x:c>
      <x:c r="C66" s="11" t="str">
        <x:v>币对覆盖与客观汇总（按交易数降序；无亏损时利润因子留空）</x:v>
      </x:c>
      <x:c r="D66" s="11" t="str">
        <x:v>币对覆盖与客观汇总（按交易数降序；无亏损时利润因子留空）</x:v>
      </x:c>
      <x:c r="E66" s="11" t="str">
        <x:v>币对覆盖与客观汇总（按交易数降序；无亏损时利润因子留空）</x:v>
      </x:c>
      <x:c r="F66" s="11" t="str">
        <x:v>币对覆盖与客观汇总（按交易数降序；无亏损时利润因子留空）</x:v>
      </x:c>
      <x:c r="G66" s="11" t="str">
        <x:v>币对覆盖与客观汇总（按交易数降序；无亏损时利润因子留空）</x:v>
      </x:c>
      <x:c r="H66" s="11" t="str">
        <x:v>币对覆盖与客观汇总（按交易数降序；无亏损时利润因子留空）</x:v>
      </x:c>
      <x:c r="I66" s="11" t="str">
        <x:v>币对覆盖与客观汇总（按交易数降序；无亏损时利润因子留空）</x:v>
      </x:c>
      <x:c r="J66" s="11" t="str">
        <x:v>币对覆盖与客观汇总（按交易数降序；无亏损时利润因子留空）</x:v>
      </x:c>
      <x:c r="K66" s="1"/>
      <x:c r="L66" s="1"/>
      <x:c r="M66" s="1"/>
      <x:c r="N66" s="1"/>
      <x:c r="O66" s="1"/>
      <x:c r="P66" s="1"/>
      <x:c r="Q66" s="1"/>
    </x:row>
    <x:row r="67" ht="30" customHeight="1">
      <x:c r="A67" s="60" t="str">
        <x:v>币对</x:v>
      </x:c>
      <x:c r="B67" s="61" t="str">
        <x:v>交易数</x:v>
      </x:c>
      <x:c r="C67" s="61" t="str">
        <x:v>盈利</x:v>
      </x:c>
      <x:c r="D67" s="61" t="str">
        <x:v>亏损</x:v>
      </x:c>
      <x:c r="E67" s="61" t="str">
        <x:v>胜率</x:v>
      </x:c>
      <x:c r="F67" s="61" t="str">
        <x:v>经济净结果</x:v>
      </x:c>
      <x:c r="G67" s="61" t="str">
        <x:v>平均</x:v>
      </x:c>
      <x:c r="H67" s="61" t="str">
        <x:v>中位</x:v>
      </x:c>
      <x:c r="I67" s="61" t="str">
        <x:v>利润因子（无亏损空白）</x:v>
      </x:c>
      <x:c r="J67" s="62" t="str">
        <x:v>成交记录数</x:v>
      </x:c>
      <x:c r="K67" s="1"/>
      <x:c r="L67" s="1"/>
      <x:c r="M67" s="1"/>
      <x:c r="N67" s="1"/>
      <x:c r="O67" s="1"/>
      <x:c r="P67" s="1"/>
      <x:c r="Q67" s="1"/>
    </x:row>
    <x:row r="68">
      <x:c r="A68" s="67" t="str">
        <x:v>BTCUSDT</x:v>
      </x:c>
      <x:c r="B68" s="82" t="n">
        <x:v>80</x:v>
      </x:c>
      <x:c r="C68" s="82" t="n">
        <x:v>61</x:v>
      </x:c>
      <x:c r="D68" s="82" t="n">
        <x:v>19</x:v>
      </x:c>
      <x:c r="E68" s="244" t="n">
        <x:v>0.7625</x:v>
      </x:c>
      <x:c r="F68" s="237" t="n">
        <x:v>-47359.19464697</x:v>
      </x:c>
      <x:c r="G68" s="237" t="n">
        <x:v>-591.98993309</x:v>
      </x:c>
      <x:c r="H68" s="237" t="n">
        <x:v>84.33869998</x:v>
      </x:c>
      <x:c r="I68" s="247" t="n">
        <x:v>0.38239093</x:v>
      </x:c>
      <x:c r="J68" s="82" t="n">
        <x:v>2413</x:v>
      </x:c>
      <x:c r="K68" s="1"/>
      <x:c r="L68" s="1"/>
      <x:c r="M68" s="1"/>
      <x:c r="N68" s="1"/>
      <x:c r="O68" s="1"/>
      <x:c r="P68" s="1"/>
      <x:c r="Q68" s="1"/>
    </x:row>
    <x:row r="69">
      <x:c r="A69" s="68" t="str">
        <x:v>MUUSDT</x:v>
      </x:c>
      <x:c r="B69" s="83" t="n">
        <x:v>23</x:v>
      </x:c>
      <x:c r="C69" s="83" t="n">
        <x:v>22</x:v>
      </x:c>
      <x:c r="D69" s="83" t="n">
        <x:v>1</x:v>
      </x:c>
      <x:c r="E69" s="245" t="n">
        <x:v>0.95652174</x:v>
      </x:c>
      <x:c r="F69" s="238" t="n">
        <x:v>-74.28185228</x:v>
      </x:c>
      <x:c r="G69" s="238" t="n">
        <x:v>-3.22964575</x:v>
      </x:c>
      <x:c r="H69" s="238" t="n">
        <x:v>77.1267</x:v>
      </x:c>
      <x:c r="I69" s="248" t="n">
        <x:v>0.98357722</x:v>
      </x:c>
      <x:c r="J69" s="83" t="n">
        <x:v>2725</x:v>
      </x:c>
      <x:c r="K69" s="1"/>
      <x:c r="L69" s="1"/>
      <x:c r="M69" s="1"/>
      <x:c r="N69" s="1"/>
      <x:c r="O69" s="1"/>
      <x:c r="P69" s="1"/>
      <x:c r="Q69" s="1"/>
    </x:row>
    <x:row r="70">
      <x:c r="A70" s="68" t="str">
        <x:v>BNBUSDT</x:v>
      </x:c>
      <x:c r="B70" s="83" t="n">
        <x:v>9</x:v>
      </x:c>
      <x:c r="C70" s="83" t="n">
        <x:v>8</x:v>
      </x:c>
      <x:c r="D70" s="83" t="n">
        <x:v>1</x:v>
      </x:c>
      <x:c r="E70" s="245" t="n">
        <x:v>0.88888889</x:v>
      </x:c>
      <x:c r="F70" s="238" t="n">
        <x:v>1307.63469226</x:v>
      </x:c>
      <x:c r="G70" s="238" t="n">
        <x:v>145.29274358</x:v>
      </x:c>
      <x:c r="H70" s="238" t="n">
        <x:v>65.53967984</x:v>
      </x:c>
      <x:c r="I70" s="248" t="n">
        <x:v>595.81617909</x:v>
      </x:c>
      <x:c r="J70" s="83" t="n">
        <x:v>688</x:v>
      </x:c>
      <x:c r="K70" s="1"/>
      <x:c r="L70" s="1"/>
      <x:c r="M70" s="1"/>
      <x:c r="N70" s="1"/>
      <x:c r="O70" s="1"/>
      <x:c r="P70" s="1"/>
      <x:c r="Q70" s="1"/>
    </x:row>
    <x:row r="71">
      <x:c r="A71" s="68" t="str">
        <x:v>SNDKUSDT</x:v>
      </x:c>
      <x:c r="B71" s="83" t="n">
        <x:v>7</x:v>
      </x:c>
      <x:c r="C71" s="83" t="n">
        <x:v>2</x:v>
      </x:c>
      <x:c r="D71" s="83" t="n">
        <x:v>5</x:v>
      </x:c>
      <x:c r="E71" s="245" t="n">
        <x:v>0.28571429</x:v>
      </x:c>
      <x:c r="F71" s="238" t="n">
        <x:v>-21464.54786316</x:v>
      </x:c>
      <x:c r="G71" s="238" t="n">
        <x:v>-3066.36398045</x:v>
      </x:c>
      <x:c r="H71" s="238" t="n">
        <x:v>-101.75773326</x:v>
      </x:c>
      <x:c r="I71" s="248" t="n">
        <x:v>0.0475797</x:v>
      </x:c>
      <x:c r="J71" s="83" t="n">
        <x:v>1014</x:v>
      </x:c>
      <x:c r="K71" s="1"/>
      <x:c r="L71" s="1"/>
      <x:c r="M71" s="1"/>
      <x:c r="N71" s="1"/>
      <x:c r="O71" s="1"/>
      <x:c r="P71" s="1"/>
      <x:c r="Q71" s="1"/>
    </x:row>
    <x:row r="72">
      <x:c r="A72" s="68" t="str">
        <x:v>XAUUSDT</x:v>
      </x:c>
      <x:c r="B72" s="83" t="n">
        <x:v>5</x:v>
      </x:c>
      <x:c r="C72" s="83" t="n">
        <x:v>3</x:v>
      </x:c>
      <x:c r="D72" s="83" t="n">
        <x:v>2</x:v>
      </x:c>
      <x:c r="E72" s="245" t="n">
        <x:v>0.6</x:v>
      </x:c>
      <x:c r="F72" s="238" t="n">
        <x:v>-5070.53341519</x:v>
      </x:c>
      <x:c r="G72" s="238" t="n">
        <x:v>-1014.10668304</x:v>
      </x:c>
      <x:c r="H72" s="238" t="n">
        <x:v>8.22208448</x:v>
      </x:c>
      <x:c r="I72" s="248" t="n">
        <x:v>0.0775071</x:v>
      </x:c>
      <x:c r="J72" s="83" t="n">
        <x:v>187</x:v>
      </x:c>
      <x:c r="K72" s="1"/>
      <x:c r="L72" s="1"/>
      <x:c r="M72" s="1"/>
      <x:c r="N72" s="1"/>
      <x:c r="O72" s="1"/>
      <x:c r="P72" s="1"/>
      <x:c r="Q72" s="1"/>
    </x:row>
    <x:row r="73">
      <x:c r="A73" s="68" t="str">
        <x:v>MRVLUSDT</x:v>
      </x:c>
      <x:c r="B73" s="83" t="n">
        <x:v>4</x:v>
      </x:c>
      <x:c r="C73" s="83" t="n">
        <x:v>2</x:v>
      </x:c>
      <x:c r="D73" s="83" t="n">
        <x:v>2</x:v>
      </x:c>
      <x:c r="E73" s="245" t="n">
        <x:v>0.5</x:v>
      </x:c>
      <x:c r="F73" s="238" t="n">
        <x:v>-1200.18563567</x:v>
      </x:c>
      <x:c r="G73" s="238" t="n">
        <x:v>-300.04640892</x:v>
      </x:c>
      <x:c r="H73" s="238" t="n">
        <x:v>-215.3573209</x:v>
      </x:c>
      <x:c r="I73" s="248" t="n">
        <x:v>0.08982609</x:v>
      </x:c>
      <x:c r="J73" s="83" t="n">
        <x:v>820</x:v>
      </x:c>
      <x:c r="K73" s="1"/>
      <x:c r="L73" s="1"/>
      <x:c r="M73" s="1"/>
      <x:c r="N73" s="1"/>
      <x:c r="O73" s="1"/>
      <x:c r="P73" s="1"/>
      <x:c r="Q73" s="1"/>
    </x:row>
    <x:row r="74">
      <x:c r="A74" s="68" t="str">
        <x:v>ZECUSDT</x:v>
      </x:c>
      <x:c r="B74" s="83" t="n">
        <x:v>3</x:v>
      </x:c>
      <x:c r="C74" s="83" t="n">
        <x:v>3</x:v>
      </x:c>
      <x:c r="D74" s="83" t="n">
        <x:v>0</x:v>
      </x:c>
      <x:c r="E74" s="245" t="n">
        <x:v>1</x:v>
      </x:c>
      <x:c r="F74" s="238" t="n">
        <x:v>259.69010437</x:v>
      </x:c>
      <x:c r="G74" s="238" t="n">
        <x:v>86.56336812</x:v>
      </x:c>
      <x:c r="H74" s="238" t="n">
        <x:v>94.03936012</x:v>
      </x:c>
      <x:c r="I74" s="248"/>
      <x:c r="J74" s="83" t="n">
        <x:v>147</x:v>
      </x:c>
      <x:c r="K74" s="1"/>
      <x:c r="L74" s="1"/>
      <x:c r="M74" s="1"/>
      <x:c r="N74" s="1"/>
      <x:c r="O74" s="1"/>
      <x:c r="P74" s="1"/>
      <x:c r="Q74" s="1"/>
    </x:row>
    <x:row r="75">
      <x:c r="A75" s="68" t="str">
        <x:v>ETHUSDT</x:v>
      </x:c>
      <x:c r="B75" s="83" t="n">
        <x:v>1</x:v>
      </x:c>
      <x:c r="C75" s="83" t="n">
        <x:v>1</x:v>
      </x:c>
      <x:c r="D75" s="83" t="n">
        <x:v>0</x:v>
      </x:c>
      <x:c r="E75" s="245" t="n">
        <x:v>1</x:v>
      </x:c>
      <x:c r="F75" s="238" t="n">
        <x:v>619.84871933</x:v>
      </x:c>
      <x:c r="G75" s="238" t="n">
        <x:v>619.84871933</x:v>
      </x:c>
      <x:c r="H75" s="238" t="n">
        <x:v>619.84871933</x:v>
      </x:c>
      <x:c r="I75" s="248"/>
      <x:c r="J75" s="83" t="n">
        <x:v>123</x:v>
      </x:c>
      <x:c r="K75" s="1"/>
      <x:c r="L75" s="1"/>
      <x:c r="M75" s="1"/>
      <x:c r="N75" s="1"/>
      <x:c r="O75" s="1"/>
      <x:c r="P75" s="1"/>
      <x:c r="Q75" s="1"/>
    </x:row>
    <x:row r="76">
      <x:c r="A76" s="68" t="str">
        <x:v>HYPEUSDT</x:v>
      </x:c>
      <x:c r="B76" s="83" t="n">
        <x:v>1</x:v>
      </x:c>
      <x:c r="C76" s="83" t="n">
        <x:v>1</x:v>
      </x:c>
      <x:c r="D76" s="83" t="n">
        <x:v>0</x:v>
      </x:c>
      <x:c r="E76" s="245" t="n">
        <x:v>1</x:v>
      </x:c>
      <x:c r="F76" s="238" t="n">
        <x:v>67.209843</x:v>
      </x:c>
      <x:c r="G76" s="238" t="n">
        <x:v>67.209843</x:v>
      </x:c>
      <x:c r="H76" s="238" t="n">
        <x:v>67.209843</x:v>
      </x:c>
      <x:c r="I76" s="248"/>
      <x:c r="J76" s="83" t="n">
        <x:v>88</x:v>
      </x:c>
      <x:c r="K76" s="1"/>
      <x:c r="L76" s="1"/>
      <x:c r="M76" s="1"/>
      <x:c r="N76" s="1"/>
      <x:c r="O76" s="1"/>
      <x:c r="P76" s="1"/>
      <x:c r="Q76" s="1"/>
    </x:row>
    <x:row r="77">
      <x:c r="A77" s="68" t="str">
        <x:v>INTCUSDT</x:v>
      </x:c>
      <x:c r="B77" s="83" t="n">
        <x:v>1</x:v>
      </x:c>
      <x:c r="C77" s="83" t="n">
        <x:v>1</x:v>
      </x:c>
      <x:c r="D77" s="83" t="n">
        <x:v>0</x:v>
      </x:c>
      <x:c r="E77" s="245" t="n">
        <x:v>1</x:v>
      </x:c>
      <x:c r="F77" s="238" t="n">
        <x:v>2.7888</x:v>
      </x:c>
      <x:c r="G77" s="238" t="n">
        <x:v>2.7888</x:v>
      </x:c>
      <x:c r="H77" s="238" t="n">
        <x:v>2.7888</x:v>
      </x:c>
      <x:c r="I77" s="248"/>
      <x:c r="J77" s="83" t="n">
        <x:v>2</x:v>
      </x:c>
      <x:c r="K77" s="1"/>
      <x:c r="L77" s="1"/>
      <x:c r="M77" s="1"/>
      <x:c r="N77" s="1"/>
      <x:c r="O77" s="1"/>
      <x:c r="P77" s="1"/>
      <x:c r="Q77" s="1"/>
    </x:row>
    <x:row r="78">
      <x:c r="A78" s="68" t="str">
        <x:v>WLDUSDT</x:v>
      </x:c>
      <x:c r="B78" s="83" t="n">
        <x:v>1</x:v>
      </x:c>
      <x:c r="C78" s="83" t="n">
        <x:v>1</x:v>
      </x:c>
      <x:c r="D78" s="83" t="n">
        <x:v>0</x:v>
      </x:c>
      <x:c r="E78" s="245" t="n">
        <x:v>1</x:v>
      </x:c>
      <x:c r="F78" s="238" t="n">
        <x:v>32.50831136</x:v>
      </x:c>
      <x:c r="G78" s="238" t="n">
        <x:v>32.50831136</x:v>
      </x:c>
      <x:c r="H78" s="238" t="n">
        <x:v>32.50831136</x:v>
      </x:c>
      <x:c r="I78" s="248"/>
      <x:c r="J78" s="83" t="n">
        <x:v>4</x:v>
      </x:c>
      <x:c r="K78" s="1"/>
      <x:c r="L78" s="1"/>
      <x:c r="M78" s="1"/>
      <x:c r="N78" s="1"/>
      <x:c r="O78" s="1"/>
      <x:c r="P78" s="1"/>
      <x:c r="Q78" s="1"/>
    </x:row>
    <x:row r="79">
      <x:c r="A79" s="69" t="str">
        <x:v>XRPUSDT</x:v>
      </x:c>
      <x:c r="B79" s="84" t="n">
        <x:v>1</x:v>
      </x:c>
      <x:c r="C79" s="84" t="n">
        <x:v>0</x:v>
      </x:c>
      <x:c r="D79" s="84" t="n">
        <x:v>1</x:v>
      </x:c>
      <x:c r="E79" s="246" t="n">
        <x:v>0</x:v>
      </x:c>
      <x:c r="F79" s="239" t="n">
        <x:v>-239.28924693</x:v>
      </x:c>
      <x:c r="G79" s="239" t="n">
        <x:v>-239.28924693</x:v>
      </x:c>
      <x:c r="H79" s="239" t="n">
        <x:v>-239.28924693</x:v>
      </x:c>
      <x:c r="I79" s="249" t="n">
        <x:v>0</x:v>
      </x:c>
      <x:c r="J79" s="84" t="n">
        <x:v>28</x:v>
      </x:c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</x:sheetData>
  <x:mergeCells>
    <x:mergeCell ref="A1:Q1"/>
    <x:mergeCell ref="A2:Q2"/>
    <x:mergeCell ref="A4:C4"/>
    <x:mergeCell ref="A5:C6"/>
    <x:mergeCell ref="E4:G4"/>
    <x:mergeCell ref="E5:G6"/>
    <x:mergeCell ref="I4:K4"/>
    <x:mergeCell ref="I5:K6"/>
    <x:mergeCell ref="M4:O4"/>
    <x:mergeCell ref="M5:O6"/>
    <x:mergeCell ref="A9:Q9"/>
    <x:mergeCell ref="A18:H18"/>
    <x:mergeCell ref="A33:G33"/>
    <x:mergeCell ref="A66:J66"/>
  </x:mergeCells>
  <x:pageMargins left="0.7" right="0.7" top="0.75" bottom="0.75" header="0.3" footer="0.3"/>
  <x:drawing xmlns:r="http://schemas.openxmlformats.org/officeDocument/2006/relationships" r:id="R1f895ba7c7b74b0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28" hidden="0" customWidth="1"/>
    <x:col min="4" max="4" width="18" hidden="0" customWidth="1"/>
    <x:col min="5" max="5" width="66" hidden="0" customWidth="1"/>
    <x:col min="6" max="6" width="68" hidden="0" customWidth="1"/>
    <x:col min="7" max="7" width="66" hidden="0" customWidth="1"/>
  </x:cols>
  <x:sheetData>
    <x:row r="1" ht="32" customHeight="1">
      <x:c r="A1" s="4" t="str">
        <x:v>来源、哈希、Schema 与覆盖</x:v>
      </x:c>
      <x:c r="B1" s="4" t="str">
        <x:v>来源、哈希、Schema 与覆盖</x:v>
      </x:c>
      <x:c r="C1" s="4" t="str">
        <x:v>来源、哈希、Schema 与覆盖</x:v>
      </x:c>
      <x:c r="D1" s="4" t="str">
        <x:v>来源、哈希、Schema 与覆盖</x:v>
      </x:c>
      <x:c r="E1" s="4" t="str">
        <x:v>来源、哈希、Schema 与覆盖</x:v>
      </x:c>
      <x:c r="F1" s="4" t="str">
        <x:v>来源、哈希、Schema 与覆盖</x:v>
      </x:c>
      <x:c r="G1" s="4" t="str">
        <x:v>来源、哈希、Schema 与覆盖</x:v>
      </x:c>
    </x:row>
    <x:row r="2" ht="34" customHeight="1">
      <x:c r="A2" s="8" t="str">
        <x:v>Gate3 不读取源工程；本页复述 IH-P6 已冻结的 5 个根 XLSX 与 12 个正式账本/比较器绑定。路径仅用于审计。</x:v>
      </x:c>
      <x:c r="B2" s="8" t="str">
        <x:v>Gate3 不读取源工程；本页复述 IH-P6 已冻结的 5 个根 XLSX 与 12 个正式账本/比较器绑定。路径仅用于审计。</x:v>
      </x:c>
      <x:c r="C2" s="8" t="str">
        <x:v>Gate3 不读取源工程；本页复述 IH-P6 已冻结的 5 个根 XLSX 与 12 个正式账本/比较器绑定。路径仅用于审计。</x:v>
      </x:c>
      <x:c r="D2" s="8" t="str">
        <x:v>Gate3 不读取源工程；本页复述 IH-P6 已冻结的 5 个根 XLSX 与 12 个正式账本/比较器绑定。路径仅用于审计。</x:v>
      </x:c>
      <x:c r="E2" s="8" t="str">
        <x:v>Gate3 不读取源工程；本页复述 IH-P6 已冻结的 5 个根 XLSX 与 12 个正式账本/比较器绑定。路径仅用于审计。</x:v>
      </x:c>
      <x:c r="F2" s="8" t="str">
        <x:v>Gate3 不读取源工程；本页复述 IH-P6 已冻结的 5 个根 XLSX 与 12 个正式账本/比较器绑定。路径仅用于审计。</x:v>
      </x:c>
      <x:c r="G2" s="8" t="str">
        <x:v>Gate3 不读取源工程；本页复述 IH-P6 已冻结的 5 个根 XLSX 与 12 个正式账本/比较器绑定。路径仅用于审计。</x:v>
      </x:c>
    </x:row>
    <x:row r="3">
      <x:c r="A3" s="1"/>
      <x:c r="B3" s="1"/>
      <x:c r="C3" s="1"/>
      <x:c r="D3" s="1"/>
      <x:c r="E3" s="1"/>
      <x:c r="F3" s="1"/>
      <x:c r="G3" s="1"/>
    </x:row>
    <x:row r="4" ht="24" customHeight="1">
      <x:c r="A4" s="11" t="str">
        <x:v>根 XLSX 来源（5 个）</x:v>
      </x:c>
      <x:c r="B4" s="11" t="str">
        <x:v>根 XLSX 来源（5 个）</x:v>
      </x:c>
      <x:c r="C4" s="11" t="str">
        <x:v>根 XLSX 来源（5 个）</x:v>
      </x:c>
      <x:c r="D4" s="11" t="str">
        <x:v>根 XLSX 来源（5 个）</x:v>
      </x:c>
      <x:c r="E4" s="11" t="str">
        <x:v>根 XLSX 来源（5 个）</x:v>
      </x:c>
      <x:c r="F4" s="11" t="str">
        <x:v>根 XLSX 来源（5 个）</x:v>
      </x:c>
      <x:c r="G4" s="11" t="str">
        <x:v>根 XLSX 来源（5 个）</x:v>
      </x:c>
    </x:row>
    <x:row r="5" ht="30" customHeight="1">
      <x:c r="A5" s="60" t="str">
        <x:v>来源键</x:v>
      </x:c>
      <x:c r="B5" s="61" t="str">
        <x:v>文件</x:v>
      </x:c>
      <x:c r="C5" s="61" t="str">
        <x:v>数据行</x:v>
      </x:c>
      <x:c r="D5" s="61" t="str">
        <x:v>表头行</x:v>
      </x:c>
      <x:c r="E5" s="61" t="str">
        <x:v>数据首行</x:v>
      </x:c>
      <x:c r="F5" s="61" t="str">
        <x:v>SHA-256</x:v>
      </x:c>
      <x:c r="G5" s="62" t="str">
        <x:v>冻结源路径</x:v>
      </x:c>
    </x:row>
    <x:row r="6" ht="42" customHeight="1">
      <x:c r="A6" s="67" t="str">
        <x:v>fills</x:v>
      </x:c>
      <x:c r="B6" s="67" t="str">
        <x:v>Binance-合约交易历史记录-a.xlsx</x:v>
      </x:c>
      <x:c r="C6" s="82" t="n">
        <x:v>8341</x:v>
      </x:c>
      <x:c r="D6" s="82" t="n">
        <x:v>10</x:v>
      </x:c>
      <x:c r="E6" s="82" t="n">
        <x:v>11</x:v>
      </x:c>
      <x:c r="F6" s="73" t="str">
        <x:v>cbdb83ea624606cd950fb01736ddbc3f92555978b412a0efd5709bb5dcae302a</x:v>
      </x:c>
      <x:c r="G6" s="73" t="str">
        <x:v>/Users/luodaluo/Desktop/30天复盘原始数据/Binance-合约交易历史记录-a.xlsx</x:v>
      </x:c>
    </x:row>
    <x:row r="7" ht="42" customHeight="1">
      <x:c r="A7" s="68" t="str">
        <x:v>futures_flow</x:v>
      </x:c>
      <x:c r="B7" s="68" t="str">
        <x:v>Binance-合约交易流水-a.xlsx</x:v>
      </x:c>
      <x:c r="C7" s="83" t="n">
        <x:v>21452</x:v>
      </x:c>
      <x:c r="D7" s="83" t="n">
        <x:v>10</x:v>
      </x:c>
      <x:c r="E7" s="83" t="n">
        <x:v>11</x:v>
      </x:c>
      <x:c r="F7" s="75" t="str">
        <x:v>dcee862006858ced9f32db8b3d985f12eaf8428ace49fdff41d5c15aa8648b7e</x:v>
      </x:c>
      <x:c r="G7" s="75" t="str">
        <x:v>/Users/luodaluo/Desktop/30天复盘原始数据/Binance-合约交易流水-a.xlsx</x:v>
      </x:c>
    </x:row>
    <x:row r="8" ht="42" customHeight="1">
      <x:c r="A8" s="68" t="str">
        <x:v>orders</x:v>
      </x:c>
      <x:c r="B8" s="68" t="str">
        <x:v>Binance-合约订单历史记录-a.xlsx</x:v>
      </x:c>
      <x:c r="C8" s="83" t="n">
        <x:v>1100</x:v>
      </x:c>
      <x:c r="D8" s="83" t="n">
        <x:v>10</x:v>
      </x:c>
      <x:c r="E8" s="83" t="n">
        <x:v>11</x:v>
      </x:c>
      <x:c r="F8" s="75" t="str">
        <x:v>e53c7aff833c374a059c3de6552ec3961ac45a343619bf9da75145fee3f391fa</x:v>
      </x:c>
      <x:c r="G8" s="75" t="str">
        <x:v>/Users/luodaluo/Desktop/30天复盘原始数据/Binance-合约订单历史记录-a.xlsx</x:v>
      </x:c>
    </x:row>
    <x:row r="9" ht="42" customHeight="1">
      <x:c r="A9" s="68" t="str">
        <x:v>positions</x:v>
      </x:c>
      <x:c r="B9" s="68" t="str">
        <x:v>Binance-合约仓位历史记录-a.xlsx</x:v>
      </x:c>
      <x:c r="C9" s="83" t="n">
        <x:v>136</x:v>
      </x:c>
      <x:c r="D9" s="83" t="n">
        <x:v>10</x:v>
      </x:c>
      <x:c r="E9" s="83" t="n">
        <x:v>11</x:v>
      </x:c>
      <x:c r="F9" s="75" t="str">
        <x:v>b7402b01d8f23633006e542d8201f55201487b352aac8d6eac12a8cb7860719a</x:v>
      </x:c>
      <x:c r="G9" s="75" t="str">
        <x:v>/Users/luodaluo/Desktop/30天复盘原始数据/Binance-合约仓位历史记录-a.xlsx</x:v>
      </x:c>
    </x:row>
    <x:row r="10" ht="42" customHeight="1">
      <x:c r="A10" s="69" t="str">
        <x:v>wallet_flow</x:v>
      </x:c>
      <x:c r="B10" s="69" t="str">
        <x:v>Binance-交易流水-a.xlsx</x:v>
      </x:c>
      <x:c r="C10" s="84" t="n">
        <x:v>21614</x:v>
      </x:c>
      <x:c r="D10" s="84" t="n">
        <x:v>10</x:v>
      </x:c>
      <x:c r="E10" s="84" t="n">
        <x:v>11</x:v>
      </x:c>
      <x:c r="F10" s="77" t="str">
        <x:v>ba4f0c754bdda9f4b3dbb162e6df678d7d546fbf4151c02158591c536fe4d997</x:v>
      </x:c>
      <x:c r="G10" s="77" t="str">
        <x:v>/Users/luodaluo/Desktop/30天复盘原始数据/Binance-交易流水-a.xlsx</x:v>
      </x:c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 ht="24" customHeight="1">
      <x:c r="A13" s="11" t="str">
        <x:v>正式账本与只读比较器（12 个）</x:v>
      </x:c>
      <x:c r="B13" s="11" t="str">
        <x:v>正式账本与只读比较器（12 个）</x:v>
      </x:c>
      <x:c r="C13" s="11" t="str">
        <x:v>正式账本与只读比较器（12 个）</x:v>
      </x:c>
      <x:c r="D13" s="11" t="str">
        <x:v>正式账本与只读比较器（12 个）</x:v>
      </x:c>
      <x:c r="E13" s="11" t="str">
        <x:v>正式账本与只读比较器（12 个）</x:v>
      </x:c>
      <x:c r="F13" s="11" t="str">
        <x:v>正式账本与只读比较器（12 个）</x:v>
      </x:c>
      <x:c r="G13" s="11" t="str">
        <x:v>正式账本与只读比较器（12 个）</x:v>
      </x:c>
    </x:row>
    <x:row r="14" ht="30" customHeight="1">
      <x:c r="A14" s="60" t="str">
        <x:v>来源键</x:v>
      </x:c>
      <x:c r="B14" s="61" t="str">
        <x:v>文件</x:v>
      </x:c>
      <x:c r="C14" s="61" t="str">
        <x:v>角色</x:v>
      </x:c>
      <x:c r="D14" s="61" t="str">
        <x:v>行数</x:v>
      </x:c>
      <x:c r="E14" s="61" t="str">
        <x:v>SHA-256</x:v>
      </x:c>
      <x:c r="F14" s="61" t="str">
        <x:v>冻结源路径</x:v>
      </x:c>
      <x:c r="G14" s="62" t="str">
        <x:v>权威说明</x:v>
      </x:c>
    </x:row>
    <x:row r="15" ht="42" customHeight="1">
      <x:c r="A15" s="67" t="str">
        <x:v>k03_identity</x:v>
      </x:c>
      <x:c r="B15" s="67" t="str">
        <x:v>K03_ACTIVE_TRADE_IDENTITY_LEDGER.csv</x:v>
      </x:c>
      <x:c r="C15" s="67" t="str">
        <x:v>FROZEN_FORMAL_LEDGER</x:v>
      </x:c>
      <x:c r="D15" s="82" t="n">
        <x:v>136</x:v>
      </x:c>
      <x:c r="E15" s="73" t="str">
        <x:v>8b7ba9b1591e1c15f9d1af660275ed6d81dab78e93c3a77623f5ee57c82823f6</x:v>
      </x:c>
      <x:c r="F15" s="73" t="str">
        <x:v>/Users/luodaluo/Desktop/30天复盘原始数据/03_136笔主动交易身份编号主键与范围底座冻结/01_身份台账与映射/K03_ACTIVE_TRADE_IDENTITY_LEDGER.csv</x:v>
      </x:c>
      <x:c r="G15" s="73" t="str">
        <x:v>冻结正式账本</x:v>
      </x:c>
    </x:row>
    <x:row r="16" ht="42" customHeight="1">
      <x:c r="A16" s="68" t="str">
        <x:v>k03_isolation</x:v>
      </x:c>
      <x:c r="B16" s="68" t="str">
        <x:v>K03_ACTIVE_COPY_IDENTITY_ISOLATION_REGISTER.csv</x:v>
      </x:c>
      <x:c r="C16" s="68" t="str">
        <x:v>FROZEN_FORMAL_LEDGER</x:v>
      </x:c>
      <x:c r="D16" s="83" t="n">
        <x:v>148</x:v>
      </x:c>
      <x:c r="E16" s="75" t="str">
        <x:v>6090594144599b7922096930bf4ff79b25896dca70a1cde3105e4eb8fee085af</x:v>
      </x:c>
      <x:c r="F16" s="75" t="str">
        <x:v>/Users/luodaluo/Desktop/30天复盘原始数据/03_136笔主动交易身份编号主键与范围底座冻结/02_主键编号与隔离/K03_ACTIVE_COPY_IDENTITY_ISOLATION_REGISTER.csv</x:v>
      </x:c>
      <x:c r="G16" s="75" t="str">
        <x:v>冻结正式账本</x:v>
      </x:c>
    </x:row>
    <x:row r="17" ht="42" customHeight="1">
      <x:c r="A17" s="68" t="str">
        <x:v>k04_active</x:v>
      </x:c>
      <x:c r="B17" s="68" t="str">
        <x:v>K04_136_ACTIVE_STANDARDIZED.csv</x:v>
      </x:c>
      <x:c r="C17" s="68" t="str">
        <x:v>FROZEN_FORMAL_LEDGER</x:v>
      </x:c>
      <x:c r="D17" s="83" t="n">
        <x:v>136</x:v>
      </x:c>
      <x:c r="E17" s="75" t="str">
        <x:v>a7ab17419e3d1d638eaaa53d4f21fd85b927589423b3f665adcdaad94e33619f</x:v>
      </x:c>
      <x:c r="F17" s="75" t="str">
        <x:v>/Users/luodaluo/Desktop/30天复盘原始数据/04_原始数据标准化与主动交易自动跟单隔离底座/01_标准化数据层/K04_136_ACTIVE_STANDARDIZED.csv</x:v>
      </x:c>
      <x:c r="G17" s="75" t="str">
        <x:v>冻结正式账本</x:v>
      </x:c>
    </x:row>
    <x:row r="18" ht="42" customHeight="1">
      <x:c r="A18" s="68" t="str">
        <x:v>k04_all</x:v>
      </x:c>
      <x:c r="B18" s="68" t="str">
        <x:v>K04_148_CYCLE_STANDARDIZED.csv</x:v>
      </x:c>
      <x:c r="C18" s="68" t="str">
        <x:v>FROZEN_FORMAL_LEDGER</x:v>
      </x:c>
      <x:c r="D18" s="83" t="n">
        <x:v>148</x:v>
      </x:c>
      <x:c r="E18" s="75" t="str">
        <x:v>37bf26707ce194fea34cd6dfa4a78e15f29af30f6b40178862bfb3237298d7fe</x:v>
      </x:c>
      <x:c r="F18" s="75" t="str">
        <x:v>/Users/luodaluo/Desktop/30天复盘原始数据/04_原始数据标准化与主动交易自动跟单隔离底座/01_标准化数据层/K04_148_CYCLE_STANDARDIZED.csv</x:v>
      </x:c>
      <x:c r="G18" s="75" t="str">
        <x:v>冻结正式账本</x:v>
      </x:c>
    </x:row>
    <x:row r="19" ht="42" customHeight="1">
      <x:c r="A19" s="68" t="str">
        <x:v>k04_copy</x:v>
      </x:c>
      <x:c r="B19" s="68" t="str">
        <x:v>K04_12_COPY_FUNDS_ONLY_STANDARDIZED.csv</x:v>
      </x:c>
      <x:c r="C19" s="68" t="str">
        <x:v>FROZEN_FORMAL_LEDGER</x:v>
      </x:c>
      <x:c r="D19" s="83" t="n">
        <x:v>12</x:v>
      </x:c>
      <x:c r="E19" s="75" t="str">
        <x:v>31f85d00771b2685c3712bbb9a4d2ad8f376c6cac690d076b5293d378556f565</x:v>
      </x:c>
      <x:c r="F19" s="75" t="str">
        <x:v>/Users/luodaluo/Desktop/30天复盘原始数据/04_原始数据标准化与主动交易自动跟单隔离底座/01_标准化数据层/K04_12_COPY_FUNDS_ONLY_STANDARDIZED.csv</x:v>
      </x:c>
      <x:c r="G19" s="75" t="str">
        <x:v>冻结正式账本</x:v>
      </x:c>
    </x:row>
    <x:row r="20" ht="42" customHeight="1">
      <x:c r="A20" s="68" t="str">
        <x:v>k05_copy</x:v>
      </x:c>
      <x:c r="B20" s="68" t="str">
        <x:v>K05_COPY_FUNDS_ONLY_EVENT.csv</x:v>
      </x:c>
      <x:c r="C20" s="68" t="str">
        <x:v>FROZEN_FORMAL_LEDGER</x:v>
      </x:c>
      <x:c r="D20" s="83" t="n">
        <x:v>12</x:v>
      </x:c>
      <x:c r="E20" s="75" t="str">
        <x:v>37ed5ee0f7c34e34ee39bd33ef5c3430013e2e6ea6287f5e2574895f1c8c21a7</x:v>
      </x:c>
      <x:c r="F20" s="75" t="str">
        <x:v>/Users/luodaluo/Desktop/30天复盘原始数据/05_基础委托成交仓位条件委托与资金事件统一证据层/01_统一事件证据层/K05_COPY_FUNDS_ONLY_EVENT.csv</x:v>
      </x:c>
      <x:c r="G20" s="75" t="str">
        <x:v>冻结正式账本</x:v>
      </x:c>
    </x:row>
    <x:row r="21" ht="42" customHeight="1">
      <x:c r="A21" s="68" t="str">
        <x:v>k05_fills</x:v>
      </x:c>
      <x:c r="B21" s="68" t="str">
        <x:v>K05_FILL_EVENT.csv</x:v>
      </x:c>
      <x:c r="C21" s="68" t="str">
        <x:v>FROZEN_FORMAL_LEDGER</x:v>
      </x:c>
      <x:c r="D21" s="83" t="n">
        <x:v>8239</x:v>
      </x:c>
      <x:c r="E21" s="75" t="str">
        <x:v>65dfb2874cb3490a5d9e12fce5565c6727c7cd1bc27ee13dd77045df6806fb71</x:v>
      </x:c>
      <x:c r="F21" s="75" t="str">
        <x:v>/Users/luodaluo/Desktop/30天复盘原始数据/05_基础委托成交仓位条件委托与资金事件统一证据层/01_统一事件证据层/K05_FILL_EVENT.csv</x:v>
      </x:c>
      <x:c r="G21" s="75" t="str">
        <x:v>冻结正式账本</x:v>
      </x:c>
    </x:row>
    <x:row r="22" ht="42" customHeight="1">
      <x:c r="A22" s="68" t="str">
        <x:v>k05_funds</x:v>
      </x:c>
      <x:c r="B22" s="68" t="str">
        <x:v>K05_FUND_EVENT.csv</x:v>
      </x:c>
      <x:c r="C22" s="68" t="str">
        <x:v>FROZEN_FORMAL_LEDGER</x:v>
      </x:c>
      <x:c r="D22" s="83" t="n">
        <x:v>21614</x:v>
      </x:c>
      <x:c r="E22" s="75" t="str">
        <x:v>69b9ce61a9659a47199d0b317905ea39445ed5ab0f1f0442b5f758e3763fa4aa</x:v>
      </x:c>
      <x:c r="F22" s="75" t="str">
        <x:v>/Users/luodaluo/Desktop/30天复盘原始数据/05_基础委托成交仓位条件委托与资金事件统一证据层/01_统一事件证据层/K05_FUND_EVENT.csv</x:v>
      </x:c>
      <x:c r="G22" s="75" t="str">
        <x:v>冻结正式账本</x:v>
      </x:c>
    </x:row>
    <x:row r="23" ht="42" customHeight="1">
      <x:c r="A23" s="68" t="str">
        <x:v>k06_chain</x:v>
      </x:c>
      <x:c r="B23" s="68" t="str">
        <x:v>K06_TRADE_OBJECTIVE_CHAIN.csv</x:v>
      </x:c>
      <x:c r="C23" s="68" t="str">
        <x:v>FROZEN_FORMAL_LEDGER</x:v>
      </x:c>
      <x:c r="D23" s="83" t="n">
        <x:v>136</x:v>
      </x:c>
      <x:c r="E23" s="75" t="str">
        <x:v>d5ce90528f3740423cebc9f99a0509459edca3a09d8e531a268b45d4befd34af</x:v>
      </x:c>
      <x:c r="F23" s="75" t="str">
        <x:v>/Users/luodaluo/Desktop/30天复盘原始数据/06_136笔逐笔客观交易链资金节点资金滚动与MFE_MAE底座/01_逐笔客观链/K06_TRADE_OBJECTIVE_CHAIN.csv</x:v>
      </x:c>
      <x:c r="G23" s="75" t="str">
        <x:v>冻结正式账本</x:v>
      </x:c>
    </x:row>
    <x:row r="24" ht="42" customHeight="1">
      <x:c r="A24" s="68" t="str">
        <x:v>k06_copy</x:v>
      </x:c>
      <x:c r="B24" s="68" t="str">
        <x:v>K06_COPY_FUNDS_ONLY_NODE.csv</x:v>
      </x:c>
      <x:c r="C24" s="68" t="str">
        <x:v>FROZEN_FORMAL_LEDGER</x:v>
      </x:c>
      <x:c r="D24" s="83" t="n">
        <x:v>12</x:v>
      </x:c>
      <x:c r="E24" s="75" t="str">
        <x:v>15456fd5290d91a8a977df93b0be0aa6d282e3ecd0461249b9da67a7bc6c393e</x:v>
      </x:c>
      <x:c r="F24" s="75" t="str">
        <x:v>/Users/luodaluo/Desktop/30天复盘原始数据/06_136笔逐笔客观交易链资金节点资金滚动与MFE_MAE底座/02_资金节点与滚动/K06_COPY_FUNDS_ONLY_NODE.csv</x:v>
      </x:c>
      <x:c r="G24" s="75" t="str">
        <x:v>冻结正式账本</x:v>
      </x:c>
    </x:row>
    <x:row r="25" ht="42" customHeight="1">
      <x:c r="A25" s="68" t="str">
        <x:v>k06_net</x:v>
      </x:c>
      <x:c r="B25" s="68" t="str">
        <x:v>K06_TRADE_KNOWN_NET_RESULT.csv</x:v>
      </x:c>
      <x:c r="C25" s="68" t="str">
        <x:v>FROZEN_FORMAL_LEDGER</x:v>
      </x:c>
      <x:c r="D25" s="83" t="n">
        <x:v>136</x:v>
      </x:c>
      <x:c r="E25" s="75" t="str">
        <x:v>dcd7e47d3137cd3ca3ba39cf54307b3116e01b2adeaa2c00b5c91db7eb03cea4</x:v>
      </x:c>
      <x:c r="F25" s="75" t="str">
        <x:v>/Users/luodaluo/Desktop/30天复盘原始数据/06_136笔逐笔客观交易链资金节点资金滚动与MFE_MAE底座/02_资金节点与滚动/K06_TRADE_KNOWN_NET_RESULT.csv</x:v>
      </x:c>
      <x:c r="G25" s="75" t="str">
        <x:v>冻结正式账本</x:v>
      </x:c>
    </x:row>
    <x:row r="26" ht="42" customHeight="1">
      <x:c r="A26" s="69" t="str">
        <x:v>legacy_performance_comparator</x:v>
      </x:c>
      <x:c r="B26" s="69" t="str">
        <x:v>08_V2_136笔个人主动绩效统计.xlsx</x:v>
      </x:c>
      <x:c r="C26" s="69" t="str">
        <x:v>COMPARATOR_ONLY</x:v>
      </x:c>
      <x:c r="D26" s="84" t="str">
        <x:v>UNKNOWN</x:v>
      </x:c>
      <x:c r="E26" s="77" t="str">
        <x:v>b5cf356f15ff078d6043bf77960498bd3d549d56c895684c956ecabc5962c379</x:v>
      </x:c>
      <x:c r="F26" s="77" t="str">
        <x:v>/Users/luodaluo/Desktop/30天复盘原始数据/现行正式版_V2.1_136笔主动交易_A497生命周期/06_资金与绩效/08_V2_136笔个人主动绩效统计.xlsx</x:v>
      </x:c>
      <x:c r="G26" s="77" t="str">
        <x:v>只读比较，不升格为客观权威</x:v>
      </x:c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 ht="24" customHeight="1">
      <x:c r="A29" s="11" t="str">
        <x:v>冻结覆盖摘要</x:v>
      </x:c>
      <x:c r="B29" s="11" t="str">
        <x:v>冻结覆盖摘要</x:v>
      </x:c>
      <x:c r="C29" s="11" t="str">
        <x:v>冻结覆盖摘要</x:v>
      </x:c>
      <x:c r="D29" s="11" t="str">
        <x:v>冻结覆盖摘要</x:v>
      </x:c>
      <x:c r="E29" s="11" t="str">
        <x:v>冻结覆盖摘要</x:v>
      </x:c>
      <x:c r="F29" s="11" t="str">
        <x:v>冻结覆盖摘要</x:v>
      </x:c>
      <x:c r="G29" s="11" t="str">
        <x:v>冻结覆盖摘要</x:v>
      </x:c>
    </x:row>
    <x:row r="30" ht="30" customHeight="1">
      <x:c r="A30" s="60" t="str">
        <x:v>覆盖对象</x:v>
      </x:c>
      <x:c r="B30" s="61" t="str">
        <x:v>行数</x:v>
      </x:c>
      <x:c r="C30" s="61" t="str">
        <x:v>关键覆盖</x:v>
      </x:c>
      <x:c r="D30" s="62" t="str">
        <x:v>时间/状态</x:v>
      </x:c>
      <x:c r="E30" s="1"/>
      <x:c r="F30" s="1"/>
      <x:c r="G30" s="1"/>
    </x:row>
    <x:row r="31" ht="36" customHeight="1">
      <x:c r="A31" s="73" t="str">
        <x:v>成交记录</x:v>
      </x:c>
      <x:c r="B31" s="250" t="n">
        <x:v>8341</x:v>
      </x:c>
      <x:c r="C31" s="73" t="str">
        <x:v>8239 主动 + 102 跟单</x:v>
      </x:c>
      <x:c r="D31" s="73" t="str">
        <x:v>2026-05-27 00:12:51 → 2026-07-01 11:16:45</x:v>
      </x:c>
      <x:c r="E31" s="1"/>
      <x:c r="F31" s="1"/>
      <x:c r="G31" s="1"/>
    </x:row>
    <x:row r="32" ht="36" customHeight="1">
      <x:c r="A32" s="75" t="str">
        <x:v>合约资金流水</x:v>
      </x:c>
      <x:c r="B32" s="251" t="n">
        <x:v>21452</x:v>
      </x:c>
      <x:c r="C32" s="75" t="str">
        <x:v>54 资金费；7391 返佣；1 账户级其他费</x:v>
      </x:c>
      <x:c r="D32" s="75" t="str">
        <x:v>2026-05-26 17:49:10 → 2026-07-01 11:28:38</x:v>
      </x:c>
      <x:c r="E32" s="1"/>
      <x:c r="F32" s="1"/>
      <x:c r="G32" s="1"/>
    </x:row>
    <x:row r="33" ht="36" customHeight="1">
      <x:c r="A33" s="75" t="str">
        <x:v>合约订单</x:v>
      </x:c>
      <x:c r="B33" s="251" t="n">
        <x:v>1100</x:v>
      </x:c>
      <x:c r="C33" s="75" t="str">
        <x:v>357 FILLED / 678 CANCELED / 65 EXPIRED</x:v>
      </x:c>
      <x:c r="D33" s="75" t="str">
        <x:v>冻结覆盖</x:v>
      </x:c>
      <x:c r="E33" s="1"/>
      <x:c r="F33" s="1"/>
      <x:c r="G33" s="1"/>
    </x:row>
    <x:row r="34" ht="36" customHeight="1">
      <x:c r="A34" s="75" t="str">
        <x:v>合约仓位</x:v>
      </x:c>
      <x:c r="B34" s="251" t="n">
        <x:v>136</x:v>
      </x:c>
      <x:c r="C34" s="75" t="str">
        <x:v>136 Closed；136 主动周期精确匹配</x:v>
      </x:c>
      <x:c r="D34" s="75" t="str">
        <x:v>冻结覆盖</x:v>
      </x:c>
      <x:c r="E34" s="1"/>
      <x:c r="F34" s="1"/>
      <x:c r="G34" s="1"/>
    </x:row>
    <x:row r="35" ht="36" customHeight="1">
      <x:c r="A35" s="77" t="str">
        <x:v>钱包流水</x:v>
      </x:c>
      <x:c r="B35" s="252" t="n">
        <x:v>21614</x:v>
      </x:c>
      <x:c r="C35" s="77" t="str">
        <x:v>账户级资金流背景</x:v>
      </x:c>
      <x:c r="D35" s="77" t="str">
        <x:v>2026-05-26 17:46:21 → 2026-07-01 11:28:38</x:v>
      </x:c>
    </x:row>
  </x:sheetData>
  <x:mergeCells>
    <x:mergeCell ref="A1:G1"/>
    <x:mergeCell ref="A2:G2"/>
    <x:mergeCell ref="A4:G4"/>
    <x:mergeCell ref="A13:G13"/>
    <x:mergeCell ref="A29:G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3" max="3" width="31" hidden="0" customWidth="1"/>
    <x:col min="4" max="4" width="72" hidden="0" customWidth="1"/>
    <x:col min="5" max="5" width="55" hidden="0" customWidth="1"/>
    <x:col min="6" max="6" width="36" hidden="0" customWidth="1"/>
  </x:cols>
  <x:sheetData>
    <x:row r="1" ht="32" customHeight="1">
      <x:c r="A1" s="4" t="str">
        <x:v>Legacy 执行现实｜历史执行 ≠ 当前正式产品</x:v>
      </x:c>
      <x:c r="B1" s="4" t="str">
        <x:v>Legacy 执行现实｜历史执行 ≠ 当前正式产品</x:v>
      </x:c>
      <x:c r="C1" s="4" t="str">
        <x:v>Legacy 执行现实｜历史执行 ≠ 当前正式产品</x:v>
      </x:c>
      <x:c r="D1" s="4" t="str">
        <x:v>Legacy 执行现实｜历史执行 ≠ 当前正式产品</x:v>
      </x:c>
      <x:c r="E1" s="4" t="str">
        <x:v>Legacy 执行现实｜历史执行 ≠ 当前正式产品</x:v>
      </x:c>
      <x:c r="F1" s="4" t="str">
        <x:v>Legacy 执行现实｜历史执行 ≠ 当前正式产品</x:v>
      </x:c>
    </x:row>
    <x:row r="2" ht="34" customHeight="1">
      <x:c r="A2" s="8" t="str">
        <x:v>18 个历史 episode 保守分类；失败历史保留。N2 与 K11-R7 均为 MATERIALIZED_RUN_UNPROVEN，不得提升。</x:v>
      </x:c>
      <x:c r="B2" s="8" t="str">
        <x:v>18 个历史 episode 保守分类；失败历史保留。N2 与 K11-R7 均为 MATERIALIZED_RUN_UNPROVEN，不得提升。</x:v>
      </x:c>
      <x:c r="C2" s="8" t="str">
        <x:v>18 个历史 episode 保守分类；失败历史保留。N2 与 K11-R7 均为 MATERIALIZED_RUN_UNPROVEN，不得提升。</x:v>
      </x:c>
      <x:c r="D2" s="8" t="str">
        <x:v>18 个历史 episode 保守分类；失败历史保留。N2 与 K11-R7 均为 MATERIALIZED_RUN_UNPROVEN，不得提升。</x:v>
      </x:c>
      <x:c r="E2" s="8" t="str">
        <x:v>18 个历史 episode 保守分类；失败历史保留。N2 与 K11-R7 均为 MATERIALIZED_RUN_UNPROVEN，不得提升。</x:v>
      </x:c>
      <x:c r="F2" s="8" t="str">
        <x:v>18 个历史 episode 保守分类；失败历史保留。N2 与 K11-R7 均为 MATERIALIZED_RUN_UNPROVEN，不得提升。</x:v>
      </x:c>
    </x:row>
    <x:row r="3">
      <x:c r="A3" s="1"/>
      <x:c r="B3" s="1"/>
      <x:c r="C3" s="1"/>
      <x:c r="D3" s="1"/>
      <x:c r="E3" s="1"/>
      <x:c r="F3" s="1"/>
    </x:row>
    <x:row r="4">
      <x:c r="A4" s="156" t="str">
        <x:v>执行/有运行证据</x:v>
      </x:c>
      <x:c r="B4" s="158" t="str">
        <x:v>执行/有运行证据</x:v>
      </x:c>
      <x:c r="C4" s="1"/>
      <x:c r="D4" s="156" t="str">
        <x:v>仅物化未证明</x:v>
      </x:c>
      <x:c r="E4" s="158" t="str">
        <x:v>仅物化未证明</x:v>
      </x:c>
      <x:c r="F4" s="1"/>
    </x:row>
    <x:row r="5">
      <x:c r="A5" s="256" t="n">
        <x:f>COUNTIF($C$11:$C$28,"EXECUTED_CONFIRMED")</x:f>
        <x:v>15</x:v>
      </x:c>
      <x:c r="B5" s="257"/>
      <x:c r="C5" s="1"/>
      <x:c r="D5" s="261" t="n">
        <x:f>COUNTIF($C$11:$C$28,"MATERIALIZED_RUN_UNPROVEN")</x:f>
        <x:v>2</x:v>
      </x:c>
      <x:c r="E5" s="262"/>
      <x:c r="F5" s="1"/>
    </x:row>
    <x:row r="6">
      <x:c r="A6" s="258"/>
      <x:c r="B6" s="259"/>
      <x:c r="C6" s="1"/>
      <x:c r="D6" s="263"/>
      <x:c r="E6" s="264"/>
      <x:c r="F6" s="1"/>
    </x:row>
    <x:row r="7">
      <x:c r="A7" s="1"/>
      <x:c r="B7" s="1"/>
      <x:c r="C7" s="1"/>
      <x:c r="D7" s="1"/>
      <x:c r="E7" s="1"/>
      <x:c r="F7" s="1"/>
    </x:row>
    <x:row r="8">
      <x:c r="A8" s="279" t="str">
        <x:v>关键现实：K11‑R7 只发布了用户验收包；已审指标/工作表/交易均为 0，验收未开始、未完成，K11 未关闭。Gate3 采用新洁净室路线，不修补、不提升该候选。</x:v>
      </x:c>
      <x:c r="B8" s="280" t="str">
        <x:v>关键现实：K11‑R7 只发布了用户验收包；已审指标/工作表/交易均为 0，验收未开始、未完成，K11 未关闭。Gate3 采用新洁净室路线，不修补、不提升该候选。</x:v>
      </x:c>
      <x:c r="C8" s="280" t="str">
        <x:v>关键现实：K11‑R7 只发布了用户验收包；已审指标/工作表/交易均为 0，验收未开始、未完成，K11 未关闭。Gate3 采用新洁净室路线，不修补、不提升该候选。</x:v>
      </x:c>
      <x:c r="D8" s="280" t="str">
        <x:v>关键现实：K11‑R7 只发布了用户验收包；已审指标/工作表/交易均为 0，验收未开始、未完成，K11 未关闭。Gate3 采用新洁净室路线，不修补、不提升该候选。</x:v>
      </x:c>
      <x:c r="E8" s="280" t="str">
        <x:v>关键现实：K11‑R7 只发布了用户验收包；已审指标/工作表/交易均为 0，验收未开始、未完成，K11 未关闭。Gate3 采用新洁净室路线，不修补、不提升该候选。</x:v>
      </x:c>
      <x:c r="F8" s="281" t="str">
        <x:v>关键现实：K11‑R7 只发布了用户验收包；已审指标/工作表/交易均为 0，验收未开始、未完成，K11 未关闭。Gate3 采用新洁净室路线，不修补、不提升该候选。</x:v>
      </x:c>
    </x:row>
    <x:row r="9">
      <x:c r="A9" s="282" t="str">
        <x:v>关键现实：K11‑R7 只发布了用户验收包；已审指标/工作表/交易均为 0，验收未开始、未完成，K11 未关闭。Gate3 采用新洁净室路线，不修补、不提升该候选。</x:v>
      </x:c>
      <x:c r="B9" s="283" t="str">
        <x:v>关键现实：K11‑R7 只发布了用户验收包；已审指标/工作表/交易均为 0，验收未开始、未完成，K11 未关闭。Gate3 采用新洁净室路线，不修补、不提升该候选。</x:v>
      </x:c>
      <x:c r="C9" s="283" t="str">
        <x:v>关键现实：K11‑R7 只发布了用户验收包；已审指标/工作表/交易均为 0，验收未开始、未完成，K11 未关闭。Gate3 采用新洁净室路线，不修补、不提升该候选。</x:v>
      </x:c>
      <x:c r="D9" s="283" t="str">
        <x:v>关键现实：K11‑R7 只发布了用户验收包；已审指标/工作表/交易均为 0，验收未开始、未完成，K11 未关闭。Gate3 采用新洁净室路线，不修补、不提升该候选。</x:v>
      </x:c>
      <x:c r="E9" s="283" t="str">
        <x:v>关键现实：K11‑R7 只发布了用户验收包；已审指标/工作表/交易均为 0，验收未开始、未完成，K11 未关闭。Gate3 采用新洁净室路线，不修补、不提升该候选。</x:v>
      </x:c>
      <x:c r="F9" s="284" t="str">
        <x:v>关键现实：K11‑R7 只发布了用户验收包；已审指标/工作表/交易均为 0，验收未开始、未完成，K11 未关闭。Gate3 采用新洁净室路线，不修补、不提升该候选。</x:v>
      </x:c>
    </x:row>
    <x:row r="10" ht="30" customHeight="1">
      <x:c r="A10" s="60" t="str">
        <x:v>Episode</x:v>
      </x:c>
      <x:c r="B10" s="61" t="str">
        <x:v>路线</x:v>
      </x:c>
      <x:c r="C10" s="61" t="str">
        <x:v>执行分类</x:v>
      </x:c>
      <x:c r="D10" s="61" t="str">
        <x:v>结果</x:v>
      </x:c>
      <x:c r="E10" s="61" t="str">
        <x:v>运行身份</x:v>
      </x:c>
      <x:c r="F10" s="62" t="str">
        <x:v>证据ID</x:v>
      </x:c>
    </x:row>
    <x:row r="11" ht="48" customHeight="1">
      <x:c r="A11" s="73" t="str">
        <x:v>EP-K04-T001-D001</x:v>
      </x:c>
      <x:c r="B11" s="73" t="str">
        <x:v>K04</x:v>
      </x:c>
      <x:c r="C11" s="73" t="str">
        <x:v>EXECUTED_CONFIRMED</x:v>
      </x:c>
      <x:c r="D11" s="73" t="str">
        <x:v>CLOSED; 148 cycles = 136 active + 12 copy; 15/15 quality tests; 32/32 work acceptance.</x:v>
      </x:c>
      <x:c r="E11" s="73" t="str">
        <x:v>{"dispatch_id":"K04-T001-EXEC-D001","execution_count":1,"task_id":"K04-T001","thread_id":"019fd2d8-3f25-7451-a98e-046f2673175f"}</x:v>
      </x:c>
      <x:c r="F11" s="73" t="str">
        <x:v>EVI-9ab342df7f9cbd15c826; EVI-fcf89c0a3a1e009d0361</x:v>
      </x:c>
    </x:row>
    <x:row r="12" ht="48" customHeight="1">
      <x:c r="A12" s="75" t="str">
        <x:v>EP-H0-H-FREEZE-V1</x:v>
      </x:c>
      <x:c r="B12" s="75" t="str">
        <x:v>H0-A_TO_H</x:v>
      </x:c>
      <x:c r="C12" s="75" t="str">
        <x:v>EXECUTED_CONFIRMED</x:v>
      </x:c>
      <x:c r="D12" s="75" t="str">
        <x:v>COMPLETE; 405 stages, 136 cycles, 541 precision records; final blockers 0.</x:v>
      </x:c>
      <x:c r="E12" s="75" t="str">
        <x:v>{"freeze_id":"H0-H-FROZEN-v1-898df0a41c47"}</x:v>
      </x:c>
      <x:c r="F12" s="75" t="str">
        <x:v>EVI-6c21ffa5e4fb1f9aaf77</x:v>
      </x:c>
    </x:row>
    <x:row r="13" ht="48" customHeight="1">
      <x:c r="A13" s="75" t="str">
        <x:v>EP-N1-2-FINAL-ACCEPTANCE</x:v>
      </x:c>
      <x:c r="B13" s="75" t="str">
        <x:v>N1-2</x:v>
      </x:c>
      <x:c r="C13" s="75" t="str">
        <x:v>EXECUTED_CONFIRMED</x:v>
      </x:c>
      <x:c r="D13" s="75" t="str">
        <x:v>COMPLETE / ACCEPTED / READ_ONLY; machine 20/20; WPS 33/33.</x:v>
      </x:c>
      <x:c r="E13" s="75" t="str">
        <x:v>{"checkpoint_schema":"N1-2-FINAL-ACCEPTANCE-CHECKPOINT-5.0"}</x:v>
      </x:c>
      <x:c r="F13" s="75" t="str">
        <x:v>EVI-55b72489b4e37e28ff6d; EVI-5f5ee46b2ece68fd2384</x:v>
      </x:c>
    </x:row>
    <x:row r="14" ht="48" customHeight="1">
      <x:c r="A14" s="75" t="str">
        <x:v>EP-N2-DEFINITION-ONLY</x:v>
      </x:c>
      <x:c r="B14" s="75" t="str">
        <x:v>N2</x:v>
      </x:c>
      <x:c r="C14" s="75" t="str">
        <x:v>MATERIALIZED_RUN_UNPROVEN</x:v>
      </x:c>
      <x:c r="D14" s="75" t="str">
        <x:v>Definition and input lock materialized; analysis rows 0; N2-A not run.</x:v>
      </x:c>
      <x:c r="E14" s="75" t="str">
        <x:v>{"checkpoint_schema":"N2-DEFINITION-PENDING-CONFIRMATION-CHECKPOINT-1.2"}</x:v>
      </x:c>
      <x:c r="F14" s="75" t="str">
        <x:v>EVI-e4b8954290554269515a</x:v>
      </x:c>
    </x:row>
    <x:row r="15" ht="48" customHeight="1">
      <x:c r="A15" s="75" t="str">
        <x:v>EP-STAGE08-V08_2</x:v>
      </x:c>
      <x:c r="B15" s="75" t="str">
        <x:v>LEGACY_STAGE_08</x:v>
      </x:c>
      <x:c r="C15" s="75" t="str">
        <x:v>EXECUTED_CONFIRMED</x:v>
      </x:c>
      <x:c r="D15" s="75" t="str">
        <x:v>Analysis materialized; 136 active and 12 copy separated; awaiting historical user acceptance.</x:v>
      </x:c>
      <x:c r="E15" s="75" t="str">
        <x:v>{"generated_at":"2026-07-18T18:32:22+08:00","script_version":"08.2"}</x:v>
      </x:c>
      <x:c r="F15" s="75" t="str">
        <x:v>EVI-92b7af248731dfdc4a7c</x:v>
      </x:c>
    </x:row>
    <x:row r="16" ht="48" customHeight="1">
      <x:c r="A16" s="75" t="str">
        <x:v>EP-K11-COMPREHENSIVE</x:v>
      </x:c>
      <x:c r="B16" s="75" t="str">
        <x:v>K11_PHASE_A_V2_1</x:v>
      </x:c>
      <x:c r="C16" s="75" t="str">
        <x:v>EXECUTED_CONFIRMED</x:v>
      </x:c>
      <x:c r="D16" s="75" t="str">
        <x:v>Comprehensive current10 rework and acceptance evidence exists; later routes supersede product candidacy, not historical execution.</x:v>
      </x:c>
      <x:c r="E16" s="75" t="str">
        <x:v>{"status_file":"00_WORK总控/45_K11综合产品合同V2与current10一次性综合返工/00_任务控制/K11_COMPREHENSIVE_RUNTIME_STATUS.json"}</x:v>
      </x:c>
      <x:c r="F16" s="75" t="str">
        <x:v>EVI-9d852259bbd049a86a2f</x:v>
      </x:c>
    </x:row>
    <x:row r="17" ht="48" customHeight="1">
      <x:c r="A17" s="75" t="str">
        <x:v>EP-K11-CLEANROOM-FAILED</x:v>
      </x:c>
      <x:c r="B17" s="75" t="str">
        <x:v>K11_CLEAN_ROOM</x:v>
      </x:c>
      <x:c r="C17" s="75" t="str">
        <x:v>FAILED_RUN_CONFIRMED</x:v>
      </x:c>
      <x:c r="D17" s="75" t="str">
        <x:v>Pre-execution/failed archive exists; keep separate from recovery executor.</x:v>
      </x:c>
      <x:c r="E17" s="75" t="str">
        <x:v>{"status_file":"00_WORK总控/46_K11_current10_Clean-Room最终重建/00_任务控制/PRE_EXECUTION_RUNTIME_STATUS.json"}</x:v>
      </x:c>
      <x:c r="F17" s="75" t="str">
        <x:v>EVI-232ee9629c9680a83dd2</x:v>
      </x:c>
    </x:row>
    <x:row r="18" ht="48" customHeight="1">
      <x:c r="A18" s="75" t="str">
        <x:v>EP-K11-CLEANROOM-RECOVERY</x:v>
      </x:c>
      <x:c r="B18" s="75" t="str">
        <x:v>K11_CLEAN_ROOM_RECOVERY</x:v>
      </x:c>
      <x:c r="C18" s="75" t="str">
        <x:v>EXECUTED_CONFIRMED</x:v>
      </x:c>
      <x:c r="D18" s="75" t="str">
        <x:v>Unique executor recovery evidence exists.</x:v>
      </x:c>
      <x:c r="E18" s="75" t="str">
        <x:v>{"status_file":"00_WORK总控/47_K11_Clean-Room唯一执行器恢复/RECOVERY_FINAL_RUNTIME_STATUS.json"}</x:v>
      </x:c>
      <x:c r="F18" s="75" t="str">
        <x:v>EVI-c40b3b2cc17a325e950a</x:v>
      </x:c>
    </x:row>
    <x:row r="19" ht="48" customHeight="1">
      <x:c r="A19" s="75" t="str">
        <x:v>EP-K11-FINAL136</x:v>
      </x:c>
      <x:c r="B19" s="75" t="str">
        <x:v>K11_FINAL136</x:v>
      </x:c>
      <x:c r="C19" s="75" t="str">
        <x:v>EXECUTED_CONFIRMED</x:v>
      </x:c>
      <x:c r="D19" s="75" t="str">
        <x:v>One-shot FINAL136 route executed; later RW003 parity recovery treats old final136 as forensic reference only.</x:v>
      </x:c>
      <x:c r="E19" s="75" t="str">
        <x:v>{"status_file":"00_WORK总控/48_K11_FINAL136一次性交付工程/00_任务控制/FINAL136_RUNTIME_STATUS.json"}</x:v>
      </x:c>
      <x:c r="F19" s="75" t="str">
        <x:v>EVI-3cfd15309cf0ba93f9fe</x:v>
      </x:c>
    </x:row>
    <x:row r="20" ht="48" customHeight="1">
      <x:c r="A20" s="75" t="str">
        <x:v>EP-K11-R0</x:v>
      </x:c>
      <x:c r="B20" s="75" t="str">
        <x:v>K11_RW003_R0</x:v>
      </x:c>
      <x:c r="C20" s="75" t="str">
        <x:v>EXECUTED_CONFIRMED</x:v>
      </x:c>
      <x:c r="D20" s="75" t="str">
        <x:v>Read-only forensic audit completed.</x:v>
      </x:c>
      <x:c r="E20" s="75" t="str">
        <x:v>{"program_id":"K11-RW003-MASTER-PARITY-RECOVERY-20260819-001","stage":"R0"}</x:v>
      </x:c>
      <x:c r="F20" s="75" t="str">
        <x:v>EVI-4abc5628d11287725eb2</x:v>
      </x:c>
    </x:row>
    <x:row r="21" ht="48" customHeight="1">
      <x:c r="A21" s="75" t="str">
        <x:v>EP-K11-R1</x:v>
      </x:c>
      <x:c r="B21" s="75" t="str">
        <x:v>K11_RW003_R1</x:v>
      </x:c>
      <x:c r="C21" s="75" t="str">
        <x:v>EXECUTED_CONFIRMED</x:v>
      </x:c>
      <x:c r="D21" s="75" t="str">
        <x:v>Golden product specification frozen.</x:v>
      </x:c>
      <x:c r="E21" s="75" t="str">
        <x:v>{"program_id":"K11-RW003-MASTER-PARITY-RECOVERY-20260819-001","stage":"R1"}</x:v>
      </x:c>
      <x:c r="F21" s="75" t="str">
        <x:v>EVI-4abc5628d11287725eb2</x:v>
      </x:c>
    </x:row>
    <x:row r="22" ht="48" customHeight="1">
      <x:c r="A22" s="75" t="str">
        <x:v>EP-K11-R2-LOOPS</x:v>
      </x:c>
      <x:c r="B22" s="75" t="str">
        <x:v>K11_RW003_R2</x:v>
      </x:c>
      <x:c r="C22" s="75" t="str">
        <x:v>EXECUTED_CONFIRMED</x:v>
      </x:c>
      <x:c r="D22" s="75" t="str">
        <x:v>Consolidated recovery plus 3 bounded internal loops; loop03 changed formal candidate 0 times.</x:v>
      </x:c>
      <x:c r="E22" s="75" t="str">
        <x:v>{"internal_recovery_loop_count":3,"program_id":"K11-RW003-MASTER-PARITY-RECOVERY-20260819-001","stage":"R2"}</x:v>
      </x:c>
      <x:c r="F22" s="75" t="str">
        <x:v>EVI-4abc5628d11287725eb2</x:v>
      </x:c>
    </x:row>
    <x:row r="23" ht="48" customHeight="1">
      <x:c r="A23" s="75" t="str">
        <x:v>EP-K11-R3</x:v>
      </x:c>
      <x:c r="B23" s="75" t="str">
        <x:v>K11_RW003_R3</x:v>
      </x:c>
      <x:c r="C23" s="75" t="str">
        <x:v>EXECUTED_CONFIRMED</x:v>
      </x:c>
      <x:c r="D23" s="75" t="str">
        <x:v>Initial failure preserved; final recheck 41/41 pass with 0 open product defects.</x:v>
      </x:c>
      <x:c r="E23" s="75" t="str">
        <x:v>{"attempts_preserved":4,"program_id":"K11-RW003-MASTER-PARITY-RECOVERY-20260819-001","stage":"R3"}</x:v>
      </x:c>
      <x:c r="F23" s="75" t="str">
        <x:v>EVI-4abc5628d11287725eb2</x:v>
      </x:c>
    </x:row>
    <x:row r="24" ht="48" customHeight="1">
      <x:c r="A24" s="75" t="str">
        <x:v>EP-K11-R4</x:v>
      </x:c>
      <x:c r="B24" s="75" t="str">
        <x:v>K11_RW003_R4</x:v>
      </x:c>
      <x:c r="C24" s="75" t="str">
        <x:v>EXECUTED_CONFIRMED</x:v>
      </x:c>
      <x:c r="D24" s="75" t="str">
        <x:v>Attempts 1-2 failed; defect later adjudicated as acceptance-action injection; attempt3 12/12 pass.</x:v>
      </x:c>
      <x:c r="E24" s="75" t="str">
        <x:v>{"attempts_preserved":3,"program_id":"K11-RW003-MASTER-PARITY-RECOVERY-20260819-001","stage":"R4"}</x:v>
      </x:c>
      <x:c r="F24" s="75" t="str">
        <x:v>EVI-4abc5628d11287725eb2</x:v>
      </x:c>
    </x:row>
    <x:row r="25" ht="48" customHeight="1">
      <x:c r="A25" s="75" t="str">
        <x:v>EP-K11-R5</x:v>
      </x:c>
      <x:c r="B25" s="75" t="str">
        <x:v>K11_RW003_R5</x:v>
      </x:c>
      <x:c r="C25" s="75" t="str">
        <x:v>EXECUTED_CONFIRMED</x:v>
      </x:c>
      <x:c r="D25" s="75" t="str">
        <x:v>Work independent acceptance 25/25; open product defects 0.</x:v>
      </x:c>
      <x:c r="E25" s="75" t="str">
        <x:v>{"program_id":"K11-RW003-MASTER-PARITY-RECOVERY-20260819-001","stage":"R5"}</x:v>
      </x:c>
      <x:c r="F25" s="75" t="str">
        <x:v>EVI-fb2ca52f63e6afdccc29</x:v>
      </x:c>
    </x:row>
    <x:row r="26" ht="48" customHeight="1">
      <x:c r="A26" s="75" t="str">
        <x:v>EP-K11-R6</x:v>
      </x:c>
      <x:c r="B26" s="75" t="str">
        <x:v>K11_RW003_R6</x:v>
      </x:c>
      <x:c r="C26" s="75" t="str">
        <x:v>EXECUTED_CONFIRMED</x:v>
      </x:c>
      <x:c r="D26" s="75" t="str">
        <x:v>Final technical coordinator audit PASS; one non-product cache integrity exception carried.</x:v>
      </x:c>
      <x:c r="E26" s="75" t="str">
        <x:v>{"escalation_id":"RW003-REC-ESC-0003","program_id":"K11-RW003-MASTER-PARITY-RECOVERY-20260819-001","stage":"R6"}</x:v>
      </x:c>
      <x:c r="F26" s="75" t="str">
        <x:v>EVI-30ee6707fc9a5205bbdf</x:v>
      </x:c>
    </x:row>
    <x:row r="27" ht="48" customHeight="1">
      <x:c r="A27" s="75" t="str">
        <x:v>EP-K11-R7</x:v>
      </x:c>
      <x:c r="B27" s="75" t="str">
        <x:v>K11_RW003_R7</x:v>
      </x:c>
      <x:c r="C27" s="75" t="str">
        <x:v>MATERIALIZED_RUN_UNPROVEN</x:v>
      </x:c>
      <x:c r="D27" s="75" t="str">
        <x:v>User acceptance package released; reviewed metrics/sheets/trades all 0; acceptance not started/completed; K11 not closed.</x:v>
      </x:c>
      <x:c r="E27" s="75" t="str">
        <x:v>{"program_id":"K11-RW003-MASTER-PARITY-RECOVERY-20260819-001","stage":"R7"}</x:v>
      </x:c>
      <x:c r="F27" s="75" t="str">
        <x:v>EVI-881247173284ad603bf4</x:v>
      </x:c>
    </x:row>
    <x:row r="28" ht="48" customHeight="1">
      <x:c r="A28" s="77" t="str">
        <x:v>EP-RESCUE-A-G</x:v>
      </x:c>
      <x:c r="B28" s="77" t="str">
        <x:v>RESCUE_A_TO_G</x:v>
      </x:c>
      <x:c r="C28" s="77" t="str">
        <x:v>EXECUTED_CONFIRMED</x:v>
      </x:c>
      <x:c r="D28" s="77" t="str">
        <x:v>Historical rescue index/ledger exists; treated as historical source, not canonical v19 index.</x:v>
      </x:c>
      <x:c r="E28" s="77" t="str">
        <x:v>{"manifest_path":"救援审计_全项目工程谱系与数据血缘恢复/救援审计_MANIFEST.json"}</x:v>
      </x:c>
      <x:c r="F28" s="77" t="str">
        <x:v>EVI-348dd7231cac1366f26c</x:v>
      </x:c>
    </x:row>
    <x:row r="29">
      <x:c r="A29" s="1"/>
      <x:c r="B29" s="1"/>
      <x:c r="C29" s="1"/>
      <x:c r="D29" s="1"/>
      <x:c r="E29" s="1"/>
      <x:c r="F29" s="1"/>
    </x:row>
    <x:row r="30" ht="24" customHeight="1">
      <x:c r="A30" s="11" t="str">
        <x:v>保留问题（不会被升格为产品事实）</x:v>
      </x:c>
      <x:c r="B30" s="11" t="str">
        <x:v>保留问题（不会被升格为产品事实）</x:v>
      </x:c>
      <x:c r="C30" s="11" t="str">
        <x:v>保留问题（不会被升格为产品事实）</x:v>
      </x:c>
      <x:c r="D30" s="11" t="str">
        <x:v>保留问题（不会被升格为产品事实）</x:v>
      </x:c>
      <x:c r="E30" s="11" t="str">
        <x:v>保留问题（不会被升格为产品事实）</x:v>
      </x:c>
      <x:c r="F30" s="11" t="str">
        <x:v>保留问题（不会被升格为产品事实）</x:v>
      </x:c>
    </x:row>
    <x:row r="31" ht="30" customHeight="1">
      <x:c r="A31" s="60" t="str">
        <x:v>问题ID</x:v>
      </x:c>
      <x:c r="B31" s="61" t="str">
        <x:v>严重度</x:v>
      </x:c>
      <x:c r="C31" s="61" t="str">
        <x:v>状态</x:v>
      </x:c>
      <x:c r="D31" s="62" t="str">
        <x:v>摘要</x:v>
      </x:c>
    </x:row>
    <x:row r="32" ht="44" customHeight="1">
      <x:c r="A32" s="73" t="str">
        <x:v>P5-ISSUE-001</x:v>
      </x:c>
      <x:c r="B32" s="73" t="str">
        <x:v>NONBLOCKING</x:v>
      </x:c>
      <x:c r="C32" s="73" t="str">
        <x:v>OPEN_RETAINED</x:v>
      </x:c>
      <x:c r="D32" s="73" t="str">
        <x:v>K11 R4 historical CPython cache manifest member integrity exception; explicitly non-product, not waived.</x:v>
      </x:c>
    </x:row>
    <x:row r="33" ht="44" customHeight="1">
      <x:c r="A33" s="75" t="str">
        <x:v>P5-ISSUE-002</x:v>
      </x:c>
      <x:c r="B33" s="75" t="str">
        <x:v>DESIGN_RELEVANT</x:v>
      </x:c>
      <x:c r="C33" s="75" t="str">
        <x:v>RESOLVED_BY_NEW_ROUTE</x:v>
      </x:c>
      <x:c r="D33" s="75" t="str">
        <x:v>K11 R7 user acceptance never started; legacy candidate is not a formal accepted final product. Recovery implementation must not promote it.</x:v>
      </x:c>
    </x:row>
    <x:row r="34" ht="44" customHeight="1">
      <x:c r="A34" s="77" t="str">
        <x:v>P5-ISSUE-003</x:v>
      </x:c>
      <x:c r="B34" s="77" t="str">
        <x:v>DESIGN_RELEVANT</x:v>
      </x:c>
      <x:c r="C34" s="77" t="str">
        <x:v>RESOLVED_BY_SCOPE</x:v>
      </x:c>
      <x:c r="D34" s="77" t="str">
        <x:v>N2 only has definition/lock artifacts and zero analysis rows; Recovery v19 will independently perform objective and combined analysis.</x:v>
      </x:c>
    </x:row>
  </x:sheetData>
  <x:mergeCells>
    <x:mergeCell ref="A1:F1"/>
    <x:mergeCell ref="A2:F2"/>
    <x:mergeCell ref="A4:B4"/>
    <x:mergeCell ref="A5:B6"/>
    <x:mergeCell ref="D4:E4"/>
    <x:mergeCell ref="D5:E6"/>
    <x:mergeCell ref="A8:F9"/>
    <x:mergeCell ref="A30:F30"/>
  </x:mergeCells>
  <x:conditionalFormatting sqref="C11:C28">
    <x:cfRule type="containsText" dxfId="6" priority="1" operator="containsText" text="EXECUTED_CONFIRMED"/>
    <x:cfRule type="containsText" dxfId="7" priority="2" operator="containsText" text="MATERIALIZED_RUN_UNPROVEN"/>
    <x:cfRule type="containsText" dxfId="8" priority="3" operator="containsText" text="FAILED_RUN_CONFIRM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5" hidden="0" customWidth="1"/>
    <x:col min="3" max="3" width="28" hidden="0" customWidth="1"/>
    <x:col min="4" max="4" width="48" hidden="0" customWidth="1"/>
    <x:col min="5" max="5" width="8" hidden="0" customWidth="1"/>
    <x:col min="6" max="6" width="8" hidden="0" customWidth="1"/>
  </x:cols>
  <x:sheetData>
    <x:row r="1" ht="32" customHeight="1">
      <x:c r="A1" s="4" t="str">
        <x:v>当前用户意图与不可越界项</x:v>
      </x:c>
      <x:c r="B1" s="4" t="str">
        <x:v>当前用户意图与不可越界项</x:v>
      </x:c>
      <x:c r="C1" s="4" t="str">
        <x:v>当前用户意图与不可越界项</x:v>
      </x:c>
      <x:c r="D1" s="4" t="str">
        <x:v>当前用户意图与不可越界项</x:v>
      </x:c>
      <x:c r="E1" s="4" t="str">
        <x:v>当前用户意图与不可越界项</x:v>
      </x:c>
      <x:c r="F1" s="4" t="str">
        <x:v>当前用户意图与不可越界项</x:v>
      </x:c>
    </x:row>
    <x:row r="2" ht="34" customHeight="1">
      <x:c r="A2" s="8" t="str">
        <x:v>当前实时指令覆盖历史逐阶段等待授权的停点，但不取消只读、证据、验收与分析顺序边界。</x:v>
      </x:c>
      <x:c r="B2" s="8" t="str">
        <x:v>当前实时指令覆盖历史逐阶段等待授权的停点，但不取消只读、证据、验收与分析顺序边界。</x:v>
      </x:c>
      <x:c r="C2" s="8" t="str">
        <x:v>当前实时指令覆盖历史逐阶段等待授权的停点，但不取消只读、证据、验收与分析顺序边界。</x:v>
      </x:c>
      <x:c r="D2" s="8" t="str">
        <x:v>当前实时指令覆盖历史逐阶段等待授权的停点，但不取消只读、证据、验收与分析顺序边界。</x:v>
      </x:c>
      <x:c r="E2" s="8" t="str">
        <x:v>当前实时指令覆盖历史逐阶段等待授权的停点，但不取消只读、证据、验收与分析顺序边界。</x:v>
      </x:c>
      <x:c r="F2" s="8" t="str">
        <x:v>当前实时指令覆盖历史逐阶段等待授权的停点，但不取消只读、证据、验收与分析顺序边界。</x:v>
      </x:c>
    </x:row>
    <x:row r="3">
      <x:c r="A3" s="1"/>
      <x:c r="B3" s="1"/>
      <x:c r="C3" s="1"/>
      <x:c r="D3" s="1"/>
      <x:c r="E3" s="1"/>
      <x:c r="F3" s="1"/>
    </x:row>
    <x:row r="4" ht="24" customHeight="1">
      <x:c r="A4" s="11" t="str">
        <x:v>当前执行指令（5 条）</x:v>
      </x:c>
      <x:c r="B4" s="11" t="str">
        <x:v>当前执行指令（5 条）</x:v>
      </x:c>
      <x:c r="C4" s="11" t="str">
        <x:v>当前执行指令（5 条）</x:v>
      </x:c>
      <x:c r="D4" s="11" t="str">
        <x:v>当前执行指令（5 条）</x:v>
      </x:c>
      <x:c r="E4" s="11" t="str">
        <x:v>当前执行指令（5 条）</x:v>
      </x:c>
      <x:c r="F4" s="11" t="str">
        <x:v>当前执行指令（5 条）</x:v>
      </x:c>
    </x:row>
    <x:row r="5" ht="30" customHeight="1">
      <x:c r="A5" s="60" t="str">
        <x:v>ID</x:v>
      </x:c>
      <x:c r="B5" s="61" t="str">
        <x:v>指令</x:v>
      </x:c>
      <x:c r="C5" s="61" t="str">
        <x:v>强度</x:v>
      </x:c>
      <x:c r="D5" s="62" t="str">
        <x:v>处理</x:v>
      </x:c>
      <x:c r="E5" s="1"/>
      <x:c r="F5" s="1"/>
    </x:row>
    <x:row r="6" ht="44" customHeight="1">
      <x:c r="A6" s="73" t="str">
        <x:v>LIVE-001</x:v>
      </x:c>
      <x:c r="B6" s="73" t="str">
        <x:v>继续执行已冻结的 Codex Recovery Architecture v19，不重写架构。</x:v>
      </x:c>
      <x:c r="C6" s="73" t="str">
        <x:v>DIRECT_CURRENT_USER_INSTRUCTION</x:v>
      </x:c>
      <x:c r="D6" s="73" t="str">
        <x:v>本 Gate3 执行</x:v>
      </x:c>
      <x:c r="E6" s="1"/>
      <x:c r="F6" s="1"/>
    </x:row>
    <x:row r="7" ht="44" customHeight="1">
      <x:c r="A7" s="75" t="str">
        <x:v>LIVE-002</x:v>
      </x:c>
      <x:c r="B7" s="75" t="str">
        <x:v>原始工程只读；禁止重新全量扫描；禁止危险旧代码重跑。</x:v>
      </x:c>
      <x:c r="C7" s="75" t="str">
        <x:v>DIRECT_CURRENT_USER_INSTRUCTION</x:v>
      </x:c>
      <x:c r="D7" s="75" t="str">
        <x:v>本 Gate3 执行</x:v>
      </x:c>
      <x:c r="E7" s="1"/>
      <x:c r="F7" s="1"/>
    </x:row>
    <x:row r="8" ht="44" customHeight="1">
      <x:c r="A8" s="75" t="str">
        <x:v>LIVE-003</x:v>
      </x:c>
      <x:c r="B8" s="75" t="str">
        <x:v>中间阶段不等待确认，连续做到最终交付。</x:v>
      </x:c>
      <x:c r="C8" s="75" t="str">
        <x:v>DIRECT_CURRENT_USER_INSTRUCTION</x:v>
      </x:c>
      <x:c r="D8" s="75" t="str">
        <x:v>本 Gate3 执行</x:v>
      </x:c>
      <x:c r="E8" s="1"/>
      <x:c r="F8" s="1"/>
    </x:row>
    <x:row r="9" ht="44" customHeight="1">
      <x:c r="A9" s="75" t="str">
        <x:v>LIVE-004</x:v>
      </x:c>
      <x:c r="B9" s="75" t="str">
        <x:v>每个阶段完成后报告可见的底层模型身份，然后继续。</x:v>
      </x:c>
      <x:c r="C9" s="75" t="str">
        <x:v>DIRECT_CURRENT_USER_INSTRUCTION</x:v>
      </x:c>
      <x:c r="D9" s="75" t="str">
        <x:v>本 Gate3 执行</x:v>
      </x:c>
      <x:c r="E9" s="1"/>
      <x:c r="F9" s="1"/>
    </x:row>
    <x:row r="10" ht="44" customHeight="1">
      <x:c r="A10" s="77" t="str">
        <x:v>LIVE-005</x:v>
      </x:c>
      <x:c r="B10" s="77" t="str">
        <x:v>最终结果必须使用中文。</x:v>
      </x:c>
      <x:c r="C10" s="77" t="str">
        <x:v>DIRECT_CURRENT_USER_INSTRUCTION</x:v>
      </x:c>
      <x:c r="D10" s="77" t="str">
        <x:v>本 Gate3 执行</x:v>
      </x:c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 ht="24" customHeight="1">
      <x:c r="A13" s="11" t="str">
        <x:v>稳定产品/分析意图（7 条）</x:v>
      </x:c>
      <x:c r="B13" s="11" t="str">
        <x:v>稳定产品/分析意图（7 条）</x:v>
      </x:c>
      <x:c r="C13" s="11" t="str">
        <x:v>稳定产品/分析意图（7 条）</x:v>
      </x:c>
      <x:c r="D13" s="11" t="str">
        <x:v>稳定产品/分析意图（7 条）</x:v>
      </x:c>
      <x:c r="E13" s="11" t="str">
        <x:v>稳定产品/分析意图（7 条）</x:v>
      </x:c>
      <x:c r="F13" s="11" t="str">
        <x:v>稳定产品/分析意图（7 条）</x:v>
      </x:c>
    </x:row>
    <x:row r="14" ht="30" customHeight="1">
      <x:c r="A14" s="60" t="str">
        <x:v>意图ID</x:v>
      </x:c>
      <x:c r="B14" s="61" t="str">
        <x:v>声明</x:v>
      </x:c>
      <x:c r="C14" s="61" t="str">
        <x:v>状态</x:v>
      </x:c>
      <x:c r="D14" s="62" t="str">
        <x:v>支持 Claim</x:v>
      </x:c>
      <x:c r="E14" s="1"/>
      <x:c r="F14" s="1"/>
    </x:row>
    <x:row r="15" ht="50" customHeight="1">
      <x:c r="A15" s="73" t="str">
        <x:v>CUR-001</x:v>
      </x:c>
      <x:c r="B15" s="73" t="str">
        <x:v>先形成136笔客观交易事实，再与人工自述分层结合；客观独立分析必须先于结合分析。</x:v>
      </x:c>
      <x:c r="C15" s="73" t="str">
        <x:v>ADOPTED_CURRENT</x:v>
      </x:c>
      <x:c r="D15" s="73" t="str">
        <x:v>INT-d84eb009841f52968c4723c8; INT-c0b95159003c963317934d97</x:v>
      </x:c>
      <x:c r="E15" s="1"/>
      <x:c r="F15" s="1"/>
    </x:row>
    <x:row r="16" ht="50" customHeight="1">
      <x:c r="A16" s="75" t="str">
        <x:v>CUR-002</x:v>
      </x:c>
      <x:c r="B16" s="75" t="str">
        <x:v>136笔主动交易与12笔自动跟单严格隔离；自动跟单只进入资金背景，不解释为用户主动决策。</x:v>
      </x:c>
      <x:c r="C16" s="75" t="str">
        <x:v>ADOPTED_CURRENT</x:v>
      </x:c>
      <x:c r="D16" s="75" t="str">
        <x:v>INT-b66d25dc761b108f15853ece; INT-71ac664db2b7af64a5a58889</x:v>
      </x:c>
      <x:c r="E16" s="1"/>
      <x:c r="F16" s="1"/>
    </x:row>
    <x:row r="17" ht="50" customHeight="1">
      <x:c r="A17" s="75" t="str">
        <x:v>CUR-003</x:v>
      </x:c>
      <x:c r="B17" s="75" t="str">
        <x:v>历史人工内容完整只读保留，禁止AI补写、禁止静默20→22继承、禁止要求用户重复录入。</x:v>
      </x:c>
      <x:c r="C17" s="75" t="str">
        <x:v>ADOPTED_CURRENT</x:v>
      </x:c>
      <x:c r="D17" s="75" t="str">
        <x:v>INT-e879d400b8eef31122168ef4; INT-327928d298b8fd633c095474; INT-1035e4c063b164a686cacbeb; INT-8211b2d663185102a7cc960a</x:v>
      </x:c>
      <x:c r="E17" s="1"/>
      <x:c r="F17" s="1"/>
    </x:row>
    <x:row r="18" ht="50" customHeight="1">
      <x:c r="A18" s="75" t="str">
        <x:v>CUR-004</x:v>
      </x:c>
      <x:c r="B18" s="75" t="str">
        <x:v>客观字段、人工自述、模型推断分别标记来源；未知不得填0，证据不足不得升格，时间接近不得自动建立关系。</x:v>
      </x:c>
      <x:c r="C18" s="75" t="str">
        <x:v>ADOPTED_CURRENT</x:v>
      </x:c>
      <x:c r="D18" s="75" t="str">
        <x:v>INT-ec8bf6c47cf90ad0367dbba4; INT-b0bfe84678906421d5b5dc93; INT-43fd32a59cb8533874cd014e</x:v>
      </x:c>
      <x:c r="E18" s="1"/>
      <x:c r="F18" s="1"/>
    </x:row>
    <x:row r="19" ht="50" customHeight="1">
      <x:c r="A19" s="75" t="str">
        <x:v>CUR-005</x:v>
      </x:c>
      <x:c r="B19" s="75" t="str">
        <x:v>结果不能只看胜率；要区分正确/错误盈利与亏损，并识别路径依赖、频繁交易、追单、扛单、改止损和尾部大亏。</x:v>
      </x:c>
      <x:c r="C19" s="75" t="str">
        <x:v>ADOPTED_CURRENT</x:v>
      </x:c>
      <x:c r="D19" s="75" t="str">
        <x:v>INT-728f9032b5866e6f66343cc1; INT-1c1e9a26fce0233cb2df4a59; INT-d52cb688db143e6f6aaa5624; INT-bfffc769bb9787b904dbd894</x:v>
      </x:c>
      <x:c r="E19" s="1"/>
      <x:c r="F19" s="1"/>
    </x:row>
    <x:row r="20" ht="50" customHeight="1">
      <x:c r="A20" s="75" t="str">
        <x:v>CUR-006</x:v>
      </x:c>
      <x:c r="B20" s="75" t="str">
        <x:v>最终产品应便于非技术用户阅读，保持简洁、透明、可追溯；支持 stable_trade_id / T编号回溯，不让单笔卡臃肿。</x:v>
      </x:c>
      <x:c r="C20" s="75" t="str">
        <x:v>ADOPTED_CURRENT</x:v>
      </x:c>
      <x:c r="D20" s="75" t="str">
        <x:v>INT-ad1e4be0581aac1c2e9555d9; INT-48eb664bd494cc3594a00a22</x:v>
      </x:c>
      <x:c r="E20" s="1"/>
      <x:c r="F20" s="1"/>
    </x:row>
    <x:row r="21" ht="50" customHeight="1">
      <x:c r="A21" s="77" t="str">
        <x:v>CUR-007</x:v>
      </x:c>
      <x:c r="B21" s="77" t="str">
        <x:v>不要迎合、不要故意扩大问题；必须以跨窗口、上下游、当前版本与历史证据交叉验证。</x:v>
      </x:c>
      <x:c r="C21" s="77" t="str">
        <x:v>ADOPTED_CURRENT</x:v>
      </x:c>
      <x:c r="D21" s="77" t="str">
        <x:v>INT-2f91356a2b4490fa3acfdb1c; INT-c90ccda2c8039b8e9c80aa14</x:v>
      </x:c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 ht="24" customHeight="1">
      <x:c r="A24" s="11" t="str">
        <x:v>Gate3 明确边界</x:v>
      </x:c>
      <x:c r="B24" s="11" t="str">
        <x:v>Gate3 明确边界</x:v>
      </x:c>
      <x:c r="C24" s="11" t="str">
        <x:v>Gate3 明确边界</x:v>
      </x:c>
      <x:c r="D24" s="11" t="str">
        <x:v>Gate3 明确边界</x:v>
      </x:c>
      <x:c r="E24" s="11" t="str">
        <x:v>Gate3 明确边界</x:v>
      </x:c>
      <x:c r="F24" s="11" t="str">
        <x:v>Gate3 明确边界</x:v>
      </x:c>
    </x:row>
    <x:row r="25" ht="38" customHeight="1">
      <x:c r="A25" s="294" t="str">
        <x:v>允许</x:v>
      </x:c>
      <x:c r="B25" s="73" t="str">
        <x:v>客观事实汇总、确定性统计、分布/尾部/成本/覆盖观察</x:v>
      </x:c>
      <x:c r="C25" s="73" t="str">
        <x:v>已执行</x:v>
      </x:c>
      <x:c r="D25" s="1"/>
      <x:c r="E25" s="1"/>
      <x:c r="F25" s="1"/>
    </x:row>
    <x:row r="26" ht="38" customHeight="1">
      <x:c r="A26" s="295" t="str">
        <x:v>隔离</x:v>
      </x:c>
      <x:c r="B26" s="75" t="str">
        <x:v>136 主动与 12 跟单；跟单只作资金背景</x:v>
      </x:c>
      <x:c r="C26" s="75" t="str">
        <x:v>已执行</x:v>
      </x:c>
      <x:c r="D26" s="1"/>
      <x:c r="E26" s="1"/>
      <x:c r="F26" s="1"/>
    </x:row>
    <x:row r="27" ht="38" customHeight="1">
      <x:c r="A27" s="296" t="str">
        <x:v>禁止</x:v>
      </x:c>
      <x:c r="B27" s="75" t="str">
        <x:v>人工/自述结合</x:v>
      </x:c>
      <x:c r="C27" s="75" t="str">
        <x:v>0</x:v>
      </x:c>
      <x:c r="D27" s="1"/>
      <x:c r="E27" s="1"/>
      <x:c r="F27" s="1"/>
    </x:row>
    <x:row r="28" ht="38" customHeight="1">
      <x:c r="A28" s="296" t="str">
        <x:v>禁止</x:v>
      </x:c>
      <x:c r="B28" s="75" t="str">
        <x:v>心理、人格、长期稳定特质结论</x:v>
      </x:c>
      <x:c r="C28" s="75" t="str">
        <x:v>0</x:v>
      </x:c>
      <x:c r="D28" s="1"/>
      <x:c r="E28" s="1"/>
      <x:c r="F28" s="1"/>
    </x:row>
    <x:row r="29" ht="38" customHeight="1">
      <x:c r="A29" s="296" t="str">
        <x:v>禁止</x:v>
      </x:c>
      <x:c r="B29" s="75" t="str">
        <x:v>策略、仓位、进出场、止损处方</x:v>
      </x:c>
      <x:c r="C29" s="75" t="str">
        <x:v>0</x:v>
      </x:c>
      <x:c r="D29" s="1"/>
      <x:c r="E29" s="1"/>
      <x:c r="F29" s="1"/>
    </x:row>
    <x:row r="30" ht="38" customHeight="1">
      <x:c r="A30" s="296" t="str">
        <x:v>禁止</x:v>
      </x:c>
      <x:c r="B30" s="75" t="str">
        <x:v>分析顺序改变</x:v>
      </x:c>
      <x:c r="C30" s="75" t="str">
        <x:v>否</x:v>
      </x:c>
      <x:c r="D30" s="1"/>
      <x:c r="E30" s="1"/>
      <x:c r="F30" s="1"/>
    </x:row>
    <x:row r="31" ht="38" customHeight="1">
      <x:c r="A31" s="296" t="str">
        <x:v>禁止</x:v>
      </x:c>
      <x:c r="B31" s="75" t="str">
        <x:v>K11-R7 产品提升</x:v>
      </x:c>
      <x:c r="C31" s="75" t="str">
        <x:v>否</x:v>
      </x:c>
      <x:c r="D31" s="1"/>
      <x:c r="E31" s="1"/>
      <x:c r="F31" s="1"/>
    </x:row>
    <x:row r="32" ht="38" customHeight="1">
      <x:c r="A32" s="297" t="str">
        <x:v>禁止</x:v>
      </x:c>
      <x:c r="B32" s="77" t="str">
        <x:v>未知填0 / 时间接近自动关联 / 回声升格证据</x:v>
      </x:c>
      <x:c r="C32" s="77" t="str">
        <x:v>0</x:v>
      </x:c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</x:sheetData>
  <x:mergeCells>
    <x:mergeCell ref="A1:F1"/>
    <x:mergeCell ref="A2:F2"/>
    <x:mergeCell ref="A4:F4"/>
    <x:mergeCell ref="A13:F13"/>
    <x:mergeCell ref="A24:F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15" hidden="0" customWidth="1"/>
    <x:col min="5" max="5" width="40" hidden="0" customWidth="1"/>
    <x:col min="6" max="6" width="13" hidden="0" customWidth="1"/>
    <x:col min="7" max="7" width="35" hidden="0" customWidth="1"/>
    <x:col min="8" max="8" width="28" hidden="0" customWidth="1"/>
  </x:cols>
  <x:sheetData>
    <x:row r="1" ht="32" customHeight="1">
      <x:c r="A1" s="4" t="str">
        <x:v>Golden 验收与财务一致性检查</x:v>
      </x:c>
      <x:c r="B1" s="4" t="str">
        <x:v>Golden 验收与财务一致性检查</x:v>
      </x:c>
      <x:c r="C1" s="4" t="str">
        <x:v>Golden 验收与财务一致性检查</x:v>
      </x:c>
      <x:c r="D1" s="4" t="str">
        <x:v>Golden 验收与财务一致性检查</x:v>
      </x:c>
      <x:c r="E1" s="4" t="str">
        <x:v>Golden 验收与财务一致性检查</x:v>
      </x:c>
      <x:c r="F1" s="4" t="str">
        <x:v>Golden 验收与财务一致性检查</x:v>
      </x:c>
      <x:c r="G1" s="4" t="str">
        <x:v>Golden 验收与财务一致性检查</x:v>
      </x:c>
      <x:c r="H1" s="4" t="str">
        <x:v>Golden 验收与财务一致性检查</x:v>
      </x:c>
    </x:row>
    <x:row r="2" ht="34" customHeight="1">
      <x:c r="A2" s="8" t="str">
        <x:v>Gate2 的 24 个阻断用例全部 PASS；下方财务检查由本工作簿公式重算，Actual、Expected、Difference、Tolerance、Status 可追溯。</x:v>
      </x:c>
      <x:c r="B2" s="8" t="str">
        <x:v>Gate2 的 24 个阻断用例全部 PASS；下方财务检查由本工作簿公式重算，Actual、Expected、Difference、Tolerance、Status 可追溯。</x:v>
      </x:c>
      <x:c r="C2" s="8" t="str">
        <x:v>Gate2 的 24 个阻断用例全部 PASS；下方财务检查由本工作簿公式重算，Actual、Expected、Difference、Tolerance、Status 可追溯。</x:v>
      </x:c>
      <x:c r="D2" s="8" t="str">
        <x:v>Gate2 的 24 个阻断用例全部 PASS；下方财务检查由本工作簿公式重算，Actual、Expected、Difference、Tolerance、Status 可追溯。</x:v>
      </x:c>
      <x:c r="E2" s="8" t="str">
        <x:v>Gate2 的 24 个阻断用例全部 PASS；下方财务检查由本工作簿公式重算，Actual、Expected、Difference、Tolerance、Status 可追溯。</x:v>
      </x:c>
      <x:c r="F2" s="8" t="str">
        <x:v>Gate2 的 24 个阻断用例全部 PASS；下方财务检查由本工作簿公式重算，Actual、Expected、Difference、Tolerance、Status 可追溯。</x:v>
      </x:c>
      <x:c r="G2" s="8" t="str">
        <x:v>Gate2 的 24 个阻断用例全部 PASS；下方财务检查由本工作簿公式重算，Actual、Expected、Difference、Tolerance、Status 可追溯。</x:v>
      </x:c>
      <x:c r="H2" s="8" t="str">
        <x:v>Gate2 的 24 个阻断用例全部 PASS；下方财务检查由本工作簿公式重算，Actual、Expected、Difference、Tolerance、Status 可追溯。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56" t="str">
        <x:v>Golden PASS</x:v>
      </x:c>
      <x:c r="B4" s="158" t="str">
        <x:v>Golden PASS</x:v>
      </x:c>
      <x:c r="C4" s="1"/>
      <x:c r="D4" s="156" t="str">
        <x:v>财务检查状态</x:v>
      </x:c>
      <x:c r="E4" s="158" t="str">
        <x:v>财务检查状态</x:v>
      </x:c>
      <x:c r="F4" s="1"/>
      <x:c r="G4" s="1"/>
      <x:c r="H4" s="1"/>
    </x:row>
    <x:row r="5">
      <x:c r="A5" s="256" t="n">
        <x:f>COUNTIF($F$26:$F$49,"PASS")</x:f>
        <x:v>24</x:v>
      </x:c>
      <x:c r="B5" s="257"/>
      <x:c r="C5" s="1"/>
      <x:c r="D5" s="299" t="str">
        <x:f>IF(COUNTIF($G$10:$G$19,"FAIL")=0,"PASS","FAIL")</x:f>
        <x:v>PASS</x:v>
      </x:c>
      <x:c r="E5" s="300"/>
      <x:c r="F5" s="1"/>
      <x:c r="G5" s="1"/>
      <x:c r="H5" s="1"/>
    </x:row>
    <x:row r="6">
      <x:c r="A6" s="258"/>
      <x:c r="B6" s="259"/>
      <x:c r="C6" s="1"/>
      <x:c r="D6" s="301"/>
      <x:c r="E6" s="302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1" t="str">
        <x:v>财务与数据契约检查</x:v>
      </x:c>
      <x:c r="B8" s="11" t="str">
        <x:v>财务与数据契约检查</x:v>
      </x:c>
      <x:c r="C8" s="11" t="str">
        <x:v>财务与数据契约检查</x:v>
      </x:c>
      <x:c r="D8" s="11" t="str">
        <x:v>财务与数据契约检查</x:v>
      </x:c>
      <x:c r="E8" s="11" t="str">
        <x:v>财务与数据契约检查</x:v>
      </x:c>
      <x:c r="F8" s="11" t="str">
        <x:v>财务与数据契约检查</x:v>
      </x:c>
      <x:c r="G8" s="11" t="str">
        <x:v>财务与数据契约检查</x:v>
      </x:c>
      <x:c r="H8" s="11" t="str">
        <x:v>财务与数据契约检查</x:v>
      </x:c>
    </x:row>
    <x:row r="9" ht="30" customHeight="1">
      <x:c r="A9" s="60" t="str">
        <x:v>检查</x:v>
      </x:c>
      <x:c r="B9" s="61" t="str">
        <x:v>Actual</x:v>
      </x:c>
      <x:c r="C9" s="61" t="str">
        <x:v>Expected</x:v>
      </x:c>
      <x:c r="D9" s="61" t="str">
        <x:v>Difference</x:v>
      </x:c>
      <x:c r="E9" s="61" t="str">
        <x:v>Tolerance</x:v>
      </x:c>
      <x:c r="F9" s="61" t="str">
        <x:v>单位</x:v>
      </x:c>
      <x:c r="G9" s="61" t="str">
        <x:v>Status</x:v>
      </x:c>
      <x:c r="H9" s="62" t="str">
        <x:v>说明</x:v>
      </x:c>
    </x:row>
    <x:row r="10">
      <x:c r="A10" s="73" t="str">
        <x:v>主动周期数</x:v>
      </x:c>
      <x:c r="B10" s="138" t="n">
        <x:f>'核心对账'!B6</x:f>
        <x:v>136</x:v>
      </x:c>
      <x:c r="C10" s="250" t="n">
        <x:v>136</x:v>
      </x:c>
      <x:c r="D10" s="250" t="n">
        <x:f>B10-C10</x:f>
        <x:v>0</x:v>
      </x:c>
      <x:c r="E10" s="250" t="n">
        <x:v>0</x:v>
      </x:c>
      <x:c r="F10" s="73" t="str">
        <x:v>笔</x:v>
      </x:c>
      <x:c r="G10" s="229" t="str">
        <x:f>IF(ABS(D10)&lt;=E10,"PASS","FAIL")</x:f>
        <x:v>PASS</x:v>
      </x:c>
      <x:c r="H10" s="73" t="str">
        <x:v>必须精确</x:v>
      </x:c>
    </x:row>
    <x:row r="11">
      <x:c r="A11" s="75" t="str">
        <x:v>跟单周期数</x:v>
      </x:c>
      <x:c r="B11" s="140" t="n">
        <x:f>'核心对账'!G11</x:f>
        <x:v>12</x:v>
      </x:c>
      <x:c r="C11" s="251" t="n">
        <x:v>12</x:v>
      </x:c>
      <x:c r="D11" s="251" t="n">
        <x:f>B11-C11</x:f>
        <x:v>0</x:v>
      </x:c>
      <x:c r="E11" s="251" t="n">
        <x:v>0</x:v>
      </x:c>
      <x:c r="F11" s="75" t="str">
        <x:v>笔</x:v>
      </x:c>
      <x:c r="G11" s="232" t="str">
        <x:f>IF(ABS(D11)&lt;=E11,"PASS","FAIL")</x:f>
        <x:v>PASS</x:v>
      </x:c>
      <x:c r="H11" s="75" t="str">
        <x:v>严格隔离</x:v>
      </x:c>
    </x:row>
    <x:row r="12">
      <x:c r="A12" s="75" t="str">
        <x:v>全部周期数</x:v>
      </x:c>
      <x:c r="B12" s="140" t="n">
        <x:f>'核心对账'!G12</x:f>
        <x:v>148</x:v>
      </x:c>
      <x:c r="C12" s="251" t="n">
        <x:v>148</x:v>
      </x:c>
      <x:c r="D12" s="251" t="n">
        <x:f>B12-C12</x:f>
        <x:v>0</x:v>
      </x:c>
      <x:c r="E12" s="251" t="n">
        <x:v>0</x:v>
      </x:c>
      <x:c r="F12" s="75" t="str">
        <x:v>笔</x:v>
      </x:c>
      <x:c r="G12" s="232" t="str">
        <x:f>IF(ABS(D12)&lt;=E12,"PASS","FAIL")</x:f>
        <x:v>PASS</x:v>
      </x:c>
      <x:c r="H12" s="75" t="str">
        <x:v>136+12</x:v>
      </x:c>
    </x:row>
    <x:row r="13">
      <x:c r="A13" s="75" t="str">
        <x:v>全部成交记录</x:v>
      </x:c>
      <x:c r="B13" s="140" t="n">
        <x:f>'核心对账'!G13</x:f>
        <x:v>8341</x:v>
      </x:c>
      <x:c r="C13" s="251" t="n">
        <x:v>8341</x:v>
      </x:c>
      <x:c r="D13" s="251" t="n">
        <x:f>B13-C13</x:f>
        <x:v>0</x:v>
      </x:c>
      <x:c r="E13" s="251" t="n">
        <x:v>0</x:v>
      </x:c>
      <x:c r="F13" s="75" t="str">
        <x:v>条</x:v>
      </x:c>
      <x:c r="G13" s="232" t="str">
        <x:f>IF(ABS(D13)&lt;=E13,"PASS","FAIL")</x:f>
        <x:v>PASS</x:v>
      </x:c>
      <x:c r="H13" s="75" t="str">
        <x:v>8239+102</x:v>
      </x:c>
    </x:row>
    <x:row r="14">
      <x:c r="A14" s="75" t="str">
        <x:v>主动经济净结果</x:v>
      </x:c>
      <x:c r="B14" s="306" t="n">
        <x:f>'核心对账'!B10</x:f>
        <x:v>-73118.35218988002</x:v>
      </x:c>
      <x:c r="C14" s="307" t="n">
        <x:v>-73118.35218988</x:v>
      </x:c>
      <x:c r="D14" s="307" t="n">
        <x:f>B14-C14</x:f>
        <x:v>-2.9103830456733704e-11</x:v>
      </x:c>
      <x:c r="E14" s="307" t="n">
        <x:v>1e-8</x:v>
      </x:c>
      <x:c r="F14" s="75" t="str">
        <x:v>USDT</x:v>
      </x:c>
      <x:c r="G14" s="232" t="str">
        <x:f>IF(ABS(D14)&lt;=E14,"PASS","FAIL")</x:f>
        <x:v>PASS</x:v>
      </x:c>
      <x:c r="H14" s="75" t="str">
        <x:v>8位小数容差</x:v>
      </x:c>
    </x:row>
    <x:row r="15">
      <x:c r="A15" s="75" t="str">
        <x:v>跟单经济净结果</x:v>
      </x:c>
      <x:c r="B15" s="306" t="n">
        <x:f>'核心对账'!G7</x:f>
        <x:v>-305.13365075999997</x:v>
      </x:c>
      <x:c r="C15" s="307" t="n">
        <x:v>-305.13365076</x:v>
      </x:c>
      <x:c r="D15" s="307" t="n">
        <x:f>B15-C15</x:f>
        <x:v>5.684341886080802e-14</x:v>
      </x:c>
      <x:c r="E15" s="307" t="n">
        <x:v>1e-8</x:v>
      </x:c>
      <x:c r="F15" s="75" t="str">
        <x:v>USDT</x:v>
      </x:c>
      <x:c r="G15" s="232" t="str">
        <x:f>IF(ABS(D15)&lt;=E15,"PASS","FAIL")</x:f>
        <x:v>PASS</x:v>
      </x:c>
      <x:c r="H15" s="75" t="str">
        <x:v>资金背景</x:v>
      </x:c>
    </x:row>
    <x:row r="16">
      <x:c r="A16" s="75" t="str">
        <x:v>其他费用前合并</x:v>
      </x:c>
      <x:c r="B16" s="306" t="n">
        <x:f>'核心对账'!G8</x:f>
        <x:v>-73423.48584064003</x:v>
      </x:c>
      <x:c r="C16" s="307" t="n">
        <x:v>-73423.48584064</x:v>
      </x:c>
      <x:c r="D16" s="307" t="n">
        <x:f>B16-C16</x:f>
        <x:v>-2.9103830456733704e-11</x:v>
      </x:c>
      <x:c r="E16" s="307" t="n">
        <x:v>1e-8</x:v>
      </x:c>
      <x:c r="F16" s="75" t="str">
        <x:v>USDT</x:v>
      </x:c>
      <x:c r="G16" s="232" t="str">
        <x:f>IF(ABS(D16)&lt;=E16,"PASS","FAIL")</x:f>
        <x:v>PASS</x:v>
      </x:c>
      <x:c r="H16" s="75" t="str">
        <x:v>主动+跟单</x:v>
      </x:c>
    </x:row>
    <x:row r="17">
      <x:c r="A17" s="75" t="str">
        <x:v>其他费用后合并</x:v>
      </x:c>
      <x:c r="B17" s="306" t="n">
        <x:f>'核心对账'!G10</x:f>
        <x:v>-73432.51584064003</x:v>
      </x:c>
      <x:c r="C17" s="307" t="n">
        <x:v>-73432.51584064</x:v>
      </x:c>
      <x:c r="D17" s="307" t="n">
        <x:f>B17-C17</x:f>
        <x:v>-2.9103830456733704e-11</x:v>
      </x:c>
      <x:c r="E17" s="307" t="n">
        <x:v>1e-8</x:v>
      </x:c>
      <x:c r="F17" s="75" t="str">
        <x:v>USDT</x:v>
      </x:c>
      <x:c r="G17" s="232" t="str">
        <x:f>IF(ABS(D17)&lt;=E17,"PASS","FAIL")</x:f>
        <x:v>PASS</x:v>
      </x:c>
      <x:c r="H17" s="75" t="str">
        <x:v>再加 -9.03</x:v>
      </x:c>
    </x:row>
    <x:row r="18">
      <x:c r="A18" s="75" t="str">
        <x:v>未知强制置零计数</x:v>
      </x:c>
      <x:c r="B18" s="140" t="n">
        <x:f>'核心对账'!G14</x:f>
        <x:v>0</x:v>
      </x:c>
      <x:c r="C18" s="251" t="n">
        <x:v>0</x:v>
      </x:c>
      <x:c r="D18" s="251" t="n">
        <x:f>B18-C18</x:f>
        <x:v>0</x:v>
      </x:c>
      <x:c r="E18" s="251" t="n">
        <x:v>0</x:v>
      </x:c>
      <x:c r="F18" s="75" t="str">
        <x:v>条</x:v>
      </x:c>
      <x:c r="G18" s="232" t="str">
        <x:f>IF(ABS(D18)&lt;=E18,"PASS","FAIL")</x:f>
        <x:v>PASS</x:v>
      </x:c>
      <x:c r="H18" s="75" t="str">
        <x:v>unknown != zero</x:v>
      </x:c>
    </x:row>
    <x:row r="19">
      <x:c r="A19" s="77" t="str">
        <x:v>主动净额经济桥</x:v>
      </x:c>
      <x:c r="B19" s="308" t="n">
        <x:f>'核心对账'!B27-'核心对账'!B28+'核心对账'!B29+'核心对账'!B31-'核心对账'!B32</x:f>
        <x:v>0</x:v>
      </x:c>
      <x:c r="C19" s="309" t="n">
        <x:v>0</x:v>
      </x:c>
      <x:c r="D19" s="309" t="n">
        <x:f>B19-C19</x:f>
        <x:v>0</x:v>
      </x:c>
      <x:c r="E19" s="309" t="n">
        <x:v>1e-8</x:v>
      </x:c>
      <x:c r="F19" s="77" t="str">
        <x:v>USDT</x:v>
      </x:c>
      <x:c r="G19" s="235" t="str">
        <x:f>IF(ABS(D19)&lt;=E19,"PASS","FAIL")</x:f>
        <x:v>PASS</x:v>
      </x:c>
      <x:c r="H19" s="77" t="str">
        <x:v>实现盈亏-手续费+资金费+返佣-经济净额</x:v>
      </x:c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1" t="str">
        <x:v>Gate2 Golden 用例（24/24 PASS）</x:v>
      </x:c>
      <x:c r="B23" s="11" t="str">
        <x:v>Gate2 Golden 用例（24/24 PASS）</x:v>
      </x:c>
      <x:c r="C23" s="11" t="str">
        <x:v>Gate2 Golden 用例（24/24 PASS）</x:v>
      </x:c>
      <x:c r="D23" s="11" t="str">
        <x:v>Gate2 Golden 用例（24/24 PASS）</x:v>
      </x:c>
      <x:c r="E23" s="11" t="str">
        <x:v>Gate2 Golden 用例（24/24 PASS）</x:v>
      </x:c>
      <x:c r="F23" s="11" t="str">
        <x:v>Gate2 Golden 用例（24/24 PASS）</x:v>
      </x:c>
      <x:c r="G23" s="11" t="str">
        <x:v>Gate2 Golden 用例（24/24 PASS）</x:v>
      </x:c>
      <x:c r="H23" s="11" t="str">
        <x:v>Gate2 Golden 用例（24/24 PASS）</x:v>
      </x:c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 ht="30" customHeight="1">
      <x:c r="A25" s="60" t="str">
        <x:v>Case</x:v>
      </x:c>
      <x:c r="B25" s="61" t="str">
        <x:v>名称</x:v>
      </x:c>
      <x:c r="C25" s="61" t="str">
        <x:v>要求</x:v>
      </x:c>
      <x:c r="D25" s="61" t="str">
        <x:v>严重度</x:v>
      </x:c>
      <x:c r="E25" s="61" t="str">
        <x:v>Actual</x:v>
      </x:c>
      <x:c r="F25" s="61" t="str">
        <x:v>Status</x:v>
      </x:c>
      <x:c r="G25" s="61" t="str">
        <x:v>证据</x:v>
      </x:c>
      <x:c r="H25" s="62" t="str">
        <x:v>失败动作</x:v>
      </x:c>
    </x:row>
    <x:row r="26" ht="54" customHeight="1">
      <x:c r="A26" s="73" t="str">
        <x:v>GC-001</x:v>
      </x:c>
      <x:c r="B26" s="73" t="str">
        <x:v>SEVEN_CHAT_BYTE_COVERAGE</x:v>
      </x:c>
      <x:c r="C26" s="73" t="str">
        <x:v>All seven Chat exports have exact input identity and full non-overlapping byte coverage.</x:v>
      </x:c>
      <x:c r="D26" s="73" t="str">
        <x:v>BLOCKING</x:v>
      </x:c>
      <x:c r="E26" s="73" t="str">
        <x:v>{"chat_count": 7, "overlap_bytes": 0, "total_bytes": 13275459, "uncovered_bytes": 0}</x:v>
      </x:c>
      <x:c r="F26" s="73" t="str">
        <x:v>PASS</x:v>
      </x:c>
      <x:c r="G26" s="73" t="str">
        <x:v>IH-P2_COVERAGE.json</x:v>
      </x:c>
      <x:c r="H26" s="73" t="str">
        <x:v>FAIL_STOP_RECOVERY</x:v>
      </x:c>
    </x:row>
    <x:row r="27" ht="54" customHeight="1">
      <x:c r="A27" s="75" t="str">
        <x:v>GC-002</x:v>
      </x:c>
      <x:c r="B27" s="75" t="str">
        <x:v>SEVEN_CHAT_USER_PARTITION</x:v>
      </x:c>
      <x:c r="C27" s="75" t="str">
        <x:v>All seven Chat exports have complete USER marker partition with 1302 recognized USER messages.</x:v>
      </x:c>
      <x:c r="D27" s="75" t="str">
        <x:v>BLOCKING</x:v>
      </x:c>
      <x:c r="E27" s="75" t="str">
        <x:v>{"recognized_user_messages": 1302, "unassigned_user_markers": 0}</x:v>
      </x:c>
      <x:c r="F27" s="75" t="str">
        <x:v>PASS</x:v>
      </x:c>
      <x:c r="G27" s="75" t="str">
        <x:v>IH-P2_COVERAGE.json</x:v>
      </x:c>
      <x:c r="H27" s="75" t="str">
        <x:v>FAIL_STOP_RECOVERY</x:v>
      </x:c>
    </x:row>
    <x:row r="28" ht="54" customHeight="1">
      <x:c r="A28" s="75" t="str">
        <x:v>GC-003</x:v>
      </x:c>
      <x:c r="B28" s="75" t="str">
        <x:v>ORIGIN_ECHO_NON_PROMOTION</x:v>
      </x:c>
      <x:c r="C28" s="75" t="str">
        <x:v>Echo, filename matches, forwarded reports, and proximity do not promote or merge evidence.</x:v>
      </x:c>
      <x:c r="D28" s="75" t="str">
        <x:v>BLOCKING</x:v>
      </x:c>
      <x:c r="E28" s="75" t="str">
        <x:v>{"echo_merge": false, "filename_identity": false, "forwarded_as_intent": false, "time_merge": false}</x:v>
      </x:c>
      <x:c r="F28" s="75" t="str">
        <x:v>PASS</x:v>
      </x:c>
      <x:c r="G28" s="75" t="str">
        <x:v>IH-P3/P4/P5 state boundaries</x:v>
      </x:c>
      <x:c r="H28" s="75" t="str">
        <x:v>FAIL_STOP_RECOVERY</x:v>
      </x:c>
    </x:row>
    <x:row r="29" ht="54" customHeight="1">
      <x:c r="A29" s="75" t="str">
        <x:v>GC-004</x:v>
      </x:c>
      <x:c r="B29" s="75" t="str">
        <x:v>ALL_CURRENT_INTENTS_TREATED</x:v>
      </x:c>
      <x:c r="C29" s="75" t="str">
        <x:v>Every current design-relevant intent in Gate1 has an explicit treatment.</x:v>
      </x:c>
      <x:c r="D29" s="75" t="str">
        <x:v>BLOCKING</x:v>
      </x:c>
      <x:c r="E29" s="75" t="str">
        <x:v>{"rows": 16, "treated": true}</x:v>
      </x:c>
      <x:c r="F29" s="75" t="str">
        <x:v>PASS</x:v>
      </x:c>
      <x:c r="G29" s="75" t="str">
        <x:v>GATE1_TRACEABILITY_MATRIX.json</x:v>
      </x:c>
      <x:c r="H29" s="75" t="str">
        <x:v>FAIL_STOP_RECOVERY</x:v>
      </x:c>
    </x:row>
    <x:row r="30" ht="54" customHeight="1">
      <x:c r="A30" s="75" t="str">
        <x:v>GC-005</x:v>
      </x:c>
      <x:c r="B30" s="75" t="str">
        <x:v>K04_EPISODE_CLASSIFICATION</x:v>
      </x:c>
      <x:c r="C30" s="75" t="str">
        <x:v>K04 is EXECUTED_CONFIRMED.</x:v>
      </x:c>
      <x:c r="D30" s="75" t="str">
        <x:v>BLOCKING</x:v>
      </x:c>
      <x:c r="E30" s="75" t="str">
        <x:v>EXECUTED_CONFIRMED</x:v>
      </x:c>
      <x:c r="F30" s="75" t="str">
        <x:v>PASS</x:v>
      </x:c>
      <x:c r="G30" s="75" t="str">
        <x:v>IH-P5_EXECUTION_EPISODES.jsonl</x:v>
      </x:c>
      <x:c r="H30" s="75" t="str">
        <x:v>FAIL_STOP_RECOVERY</x:v>
      </x:c>
    </x:row>
    <x:row r="31" ht="54" customHeight="1">
      <x:c r="A31" s="75" t="str">
        <x:v>GC-006</x:v>
      </x:c>
      <x:c r="B31" s="75" t="str">
        <x:v>N1_2_EPISODE_CLASSIFICATION</x:v>
      </x:c>
      <x:c r="C31" s="75" t="str">
        <x:v>N1-2 is EXECUTED_CONFIRMED.</x:v>
      </x:c>
      <x:c r="D31" s="75" t="str">
        <x:v>BLOCKING</x:v>
      </x:c>
      <x:c r="E31" s="75" t="str">
        <x:v>EXECUTED_CONFIRMED</x:v>
      </x:c>
      <x:c r="F31" s="75" t="str">
        <x:v>PASS</x:v>
      </x:c>
      <x:c r="G31" s="75" t="str">
        <x:v>IH-P5_EXECUTION_EPISODES.jsonl</x:v>
      </x:c>
      <x:c r="H31" s="75" t="str">
        <x:v>FAIL_STOP_RECOVERY</x:v>
      </x:c>
    </x:row>
    <x:row r="32" ht="54" customHeight="1">
      <x:c r="A32" s="75" t="str">
        <x:v>GC-007</x:v>
      </x:c>
      <x:c r="B32" s="75" t="str">
        <x:v>N2_EPISODE_CLASSIFICATION</x:v>
      </x:c>
      <x:c r="C32" s="75" t="str">
        <x:v>N2 is MATERIALIZED_RUN_UNPROVEN with zero analysis rows.</x:v>
      </x:c>
      <x:c r="D32" s="75" t="str">
        <x:v>BLOCKING</x:v>
      </x:c>
      <x:c r="E32" s="75" t="str">
        <x:v>{"result": "Definition and input lock materialized; analysis rows 0; N2-A not run.", "status": "MATERIALIZED_RUN_UNPROVEN"}</x:v>
      </x:c>
      <x:c r="F32" s="75" t="str">
        <x:v>PASS</x:v>
      </x:c>
      <x:c r="G32" s="75" t="str">
        <x:v>IH-P5_EXECUTION_EPISODES.jsonl</x:v>
      </x:c>
      <x:c r="H32" s="75" t="str">
        <x:v>FAIL_STOP_RECOVERY</x:v>
      </x:c>
    </x:row>
    <x:row r="33" ht="54" customHeight="1">
      <x:c r="A33" s="75" t="str">
        <x:v>GC-008</x:v>
      </x:c>
      <x:c r="B33" s="75" t="str">
        <x:v>K11_R7_EPISODE_CLASSIFICATION</x:v>
      </x:c>
      <x:c r="C33" s="75" t="str">
        <x:v>K11-R7 is MATERIALIZED_RUN_UNPROVEN.</x:v>
      </x:c>
      <x:c r="D33" s="75" t="str">
        <x:v>BLOCKING</x:v>
      </x:c>
      <x:c r="E33" s="75" t="str">
        <x:v>MATERIALIZED_RUN_UNPROVEN</x:v>
      </x:c>
      <x:c r="F33" s="75" t="str">
        <x:v>PASS</x:v>
      </x:c>
      <x:c r="G33" s="75" t="str">
        <x:v>IH-P5_EXECUTION_EPISODES.jsonl</x:v>
      </x:c>
      <x:c r="H33" s="75" t="str">
        <x:v>FAIL_STOP_RECOVERY</x:v>
      </x:c>
    </x:row>
    <x:row r="34" ht="54" customHeight="1">
      <x:c r="A34" s="75" t="str">
        <x:v>GC-009</x:v>
      </x:c>
      <x:c r="B34" s="75" t="str">
        <x:v>R7_NOT_ACCEPTED_PRODUCT</x:v>
      </x:c>
      <x:c r="C34" s="75" t="str">
        <x:v>K11-R7 remains nonformal and is not an accepted product.</x:v>
      </x:c>
      <x:c r="D34" s="75" t="str">
        <x:v>BLOCKING</x:v>
      </x:c>
      <x:c r="E34" s="75" t="str">
        <x:v>{"direction_assertion": "PASS", "episode_status": "MATERIALIZED_RUN_UNPROVEN"}</x:v>
      </x:c>
      <x:c r="F34" s="75" t="str">
        <x:v>PASS</x:v>
      </x:c>
      <x:c r="G34" s="75" t="str">
        <x:v>Gate1 direction + IH-P5 episode</x:v>
      </x:c>
      <x:c r="H34" s="75" t="str">
        <x:v>FAIL_STOP_RECOVERY</x:v>
      </x:c>
    </x:row>
    <x:row r="35" ht="54" customHeight="1">
      <x:c r="A35" s="75" t="str">
        <x:v>GC-010</x:v>
      </x:c>
      <x:c r="B35" s="75" t="str">
        <x:v>OBJECTIVE_ROOT_SOURCE_HASHES</x:v>
      </x:c>
      <x:c r="C35" s="75" t="str">
        <x:v>Five root objective sources match their exact frozen SHA-256 values.</x:v>
      </x:c>
      <x:c r="D35" s="75" t="str">
        <x:v>BLOCKING</x:v>
      </x:c>
      <x:c r="E35" s="75" t="str">
        <x:v>{"fills": "cbdb83ea624606cd950fb01736ddbc3f92555978b412a0efd5709bb5dcae302a", "futures_flow": "dcee862006858ced9f32db8b3d985f12eaf8428ace49fdff41d5c15aa8648b7e", "orders": "e53c7aff833c374a059c3de6552ec3961ac45a343619bf9da75145fee3f391fa", "positions": "b7402b01d8f23633006e542d8201f55201487b352aac8d6eac12a8cb7860719a", "wallet_flow": "ba4f0c754bdda9f4b3dbb162e6df678d7d546fbf4151c02158591c536fe4d997"}</x:v>
      </x:c>
      <x:c r="F35" s="75" t="str">
        <x:v>PASS</x:v>
      </x:c>
      <x:c r="G35" s="75" t="str">
        <x:v>IH-P6_SOURCE_MANIFEST.json</x:v>
      </x:c>
      <x:c r="H35" s="75" t="str">
        <x:v>FAIL_STOP_RECOVERY</x:v>
      </x:c>
    </x:row>
    <x:row r="36" ht="54" customHeight="1">
      <x:c r="A36" s="75" t="str">
        <x:v>GC-011</x:v>
      </x:c>
      <x:c r="B36" s="75" t="str">
        <x:v>OBJECTIVE_SOURCE_SCHEMAS</x:v>
      </x:c>
      <x:c r="C36" s="75" t="str">
        <x:v>Five root objective sources have exact sheet/header/schema/row coverage.</x:v>
      </x:c>
      <x:c r="D36" s="75" t="str">
        <x:v>BLOCKING</x:v>
      </x:c>
      <x:c r="E36" s="75" t="str">
        <x:v>{"fills": {"header_row": 10, "rows": 8341, "sheets": ["Sheet0"]}, "futures_flow": {"header_row": 10, "rows": 21452, "sheets": ["Sheet0"]}, "orders": {"header_row": 10, "rows": 1100, "sheets": ["Sheet0"]}, "positions": {"header_row": 10, "rows": 136, "sheets": ["Sheet0"]}, "wallet_flow": {"header_row": 10, "rows": 21614, "sheets": ["Sheet0"]}}</x:v>
      </x:c>
      <x:c r="F36" s="75" t="str">
        <x:v>PASS</x:v>
      </x:c>
      <x:c r="G36" s="75" t="str">
        <x:v>IH-P6_SOURCE_MANIFEST.json</x:v>
      </x:c>
      <x:c r="H36" s="75" t="str">
        <x:v>FAIL_STOP_RECOVERY</x:v>
      </x:c>
    </x:row>
    <x:row r="37" ht="54" customHeight="1">
      <x:c r="A37" s="75" t="str">
        <x:v>GC-012</x:v>
      </x:c>
      <x:c r="B37" s="75" t="str">
        <x:v>ROOT_FILL_COUNT</x:v>
      </x:c>
      <x:c r="C37" s="75" t="str">
        <x:v>Root fill count is exactly 8341.</x:v>
      </x:c>
      <x:c r="D37" s="75" t="str">
        <x:v>BLOCKING</x:v>
      </x:c>
      <x:c r="E37" s="75" t="str">
        <x:v>8341</x:v>
      </x:c>
      <x:c r="F37" s="75" t="str">
        <x:v>PASS</x:v>
      </x:c>
      <x:c r="G37" s="75" t="str">
        <x:v>IH-P6_METRICS.json</x:v>
      </x:c>
      <x:c r="H37" s="75" t="str">
        <x:v>FAIL_STOP_RECOVERY</x:v>
      </x:c>
    </x:row>
    <x:row r="38" ht="54" customHeight="1">
      <x:c r="A38" s="75" t="str">
        <x:v>GC-013</x:v>
      </x:c>
      <x:c r="B38" s="75" t="str">
        <x:v>CYCLE_PARTITION</x:v>
      </x:c>
      <x:c r="C38" s="75" t="str">
        <x:v>Cycle count is exactly 148 = 136 active + 12 copy.</x:v>
      </x:c>
      <x:c r="D38" s="75" t="str">
        <x:v>BLOCKING</x:v>
      </x:c>
      <x:c r="E38" s="75" t="str">
        <x:v>{"active_cycles": 136, "active_fill_rows": 8239, "active_flats_revised_economic": 0, "active_losses_revised_economic": 31, "active_wins_revised_economic": 105, "all_cycles": 148, "copy_cycles": 12, "copy_fill_rows": 102, "root_fills": 8341}</x:v>
      </x:c>
      <x:c r="F38" s="75" t="str">
        <x:v>PASS</x:v>
      </x:c>
      <x:c r="G38" s="75" t="str">
        <x:v>IH-P6_METRICS.json</x:v>
      </x:c>
      <x:c r="H38" s="75" t="str">
        <x:v>FAIL_STOP_RECOVERY</x:v>
      </x:c>
    </x:row>
    <x:row r="39" ht="54" customHeight="1">
      <x:c r="A39" s="75" t="str">
        <x:v>GC-014</x:v>
      </x:c>
      <x:c r="B39" s="75" t="str">
        <x:v>FILL_PARTITION</x:v>
      </x:c>
      <x:c r="C39" s="75" t="str">
        <x:v>Fill split is exactly 8239 active + 102 copy = 8341.</x:v>
      </x:c>
      <x:c r="D39" s="75" t="str">
        <x:v>BLOCKING</x:v>
      </x:c>
      <x:c r="E39" s="75" t="str">
        <x:v>{"active": 8239, "copy": 102, "total": 8341}</x:v>
      </x:c>
      <x:c r="F39" s="75" t="str">
        <x:v>PASS</x:v>
      </x:c>
      <x:c r="G39" s="75" t="str">
        <x:v>IH-P6_METRICS.json</x:v>
      </x:c>
      <x:c r="H39" s="75" t="str">
        <x:v>FAIL_STOP_RECOVERY</x:v>
      </x:c>
    </x:row>
    <x:row r="40" ht="54" customHeight="1">
      <x:c r="A40" s="75" t="str">
        <x:v>GC-015</x:v>
      </x:c>
      <x:c r="B40" s="75" t="str">
        <x:v>FUNDING_EVENT_COUNT</x:v>
      </x:c>
      <x:c r="C40" s="75" t="str">
        <x:v>Exactly 54 funding events are deterministically mapped with zero unresolved ambiguity.</x:v>
      </x:c>
      <x:c r="D40" s="75" t="str">
        <x:v>BLOCKING</x:v>
      </x:c>
      <x:c r="E40" s="75" t="str">
        <x:v>{"funding_events": 54, "unresolved": 0}</x:v>
      </x:c>
      <x:c r="F40" s="75" t="str">
        <x:v>PASS</x:v>
      </x:c>
      <x:c r="G40" s="75" t="str">
        <x:v>IH-P6_ECONOMIC_ADJUSTMENT_EVENTS.csv</x:v>
      </x:c>
      <x:c r="H40" s="75" t="str">
        <x:v>FAIL_STOP_RECOVERY</x:v>
      </x:c>
    </x:row>
    <x:row r="41" ht="54" customHeight="1">
      <x:c r="A41" s="75" t="str">
        <x:v>GC-016</x:v>
      </x:c>
      <x:c r="B41" s="75" t="str">
        <x:v>FUNDING_ACCOUNT_SCOPE_DISAMBIGUATIONS</x:v>
      </x:c>
      <x:c r="C41" s="75" t="str">
        <x:v>Exactly six funding events require active/copy account-scope disambiguation.</x:v>
      </x:c>
      <x:c r="D41" s="75" t="str">
        <x:v>BLOCKING</x:v>
      </x:c>
      <x:c r="E41" s="75" t="str">
        <x:v>{"count": 6, "events": [{"allocation_status": "EXACT_SYMBOL_WITHIN_FROZEN_CYCLE_WINDOW_AND_K05_ACCOUNT_SCOPE", "assigned_cycle": "S05-CYC-b62d5bc893bfc5944417e570", "assigned_domain": "COPY", "candidate_cycles": ["S05-CYC-b2510608fa4d6cf08da4a7f6", "S05-CYC-b62d5bc893bfc5944417e570"], "candidate_domains": ["ACTIVE", "COPY"], "source_row": 16959, "symbol": "BTCUSDT"}, {"allocation_status": "EXACT_SYMBOL_WITHIN_FROZEN_CYCLE_WINDOW_AND_K05_ACCOUNT_SCOPE", "assigned_cycle": "S05-CYC-b2510608fa4d6cf08da4a7f6", "assigned_domain": "ACTIVE", "candidate_cycles": ["S05-CYC-b2510608fa4d6cf08da4a7f6", "S05-CYC-b62d5bc893bfc5944417e570"], "candidate_domains": ["ACTIVE", "COPY"], "source_row": 16960, "symbol": "BTCUSDT"}, {"allocation_status": "EXACT_SYMBOL_WITHIN_FROZEN_CYCLE_WINDOW_AND_K05_ACCOUNT_SCOPE", "assigned_cycle": "S05-CYC-78bf6d0254fa4ec6d3cb8965", "assigned_domain": "COPY", "candidate_cycles": ["S05-CYC-d39489424ba2d6c851677d06", "S05-CYC-78bf6d0254fa4ec6d3cb8965"], "candidate_domains": ["ACTIVE", "COPY"], "source_row": 17501, "symbol": "BTCUSDT"}, {"allocation_status": "EXACT_SYMBOL_WITHIN_FROZEN_CYCLE_WINDOW_AND_K05_ACCOUNT_SCOPE", "assigned_cycle": "S05-CYC-d39489424ba2d6c851677d06", "assigned_domain": "ACTIVE", "candidate_cycles": ["S05-CYC-d39489424ba2d6c851677d06", "S05-CYC-78bf6d0254fa4ec6d3cb8965"], "candidate_domains": ["ACTIVE", "COPY"], "source_row": 17502, "symbol": "BTCUSDT"}, {"allocation_status": "EXACT_SYMBOL_WITHIN_FROZEN_CYCLE_WINDOW_AND_K05_ACCOUNT_SCOPE", "assigned_cycle": "S05-CYC-8c1e98940ba8d0213e6de8fd", "assigned_domain": "ACTIVE", "candidate_cycles": ["S05-CYC-8c1e98940ba8d0213e6de8fd", "S05-CYC-f5209ccb8ad1f1dd70509a10"], "candidate_domains": ["ACTIVE", "COPY"], "source_row": 20979, "symbol": "BTCUSDT"}, {"allocation_status": "EXACT_SYMBOL_WITHIN_FROZEN_CYCLE_WINDOW_AND_K05_ACCOUNT_SCOPE", "assigned_cycle": "S05-CYC-f5209ccb8ad1f1dd70509a10", "assigned_domain": "COPY", "candidate_cycles": ["S05-CYC-8c1e98940ba8d0213e6de8fd", "S05-CYC-f5209ccb8ad1f1dd70509a10"], "candidate_domains": ["ACTIVE", "COPY"], "source_row": 20980, "symbol": "BTCUSDT"}]}</x:v>
      </x:c>
      <x:c r="F41" s="75" t="str">
        <x:v>PASS</x:v>
      </x:c>
      <x:c r="G41" s="75" t="str">
        <x:v>P6 cycle windows + adjustment events</x:v>
      </x:c>
      <x:c r="H41" s="75" t="str">
        <x:v>FAIL_STOP_RECOVERY</x:v>
      </x:c>
    </x:row>
    <x:row r="42" ht="54" customHeight="1">
      <x:c r="A42" s="75" t="str">
        <x:v>GC-017</x:v>
      </x:c>
      <x:c r="B42" s="75" t="str">
        <x:v>EXACT_MONETARY_RECONCILIATION</x:v>
      </x:c>
      <x:c r="C42" s="75" t="str">
        <x:v>All frozen monetary bridge values reconcile exactly using Decimal strings.</x:v>
      </x:c>
      <x:c r="D42" s="75" t="str">
        <x:v>BLOCKING</x:v>
      </x:c>
      <x:c r="E42" s="75" t="str">
        <x:v>{"active.commission_rebate": "2755.26210619", "active.economic_net": "-73118.35218988", "active.legacy_strict_net": "-75873.61429607", "combined.commission_rebate": "2758.84834003", "combined.other_account_level_fee": "-9.03", "combined.total_after_other_fee": "-73432.51584064", "combined.total_before_other_fee": "-73423.48584064", "copy.commission_rebate": "3.58623384", "copy.economic_net": "-305.13365076", "copy.legacy_strict_net": "-308.71988460"}</x:v>
      </x:c>
      <x:c r="F42" s="75" t="str">
        <x:v>PASS</x:v>
      </x:c>
      <x:c r="G42" s="75" t="str">
        <x:v>IH-P6_METRICS.json exact Decimal bridge</x:v>
      </x:c>
      <x:c r="H42" s="75" t="str">
        <x:v>FAIL_STOP_RECOVERY</x:v>
      </x:c>
    </x:row>
    <x:row r="43" ht="54" customHeight="1">
      <x:c r="A43" s="75" t="str">
        <x:v>GC-018</x:v>
      </x:c>
      <x:c r="B43" s="75" t="str">
        <x:v>REVISED_OUTCOMES</x:v>
      </x:c>
      <x:c r="C43" s="75" t="str">
        <x:v>Revised active outcomes are exactly 105 wins / 31 losses / 0 flat.</x:v>
      </x:c>
      <x:c r="D43" s="75" t="str">
        <x:v>BLOCKING</x:v>
      </x:c>
      <x:c r="E43" s="75" t="str">
        <x:v>{"flats": 0, "losses": 31, "wins": 105}</x:v>
      </x:c>
      <x:c r="F43" s="75" t="str">
        <x:v>PASS</x:v>
      </x:c>
      <x:c r="G43" s="75" t="str">
        <x:v>IH-P6_METRICS.json</x:v>
      </x:c>
      <x:c r="H43" s="75" t="str">
        <x:v>FAIL_STOP_RECOVERY</x:v>
      </x:c>
    </x:row>
    <x:row r="44" ht="54" customHeight="1">
      <x:c r="A44" s="75" t="str">
        <x:v>GC-019</x:v>
      </x:c>
      <x:c r="B44" s="75" t="str">
        <x:v>UNKNOWN_NOT_ZERO</x:v>
      </x:c>
      <x:c r="C44" s="75" t="str">
        <x:v>Unknown values are not coerced to zero; exact zero requires complete coverage semantics.</x:v>
      </x:c>
      <x:c r="D44" s="75" t="str">
        <x:v>BLOCKING</x:v>
      </x:c>
      <x:c r="E44" s="75" t="str">
        <x:v>{"cycle_rows_checked": 148, "unknown_coercion_count": 0}</x:v>
      </x:c>
      <x:c r="F44" s="75" t="str">
        <x:v>PASS</x:v>
      </x:c>
      <x:c r="G44" s="75" t="str">
        <x:v>IH-P6_STATE + active/copy facts</x:v>
      </x:c>
      <x:c r="H44" s="75" t="str">
        <x:v>FAIL_STOP_RECOVERY</x:v>
      </x:c>
    </x:row>
    <x:row r="45" ht="54" customHeight="1">
      <x:c r="A45" s="75" t="str">
        <x:v>GC-020</x:v>
      </x:c>
      <x:c r="B45" s="75" t="str">
        <x:v>FORENSIC_TIME_NOT_SOLE_MERGE</x:v>
      </x:c>
      <x:c r="C45" s="75" t="str">
        <x:v>Time proximity is not used alone to merge legacy execution episodes.</x:v>
      </x:c>
      <x:c r="D45" s="75" t="str">
        <x:v>BLOCKING</x:v>
      </x:c>
      <x:c r="E45" s="75" t="str">
        <x:v>false</x:v>
      </x:c>
      <x:c r="F45" s="75" t="str">
        <x:v>PASS</x:v>
      </x:c>
      <x:c r="G45" s="75" t="str">
        <x:v>IH-P5_STATE.json</x:v>
      </x:c>
      <x:c r="H45" s="75" t="str">
        <x:v>FAIL_STOP_RECOVERY</x:v>
      </x:c>
    </x:row>
    <x:row r="46" ht="54" customHeight="1">
      <x:c r="A46" s="75" t="str">
        <x:v>GC-021</x:v>
      </x:c>
      <x:c r="B46" s="75" t="str">
        <x:v>SOURCE_WRITES_ZERO</x:v>
      </x:c>
      <x:c r="C46" s="75" t="str">
        <x:v>Recovery source writes remain zero across IH-P1-P6 and Gate1/Gate2.</x:v>
      </x:c>
      <x:c r="D46" s="75" t="str">
        <x:v>BLOCKING</x:v>
      </x:c>
      <x:c r="E46" s="75" t="str">
        <x:v>{"GATE1": 0, "GATE2": 0, "IH-P1": 0, "IH-P2": 0, "IH-P3": 0, "IH-P4": 0, "IH-P5": 0, "IH-P6": 0}</x:v>
      </x:c>
      <x:c r="F46" s="75" t="str">
        <x:v>PASS</x:v>
      </x:c>
      <x:c r="G46" s="75" t="str">
        <x:v>IH-P1-P6 + Gate1/Gate2 boundaries</x:v>
      </x:c>
      <x:c r="H46" s="75" t="str">
        <x:v>FAIL_STOP_RECOVERY</x:v>
      </x:c>
    </x:row>
    <x:row r="47" ht="54" customHeight="1">
      <x:c r="A47" s="75" t="str">
        <x:v>GC-022</x:v>
      </x:c>
      <x:c r="B47" s="75" t="str">
        <x:v>ANALYSIS_DIRECTION_LOCK</x:v>
      </x:c>
      <x:c r="C47" s="75" t="str">
        <x:v>Objective independent analysis precedes any later-authorized manual/self-report combination.</x:v>
      </x:c>
      <x:c r="D47" s="75" t="str">
        <x:v>BLOCKING</x:v>
      </x:c>
      <x:c r="E47" s="75" t="str">
        <x:v>{"manual_combination_authorized": false, "order": ["OBJECTIVE_INDEPENDENT_ANALYSIS", "MANUAL_SELF_REPORT_COMBINATION_ONLY_IF_LATER_AUTHORIZED"], "status": "PASS"}</x:v>
      </x:c>
      <x:c r="F47" s="75" t="str">
        <x:v>PASS</x:v>
      </x:c>
      <x:c r="G47" s="75" t="str">
        <x:v>GATE1_ANALYSIS_DIRECTION_PRESERVATION.json</x:v>
      </x:c>
      <x:c r="H47" s="75" t="str">
        <x:v>FAIL_STOP_RECOVERY</x:v>
      </x:c>
    </x:row>
    <x:row r="48" ht="54" customHeight="1">
      <x:c r="A48" s="75" t="str">
        <x:v>GC-023</x:v>
      </x:c>
      <x:c r="B48" s="75" t="str">
        <x:v>NO_PRODUCT_OR_ANALYSIS_RESULT</x:v>
      </x:c>
      <x:c r="C48" s="75" t="str">
        <x:v>No product, trading result, psychology conclusion, or strategy conclusion is produced in recovery gates.</x:v>
      </x:c>
      <x:c r="D48" s="75" t="str">
        <x:v>BLOCKING</x:v>
      </x:c>
      <x:c r="E48" s="75" t="str">
        <x:v>{"product_build_count": 0, "psychology_conclusion_count": 0, "strategy_conclusion_count": 0, "trading_analysis_result_count": 0}</x:v>
      </x:c>
      <x:c r="F48" s="75" t="str">
        <x:v>PASS</x:v>
      </x:c>
      <x:c r="G48" s="75" t="str">
        <x:v>GATE1_STATE + Gate2 scope</x:v>
      </x:c>
      <x:c r="H48" s="75" t="str">
        <x:v>FAIL_STOP_RECOVERY</x:v>
      </x:c>
    </x:row>
    <x:row r="49" ht="54" customHeight="1">
      <x:c r="A49" s="77" t="str">
        <x:v>GC-024</x:v>
      </x:c>
      <x:c r="B49" s="77" t="str">
        <x:v>GATE1_ACCEPTED</x:v>
      </x:c>
      <x:c r="C49" s="77" t="str">
        <x:v>Gate1 PASS, validation PASS, tests PASS, and open design blockers zero.</x:v>
      </x:c>
      <x:c r="D49" s="77" t="str">
        <x:v>BLOCKING</x:v>
      </x:c>
      <x:c r="E49" s="77" t="str">
        <x:v>{"design_blockers": 0, "gate1": "PASS", "tests": "PASS", "validation": "PASS"}</x:v>
      </x:c>
      <x:c r="F49" s="77" t="str">
        <x:v>PASS</x:v>
      </x:c>
      <x:c r="G49" s="77" t="str">
        <x:v>Gate1 frozen outputs</x:v>
      </x:c>
      <x:c r="H49" s="77" t="str">
        <x:v>FAIL_STOP_RECOVERY</x:v>
      </x:c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</x:sheetData>
  <x:mergeCells>
    <x:mergeCell ref="A1:H1"/>
    <x:mergeCell ref="A2:H2"/>
    <x:mergeCell ref="A4:B4"/>
    <x:mergeCell ref="A5:B6"/>
    <x:mergeCell ref="D4:E4"/>
    <x:mergeCell ref="D5:E6"/>
    <x:mergeCell ref="A8:H8"/>
    <x:mergeCell ref="A23:H23"/>
  </x:mergeCells>
  <x:conditionalFormatting sqref="G10:G19">
    <x:cfRule type="containsText" dxfId="9" priority="1" operator="containsText" text="PASS"/>
    <x:cfRule type="containsText" dxfId="10" priority="2" operator="containsText" text="FAIL"/>
  </x:conditionalFormatting>
  <x:conditionalFormatting sqref="F26:F49">
    <x:cfRule type="containsText" dxfId="11" priority="3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26" hidden="0" customWidth="1"/>
    <x:col min="4" max="4" width="62" hidden="0" customWidth="1"/>
    <x:col min="5" max="5" width="20" hidden="0" customWidth="1"/>
    <x:col min="6" max="6" width="38" hidden="0" customWidth="1"/>
  </x:cols>
  <x:sheetData>
    <x:row r="1" ht="32" customHeight="1">
      <x:c r="A1" s="4" t="str">
        <x:v>字段口径、符号约定与审计说明</x:v>
      </x:c>
      <x:c r="B1" s="4" t="str">
        <x:v>字段口径、符号约定与审计说明</x:v>
      </x:c>
      <x:c r="C1" s="4" t="str">
        <x:v>字段口径、符号约定与审计说明</x:v>
      </x:c>
      <x:c r="D1" s="4" t="str">
        <x:v>字段口径、符号约定与审计说明</x:v>
      </x:c>
      <x:c r="E1" s="4" t="str">
        <x:v>字段口径、符号约定与审计说明</x:v>
      </x:c>
      <x:c r="F1" s="4" t="str">
        <x:v>字段口径、符号约定与审计说明</x:v>
      </x:c>
    </x:row>
    <x:row r="2" ht="34" customHeight="1">
      <x:c r="A2" s="8" t="str">
        <x:v>客观字段、公式派生和限定解释三层分开；未知不得填 0。金额单位 USDT；时间为北京时间。</x:v>
      </x:c>
      <x:c r="B2" s="8" t="str">
        <x:v>客观字段、公式派生和限定解释三层分开；未知不得填 0。金额单位 USDT；时间为北京时间。</x:v>
      </x:c>
      <x:c r="C2" s="8" t="str">
        <x:v>客观字段、公式派生和限定解释三层分开；未知不得填 0。金额单位 USDT；时间为北京时间。</x:v>
      </x:c>
      <x:c r="D2" s="8" t="str">
        <x:v>客观字段、公式派生和限定解释三层分开；未知不得填 0。金额单位 USDT；时间为北京时间。</x:v>
      </x:c>
      <x:c r="E2" s="8" t="str">
        <x:v>客观字段、公式派生和限定解释三层分开；未知不得填 0。金额单位 USDT；时间为北京时间。</x:v>
      </x:c>
      <x:c r="F2" s="8" t="str">
        <x:v>客观字段、公式派生和限定解释三层分开；未知不得填 0。金额单位 USDT；时间为北京时间。</x:v>
      </x:c>
    </x:row>
    <x:row r="3">
      <x:c r="A3" s="1"/>
      <x:c r="B3" s="1"/>
      <x:c r="C3" s="1"/>
      <x:c r="D3" s="1"/>
      <x:c r="E3" s="1"/>
      <x:c r="F3" s="1"/>
    </x:row>
    <x:row r="4" ht="24" customHeight="1">
      <x:c r="A4" s="11" t="str">
        <x:v>逐笔客观字段</x:v>
      </x:c>
      <x:c r="B4" s="11" t="str">
        <x:v>逐笔客观字段</x:v>
      </x:c>
      <x:c r="C4" s="11" t="str">
        <x:v>逐笔客观字段</x:v>
      </x:c>
      <x:c r="D4" s="11" t="str">
        <x:v>逐笔客观字段</x:v>
      </x:c>
      <x:c r="E4" s="11" t="str">
        <x:v>逐笔客观字段</x:v>
      </x:c>
      <x:c r="F4" s="11" t="str">
        <x:v>逐笔客观字段</x:v>
      </x:c>
    </x:row>
    <x:row r="5" ht="30" customHeight="1">
      <x:c r="A5" s="60" t="str">
        <x:v>原字段</x:v>
      </x:c>
      <x:c r="B5" s="61" t="str">
        <x:v>中文名称</x:v>
      </x:c>
      <x:c r="C5" s="61" t="str">
        <x:v>类型</x:v>
      </x:c>
      <x:c r="D5" s="61" t="str">
        <x:v>定义</x:v>
      </x:c>
      <x:c r="E5" s="61" t="str">
        <x:v>层级</x:v>
      </x:c>
      <x:c r="F5" s="62" t="str">
        <x:v>审计边界</x:v>
      </x:c>
    </x:row>
    <x:row r="6" ht="46" customHeight="1">
      <x:c r="A6" s="73" t="str">
        <x:v>position_cycle_id</x:v>
      </x:c>
      <x:c r="B6" s="73" t="str">
        <x:v>周期ID</x:v>
      </x:c>
      <x:c r="C6" s="73" t="str">
        <x:v>TEXT</x:v>
      </x:c>
      <x:c r="D6" s="73" t="str">
        <x:v>IH-P6 确定性周期键</x:v>
      </x:c>
      <x:c r="E6" s="73" t="str">
        <x:v>客观事实</x:v>
      </x:c>
      <x:c r="F6" s="73" t="str">
        <x:v>不可人工改写</x:v>
      </x:c>
    </x:row>
    <x:row r="7" ht="46" customHeight="1">
      <x:c r="A7" s="75" t="str">
        <x:v>domain_class</x:v>
      </x:c>
      <x:c r="B7" s="75" t="str">
        <x:v>域</x:v>
      </x:c>
      <x:c r="C7" s="75" t="str">
        <x:v>TEXT</x:v>
      </x:c>
      <x:c r="D7" s="75" t="str">
        <x:v>ACTIVE 或 COPY</x:v>
      </x:c>
      <x:c r="E7" s="75" t="str">
        <x:v>客观事实</x:v>
      </x:c>
      <x:c r="F7" s="75" t="str">
        <x:v>两域严格隔离</x:v>
      </x:c>
    </x:row>
    <x:row r="8" ht="46" customHeight="1">
      <x:c r="A8" s="75" t="str">
        <x:v>stable_trade_id</x:v>
      </x:c>
      <x:c r="B8" s="75" t="str">
        <x:v>稳定交易ID</x:v>
      </x:c>
      <x:c r="C8" s="75" t="str">
        <x:v>TEXT</x:v>
      </x:c>
      <x:c r="D8" s="75" t="str">
        <x:v>主动交易稳定回溯键；跟单为空</x:v>
      </x:c>
      <x:c r="E8" s="75" t="str">
        <x:v>客观事实</x:v>
      </x:c>
      <x:c r="F8" s="75" t="str">
        <x:v>空值不填0</x:v>
      </x:c>
    </x:row>
    <x:row r="9" ht="46" customHeight="1">
      <x:c r="A9" s="75" t="str">
        <x:v>trade_id</x:v>
      </x:c>
      <x:c r="B9" s="75" t="str">
        <x:v>交易编号</x:v>
      </x:c>
      <x:c r="C9" s="75" t="str">
        <x:v>TEXT</x:v>
      </x:c>
      <x:c r="D9" s="75" t="str">
        <x:v>主动 T 编号或跟单 U 编号</x:v>
      </x:c>
      <x:c r="E9" s="75" t="str">
        <x:v>客观事实</x:v>
      </x:c>
      <x:c r="F9" s="75" t="str">
        <x:v>用于回溯</x:v>
      </x:c>
    </x:row>
    <x:row r="10" ht="46" customHeight="1">
      <x:c r="A10" s="75" t="str">
        <x:v>symbol</x:v>
      </x:c>
      <x:c r="B10" s="75" t="str">
        <x:v>币对</x:v>
      </x:c>
      <x:c r="C10" s="75" t="str">
        <x:v>TEXT</x:v>
      </x:c>
      <x:c r="D10" s="75" t="str">
        <x:v>交易标的</x:v>
      </x:c>
      <x:c r="E10" s="75" t="str">
        <x:v>客观事实</x:v>
      </x:c>
      <x:c r="F10" s="75" t="str">
        <x:v>不推断偏好</x:v>
      </x:c>
    </x:row>
    <x:row r="11" ht="46" customHeight="1">
      <x:c r="A11" s="75" t="str">
        <x:v>direction</x:v>
      </x:c>
      <x:c r="B11" s="75" t="str">
        <x:v>方向</x:v>
      </x:c>
      <x:c r="C11" s="75" t="str">
        <x:v>TEXT</x:v>
      </x:c>
      <x:c r="D11" s="75" t="str">
        <x:v>LONG / SHORT</x:v>
      </x:c>
      <x:c r="E11" s="75" t="str">
        <x:v>客观事实</x:v>
      </x:c>
      <x:c r="F11" s="75" t="str">
        <x:v>不推断动机</x:v>
      </x:c>
    </x:row>
    <x:row r="12" ht="46" customHeight="1">
      <x:c r="A12" s="75" t="str">
        <x:v>cycle_start_time_beijing</x:v>
      </x:c>
      <x:c r="B12" s="75" t="str">
        <x:v>开始时间</x:v>
      </x:c>
      <x:c r="C12" s="75" t="str">
        <x:v>DATETIME</x:v>
      </x:c>
      <x:c r="D12" s="75" t="str">
        <x:v>北京时间</x:v>
      </x:c>
      <x:c r="E12" s="75" t="str">
        <x:v>客观事实</x:v>
      </x:c>
      <x:c r="F12" s="75" t="str">
        <x:v>不单独建立关系</x:v>
      </x:c>
    </x:row>
    <x:row r="13" ht="46" customHeight="1">
      <x:c r="A13" s="75" t="str">
        <x:v>cycle_end_time_beijing</x:v>
      </x:c>
      <x:c r="B13" s="75" t="str">
        <x:v>结束时间</x:v>
      </x:c>
      <x:c r="C13" s="75" t="str">
        <x:v>DATETIME</x:v>
      </x:c>
      <x:c r="D13" s="75" t="str">
        <x:v>北京时间</x:v>
      </x:c>
      <x:c r="E13" s="75" t="str">
        <x:v>客观事实</x:v>
      </x:c>
      <x:c r="F13" s="75" t="str">
        <x:v>不单独建立关系</x:v>
      </x:c>
    </x:row>
    <x:row r="14" ht="46" customHeight="1">
      <x:c r="A14" s="75" t="str">
        <x:v>root_position_source_row</x:v>
      </x:c>
      <x:c r="B14" s="75" t="str">
        <x:v>根仓位来源行</x:v>
      </x:c>
      <x:c r="C14" s="75" t="str">
        <x:v>INTEGER/UNKNOWN</x:v>
      </x:c>
      <x:c r="D14" s="75" t="str">
        <x:v>主动仓位源行；跟单未知</x:v>
      </x:c>
      <x:c r="E14" s="75" t="str">
        <x:v>客观事实</x:v>
      </x:c>
      <x:c r="F14" s="75" t="str">
        <x:v>UNKNOWN ≠ 0</x:v>
      </x:c>
    </x:row>
    <x:row r="15" ht="46" customHeight="1">
      <x:c r="A15" s="75" t="str">
        <x:v>root_fill_count</x:v>
      </x:c>
      <x:c r="B15" s="75" t="str">
        <x:v>成交记录数</x:v>
      </x:c>
      <x:c r="C15" s="75" t="str">
        <x:v>INTEGER</x:v>
      </x:c>
      <x:c r="D15" s="75" t="str">
        <x:v>映射到周期的根成交行数</x:v>
      </x:c>
      <x:c r="E15" s="75" t="str">
        <x:v>客观事实</x:v>
      </x:c>
      <x:c r="F15" s="75" t="str">
        <x:v>执行密度，不等同追单</x:v>
      </x:c>
    </x:row>
    <x:row r="16" ht="46" customHeight="1">
      <x:c r="A16" s="75" t="str">
        <x:v>realized_pnl</x:v>
      </x:c>
      <x:c r="B16" s="75" t="str">
        <x:v>已实现盈亏</x:v>
      </x:c>
      <x:c r="C16" s="75" t="str">
        <x:v>DECIMAL</x:v>
      </x:c>
      <x:c r="D16" s="75" t="str">
        <x:v>根资金流水已实现盈亏</x:v>
      </x:c>
      <x:c r="E16" s="75" t="str">
        <x:v>客观事实</x:v>
      </x:c>
      <x:c r="F16" s="75" t="str">
        <x:v>正收益/负损失</x:v>
      </x:c>
    </x:row>
    <x:row r="17" ht="46" customHeight="1">
      <x:c r="A17" s="75" t="str">
        <x:v>commission_cost</x:v>
      </x:c>
      <x:c r="B17" s="75" t="str">
        <x:v>手续费成本</x:v>
      </x:c>
      <x:c r="C17" s="75" t="str">
        <x:v>DECIMAL</x:v>
      </x:c>
      <x:c r="D17" s="75" t="str">
        <x:v>正数记录成本；公式中减去</x:v>
      </x:c>
      <x:c r="E17" s="75" t="str">
        <x:v>客观事实</x:v>
      </x:c>
      <x:c r="F17" s="75" t="str">
        <x:v>不得改变符号</x:v>
      </x:c>
    </x:row>
    <x:row r="18" ht="46" customHeight="1">
      <x:c r="A18" s="75" t="str">
        <x:v>funding_fee_signed</x:v>
      </x:c>
      <x:c r="B18" s="75" t="str">
        <x:v>资金费</x:v>
      </x:c>
      <x:c r="C18" s="75" t="str">
        <x:v>DECIMAL</x:v>
      </x:c>
      <x:c r="D18" s="75" t="str">
        <x:v>有符号资金费；正=净流入</x:v>
      </x:c>
      <x:c r="E18" s="75" t="str">
        <x:v>客观事实</x:v>
      </x:c>
      <x:c r="F18" s="75" t="str">
        <x:v>0需完整覆盖</x:v>
      </x:c>
    </x:row>
    <x:row r="19" ht="46" customHeight="1">
      <x:c r="A19" s="75" t="str">
        <x:v>funding_event_count</x:v>
      </x:c>
      <x:c r="B19" s="75" t="str">
        <x:v>资金费事件数</x:v>
      </x:c>
      <x:c r="C19" s="75" t="str">
        <x:v>INTEGER</x:v>
      </x:c>
      <x:c r="D19" s="75" t="str">
        <x:v>确定性映射事件数</x:v>
      </x:c>
      <x:c r="E19" s="75" t="str">
        <x:v>客观事实</x:v>
      </x:c>
      <x:c r="F19" s="75" t="str">
        <x:v>54条全覆盖</x:v>
      </x:c>
    </x:row>
    <x:row r="20" ht="46" customHeight="1">
      <x:c r="A20" s="75" t="str">
        <x:v>legacy_strict_net</x:v>
      </x:c>
      <x:c r="B20" s="75" t="str">
        <x:v>Legacy严格净额</x:v>
      </x:c>
      <x:c r="C20" s="75" t="str">
        <x:v>DECIMAL</x:v>
      </x:c>
      <x:c r="D20" s="75" t="str">
        <x:v>realized_pnl - commission_cost + funding_fee_signed</x:v>
      </x:c>
      <x:c r="E20" s="75" t="str">
        <x:v>公式事实</x:v>
      </x:c>
      <x:c r="F20" s="75" t="str">
        <x:v>不含返佣</x:v>
      </x:c>
    </x:row>
    <x:row r="21" ht="46" customHeight="1">
      <x:c r="A21" s="75" t="str">
        <x:v>commission_rebate</x:v>
      </x:c>
      <x:c r="B21" s="75" t="str">
        <x:v>手续费返佣</x:v>
      </x:c>
      <x:c r="C21" s="75" t="str">
        <x:v>DECIMAL</x:v>
      </x:c>
      <x:c r="D21" s="75" t="str">
        <x:v>正=返佣流入</x:v>
      </x:c>
      <x:c r="E21" s="75" t="str">
        <x:v>客观事实</x:v>
      </x:c>
      <x:c r="F21" s="75" t="str">
        <x:v>不抵销原手续费记录</x:v>
      </x:c>
    </x:row>
    <x:row r="22" ht="46" customHeight="1">
      <x:c r="A22" s="75" t="str">
        <x:v>rebate_event_count</x:v>
      </x:c>
      <x:c r="B22" s="75" t="str">
        <x:v>返佣事件数</x:v>
      </x:c>
      <x:c r="C22" s="75" t="str">
        <x:v>INTEGER</x:v>
      </x:c>
      <x:c r="D22" s="75" t="str">
        <x:v>确定性映射返佣行数</x:v>
      </x:c>
      <x:c r="E22" s="75" t="str">
        <x:v>客观事实</x:v>
      </x:c>
      <x:c r="F22" s="75" t="str">
        <x:v>7391条全覆盖</x:v>
      </x:c>
    </x:row>
    <x:row r="23" ht="46" customHeight="1">
      <x:c r="A23" s="75" t="str">
        <x:v>economic_net</x:v>
      </x:c>
      <x:c r="B23" s="75" t="str">
        <x:v>经济净结果</x:v>
      </x:c>
      <x:c r="C23" s="75" t="str">
        <x:v>DECIMAL</x:v>
      </x:c>
      <x:c r="D23" s="75" t="str">
        <x:v>legacy_strict_net + commission_rebate</x:v>
      </x:c>
      <x:c r="E23" s="75" t="str">
        <x:v>公式事实</x:v>
      </x:c>
      <x:c r="F23" s="75" t="str">
        <x:v>结果主口径</x:v>
      </x:c>
    </x:row>
    <x:row r="24" ht="46" customHeight="1">
      <x:c r="A24" s="75" t="str">
        <x:v>economic_outcome</x:v>
      </x:c>
      <x:c r="B24" s="75" t="str">
        <x:v>经济结果</x:v>
      </x:c>
      <x:c r="C24" s="75" t="str">
        <x:v>TEXT</x:v>
      </x:c>
      <x:c r="D24" s="75" t="str">
        <x:v>WIN / LOSS / FLAT</x:v>
      </x:c>
      <x:c r="E24" s="75" t="str">
        <x:v>公式事实</x:v>
      </x:c>
      <x:c r="F24" s="75" t="str">
        <x:v>按 economic_net 符号</x:v>
      </x:c>
    </x:row>
    <x:row r="25" ht="46" customHeight="1">
      <x:c r="A25" s="75" t="str">
        <x:v>funding_zero_semantics</x:v>
      </x:c>
      <x:c r="B25" s="75" t="str">
        <x:v>资金费为0语义</x:v>
      </x:c>
      <x:c r="C25" s="75" t="str">
        <x:v>TEXT</x:v>
      </x:c>
      <x:c r="D25" s="75" t="str">
        <x:v>完整54事件覆盖后无匹配</x:v>
      </x:c>
      <x:c r="E25" s="75" t="str">
        <x:v>审计语义</x:v>
      </x:c>
      <x:c r="F25" s="75" t="str">
        <x:v>未知不得填0</x:v>
      </x:c>
    </x:row>
    <x:row r="26" ht="46" customHeight="1">
      <x:c r="A26" s="77" t="str">
        <x:v>unknown_coercion</x:v>
      </x:c>
      <x:c r="B26" s="77" t="str">
        <x:v>未知强制置零</x:v>
      </x:c>
      <x:c r="C26" s="77" t="str">
        <x:v>TEXT</x:v>
      </x:c>
      <x:c r="D26" s="77" t="str">
        <x:v>NONE 表示未发生强制置零</x:v>
      </x:c>
      <x:c r="E26" s="77" t="str">
        <x:v>审计语义</x:v>
      </x:c>
      <x:c r="F26" s="77" t="str">
        <x:v>必须为0计数</x:v>
      </x:c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 ht="24" customHeight="1">
      <x:c r="A29" s="11" t="str">
        <x:v>派生指标与解释边界</x:v>
      </x:c>
      <x:c r="B29" s="11" t="str">
        <x:v>派生指标与解释边界</x:v>
      </x:c>
      <x:c r="C29" s="11" t="str">
        <x:v>派生指标与解释边界</x:v>
      </x:c>
      <x:c r="D29" s="11" t="str">
        <x:v>派生指标与解释边界</x:v>
      </x:c>
      <x:c r="E29" s="11" t="str">
        <x:v>派生指标与解释边界</x:v>
      </x:c>
      <x:c r="F29" s="11" t="str">
        <x:v>派生指标与解释边界</x:v>
      </x:c>
    </x:row>
    <x:row r="30" ht="30" customHeight="1">
      <x:c r="A30" s="60" t="str">
        <x:v>指标</x:v>
      </x:c>
      <x:c r="B30" s="61" t="str">
        <x:v>计算</x:v>
      </x:c>
      <x:c r="C30" s="61" t="str">
        <x:v>层级</x:v>
      </x:c>
      <x:c r="D30" s="62" t="str">
        <x:v>限制</x:v>
      </x:c>
      <x:c r="E30" s="1"/>
      <x:c r="F30" s="1"/>
    </x:row>
    <x:row r="31" ht="42" customHeight="1">
      <x:c r="A31" s="73" t="str">
        <x:v>胜率</x:v>
      </x:c>
      <x:c r="B31" s="73" t="str">
        <x:v>盈利笔数 / 周期数</x:v>
      </x:c>
      <x:c r="C31" s="73" t="str">
        <x:v>公式派生</x:v>
      </x:c>
      <x:c r="D31" s="73" t="str">
        <x:v>不能单独解释最终结果</x:v>
      </x:c>
      <x:c r="E31" s="1"/>
      <x:c r="F31" s="1"/>
    </x:row>
    <x:row r="32" ht="42" customHeight="1">
      <x:c r="A32" s="75" t="str">
        <x:v>利润因子</x:v>
      </x:c>
      <x:c r="B32" s="75" t="str">
        <x:v>毛盈利 / 毛亏损绝对值</x:v>
      </x:c>
      <x:c r="C32" s="75" t="str">
        <x:v>公式派生</x:v>
      </x:c>
      <x:c r="D32" s="75" t="str">
        <x:v>分母为 0 时应保持未知；本样本分母非 0</x:v>
      </x:c>
      <x:c r="E32" s="1"/>
      <x:c r="F32" s="1"/>
    </x:row>
    <x:row r="33" ht="42" customHeight="1">
      <x:c r="A33" s="75" t="str">
        <x:v>平均盈亏比</x:v>
      </x:c>
      <x:c r="B33" s="75" t="str">
        <x:v>平均盈利 / ABS(平均亏损)</x:v>
      </x:c>
      <x:c r="C33" s="75" t="str">
        <x:v>公式派生</x:v>
      </x:c>
      <x:c r="D33" s="75" t="str">
        <x:v>只描述幅度关系</x:v>
      </x:c>
      <x:c r="E33" s="1"/>
      <x:c r="F33" s="1"/>
    </x:row>
    <x:row r="34" ht="42" customHeight="1">
      <x:c r="A34" s="75" t="str">
        <x:v>亏损集中度</x:v>
      </x:c>
      <x:c r="B34" s="75" t="str">
        <x:v>前 N 大亏损绝对值 / 毛亏损绝对值</x:v>
      </x:c>
      <x:c r="C34" s="75" t="str">
        <x:v>公式派生</x:v>
      </x:c>
      <x:c r="D34" s="75" t="str">
        <x:v>只描述尾部分布</x:v>
      </x:c>
      <x:c r="E34" s="1"/>
      <x:c r="F34" s="1"/>
    </x:row>
    <x:row r="35" ht="42" customHeight="1">
      <x:c r="A35" s="75" t="str">
        <x:v>持仓时长</x:v>
      </x:c>
      <x:c r="B35" s="75" t="str">
        <x:v>结束时间 - 开始时间</x:v>
      </x:c>
      <x:c r="C35" s="75" t="str">
        <x:v>公式派生</x:v>
      </x:c>
      <x:c r="D35" s="75" t="str">
        <x:v>不直接判定扛单</x:v>
      </x:c>
      <x:c r="E35" s="1"/>
      <x:c r="F35" s="1"/>
    </x:row>
    <x:row r="36" ht="42" customHeight="1">
      <x:c r="A36" s="75" t="str">
        <x:v>成交记录数分布</x:v>
      </x:c>
      <x:c r="B36" s="75" t="str">
        <x:v>按周期的 root_fill_count</x:v>
      </x:c>
      <x:c r="C36" s="75" t="str">
        <x:v>公式派生</x:v>
      </x:c>
      <x:c r="D36" s="75" t="str">
        <x:v>不直接判定追单或过度交易</x:v>
      </x:c>
      <x:c r="E36" s="1"/>
      <x:c r="F36" s="1"/>
    </x:row>
    <x:row r="37" ht="42" customHeight="1">
      <x:c r="A37" s="77" t="str">
        <x:v>限定解释</x:v>
      </x:c>
      <x:c r="B37" s="77" t="str">
        <x:v>由上述事实的确定性关系描述</x:v>
      </x:c>
      <x:c r="C37" s="77" t="str">
        <x:v>模型解释</x:v>
      </x:c>
      <x:c r="D37" s="77" t="str">
        <x:v>不得跨越到心理、人格或策略处方</x:v>
      </x:c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 ht="24" customHeight="1">
      <x:c r="A40" s="11" t="str">
        <x:v>金融模型颜色与符号图例</x:v>
      </x:c>
      <x:c r="B40" s="11" t="str">
        <x:v>金融模型颜色与符号图例</x:v>
      </x:c>
      <x:c r="C40" s="11" t="str">
        <x:v>金融模型颜色与符号图例</x:v>
      </x:c>
      <x:c r="D40" s="11" t="str">
        <x:v>金融模型颜色与符号图例</x:v>
      </x:c>
      <x:c r="E40" s="11" t="str">
        <x:v>金融模型颜色与符号图例</x:v>
      </x:c>
      <x:c r="F40" s="11" t="str">
        <x:v>金融模型颜色与符号图例</x:v>
      </x:c>
    </x:row>
    <x:row r="41">
      <x:c r="A41" s="312" t="str">
        <x:v>蓝字</x:v>
      </x:c>
      <x:c r="B41" s="73" t="str">
        <x:v>冻结外部输入/账户级常数</x:v>
      </x:c>
      <x:c r="C41" s="73" t="str">
        <x:v>示例：-9.03 USDT 账户级其他费用</x:v>
      </x:c>
      <x:c r="D41" s="1"/>
      <x:c r="E41" s="1"/>
      <x:c r="F41" s="1"/>
    </x:row>
    <x:row r="42">
      <x:c r="A42" s="313" t="str">
        <x:v>绿字</x:v>
      </x:c>
      <x:c r="B42" s="75" t="str">
        <x:v>跨工作表链接公式</x:v>
      </x:c>
      <x:c r="C42" s="75" t="str">
        <x:v>便于追溯到事实表</x:v>
      </x:c>
      <x:c r="D42" s="1"/>
      <x:c r="E42" s="1"/>
      <x:c r="F42" s="1"/>
    </x:row>
    <x:row r="43">
      <x:c r="A43" s="232" t="str">
        <x:v>黑字</x:v>
      </x:c>
      <x:c r="B43" s="75" t="str">
        <x:v>同工作表公式与普通文本</x:v>
      </x:c>
      <x:c r="C43" s="75" t="str">
        <x:v>计算/说明</x:v>
      </x:c>
      <x:c r="D43" s="1"/>
      <x:c r="E43" s="1"/>
      <x:c r="F43" s="1"/>
    </x:row>
    <x:row r="44">
      <x:c r="A44" s="295" t="str">
        <x:v>绿色底</x:v>
      </x:c>
      <x:c r="B44" s="75" t="str">
        <x:v>PASS / WIN / 已满足</x:v>
      </x:c>
      <x:c r="C44" s="75" t="str">
        <x:v>状态含义</x:v>
      </x:c>
      <x:c r="D44" s="1"/>
      <x:c r="E44" s="1"/>
      <x:c r="F44" s="1"/>
    </x:row>
    <x:row r="45">
      <x:c r="A45" s="296" t="str">
        <x:v>红色底</x:v>
      </x:c>
      <x:c r="B45" s="75" t="str">
        <x:v>FAIL / LOSS / 禁止项</x:v>
      </x:c>
      <x:c r="C45" s="75" t="str">
        <x:v>状态含义</x:v>
      </x:c>
      <x:c r="D45" s="1"/>
      <x:c r="E45" s="1"/>
      <x:c r="F45" s="1"/>
    </x:row>
    <x:row r="46">
      <x:c r="A46" s="235" t="str">
        <x:v>负数括号</x:v>
      </x:c>
      <x:c r="B46" s="77" t="str">
        <x:v>经济流出/亏损</x:v>
      </x:c>
      <x:c r="C46" s="77" t="str">
        <x:v>金额格式</x:v>
      </x:c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</x:sheetData>
  <x:mergeCells>
    <x:mergeCell ref="A1:F1"/>
    <x:mergeCell ref="A2:F2"/>
    <x:mergeCell ref="A4:F4"/>
    <x:mergeCell ref="A29:F29"/>
    <x:mergeCell ref="A40:F40"/>
  </x:mergeCells>
  <x:pageMargins left="0.7" right="0.7" top="0.75" bottom="0.75" header="0.3" footer="0.3"/>
</x:worksheet>
</file>